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H:\Meu Drive\MEDCAL\Extrato Medcal 1\"/>
    </mc:Choice>
  </mc:AlternateContent>
  <xr:revisionPtr revIDLastSave="0" documentId="13_ncr:1_{C22521AD-4E9F-497F-9DF1-18BEF006F141}" xr6:coauthVersionLast="47" xr6:coauthVersionMax="47" xr10:uidLastSave="{00000000-0000-0000-0000-000000000000}"/>
  <bookViews>
    <workbookView xWindow="-120" yWindow="-120" windowWidth="19770" windowHeight="11760" activeTab="10" xr2:uid="{00000000-000D-0000-FFFF-FFFF00000000}"/>
  </bookViews>
  <sheets>
    <sheet name="Geral" sheetId="1" r:id="rId1"/>
    <sheet name="Jan" sheetId="2" r:id="rId2"/>
    <sheet name="Fev" sheetId="3" r:id="rId3"/>
    <sheet name="Mar" sheetId="4" r:id="rId4"/>
    <sheet name="Abr" sheetId="5" r:id="rId5"/>
    <sheet name="Mai" sheetId="6" r:id="rId6"/>
    <sheet name="Jun" sheetId="7" r:id="rId7"/>
    <sheet name="Jul" sheetId="8" r:id="rId8"/>
    <sheet name="Ago" sheetId="9" r:id="rId9"/>
    <sheet name="Set" sheetId="10" r:id="rId10"/>
    <sheet name="Out" sheetId="13" r:id="rId11"/>
    <sheet name="Nov" sheetId="11" r:id="rId12"/>
    <sheet name="Dez" sheetId="12" r:id="rId13"/>
  </sheets>
  <calcPr calcId="181029"/>
  <extLst>
    <ext uri="GoogleSheetsCustomDataVersion2">
      <go:sheetsCustomData xmlns:go="http://customooxmlschemas.google.com/" r:id="rId16" roundtripDataChecksum="IZ4JBgJamdWK3XiBchjOKlZJdmJ61sBuLsopsE+FwqY="/>
    </ext>
  </extLst>
</workbook>
</file>

<file path=xl/calcChain.xml><?xml version="1.0" encoding="utf-8"?>
<calcChain xmlns="http://schemas.openxmlformats.org/spreadsheetml/2006/main">
  <c r="M1" i="10" l="1"/>
  <c r="M2" i="13"/>
  <c r="M3" i="13"/>
  <c r="K3" i="13"/>
  <c r="K2" i="13"/>
  <c r="K1" i="13"/>
  <c r="K1" i="9"/>
  <c r="M2" i="10"/>
  <c r="M1" i="13"/>
  <c r="L4" i="12"/>
  <c r="N3" i="12"/>
  <c r="L3" i="12"/>
  <c r="N2" i="12"/>
  <c r="L2" i="12"/>
  <c r="N1" i="12"/>
  <c r="L1" i="12"/>
  <c r="L4" i="11"/>
  <c r="N3" i="11"/>
  <c r="L3" i="11"/>
  <c r="N2" i="11"/>
  <c r="L2" i="11"/>
  <c r="N1" i="11"/>
  <c r="L1" i="11"/>
  <c r="M3" i="10"/>
  <c r="K3" i="10"/>
  <c r="K2" i="10"/>
  <c r="K1" i="10"/>
  <c r="M9" i="9"/>
  <c r="K9" i="9"/>
  <c r="M7" i="9"/>
  <c r="K7" i="9"/>
  <c r="M1" i="9"/>
  <c r="K10" i="8"/>
  <c r="M8" i="8"/>
  <c r="K8" i="8"/>
  <c r="M6" i="8"/>
  <c r="K6" i="8"/>
  <c r="M1" i="8"/>
  <c r="K1" i="8"/>
  <c r="K11" i="7"/>
  <c r="M9" i="7"/>
  <c r="K9" i="7"/>
  <c r="M7" i="7"/>
  <c r="K7" i="7"/>
  <c r="M1" i="7"/>
  <c r="K1" i="7"/>
  <c r="K12" i="6"/>
  <c r="K11" i="6"/>
  <c r="M10" i="6"/>
  <c r="K10" i="6"/>
  <c r="K9" i="6"/>
  <c r="M8" i="6"/>
  <c r="K8" i="6"/>
  <c r="K7" i="6"/>
  <c r="K5" i="6"/>
  <c r="K3" i="6"/>
  <c r="M1" i="6"/>
  <c r="K1" i="6"/>
  <c r="G15" i="1" s="1"/>
  <c r="K64" i="5"/>
  <c r="F46" i="1" s="1"/>
  <c r="K63" i="5"/>
  <c r="M62" i="5"/>
  <c r="K62" i="5"/>
  <c r="K61" i="5"/>
  <c r="M60" i="5"/>
  <c r="K60" i="5"/>
  <c r="F25" i="1" s="1"/>
  <c r="M28" i="1" s="1"/>
  <c r="M1" i="5"/>
  <c r="F5" i="1" s="1"/>
  <c r="K1" i="5"/>
  <c r="F15" i="1" s="1"/>
  <c r="I1" i="4"/>
  <c r="E5" i="1" s="1"/>
  <c r="J1" i="3"/>
  <c r="D5" i="1" s="1"/>
  <c r="J1" i="2"/>
  <c r="C5" i="1" s="1"/>
  <c r="G46" i="1"/>
  <c r="E46" i="1"/>
  <c r="D46" i="1"/>
  <c r="C46" i="1"/>
  <c r="F36" i="1"/>
  <c r="E36" i="1"/>
  <c r="D36" i="1"/>
  <c r="C36" i="1"/>
  <c r="M39" i="1" s="1"/>
  <c r="H25" i="1"/>
  <c r="G25" i="1"/>
  <c r="D25" i="1"/>
  <c r="C25" i="1"/>
  <c r="E15" i="1"/>
  <c r="D15" i="1"/>
  <c r="C15" i="1"/>
  <c r="H5" i="1"/>
  <c r="G5" i="1"/>
  <c r="M49" i="1" l="1"/>
  <c r="M18" i="1"/>
  <c r="M8" i="1"/>
</calcChain>
</file>

<file path=xl/sharedStrings.xml><?xml version="1.0" encoding="utf-8"?>
<sst xmlns="http://schemas.openxmlformats.org/spreadsheetml/2006/main" count="10371" uniqueCount="1504">
  <si>
    <t>Extrato BB 2025 Geral</t>
  </si>
  <si>
    <t>Janeiro</t>
  </si>
  <si>
    <t>Fevereiro</t>
  </si>
  <si>
    <t>Março</t>
  </si>
  <si>
    <t>Abril</t>
  </si>
  <si>
    <t>Maio</t>
  </si>
  <si>
    <t xml:space="preserve">Junho </t>
  </si>
  <si>
    <t>Agosto</t>
  </si>
  <si>
    <t>Setembro</t>
  </si>
  <si>
    <t>Outubro</t>
  </si>
  <si>
    <t>Novembro</t>
  </si>
  <si>
    <t>Dezembro</t>
  </si>
  <si>
    <t>SESAP</t>
  </si>
  <si>
    <t>Geral</t>
  </si>
  <si>
    <t>Extrato BB 2025 Hematologia</t>
  </si>
  <si>
    <t>Extrato BB 2025 Coagulação</t>
  </si>
  <si>
    <t>Extrato BB 2025 TT/TTPA</t>
  </si>
  <si>
    <t>Extrato BB 2025 Ionograma</t>
  </si>
  <si>
    <t>Status</t>
  </si>
  <si>
    <t>Dt. balancete</t>
  </si>
  <si>
    <t>Ag. origem</t>
  </si>
  <si>
    <t>Lote</t>
  </si>
  <si>
    <t>Histórico</t>
  </si>
  <si>
    <t>Documento</t>
  </si>
  <si>
    <t>Valor R$</t>
  </si>
  <si>
    <t>Observações</t>
  </si>
  <si>
    <t>000 Saldo Anterior</t>
  </si>
  <si>
    <t>870 Transferência recebida</t>
  </si>
  <si>
    <t>02/01 09:49 D&amp;M LABORATORIO DE ANALI</t>
  </si>
  <si>
    <t>234 Compra com Cartão</t>
  </si>
  <si>
    <t>02/01 11:37 POSTO SENADOR</t>
  </si>
  <si>
    <t>109 Pagamento de Boleto</t>
  </si>
  <si>
    <t>APPARAT BRASIL COMERCIO DE REA</t>
  </si>
  <si>
    <t>TICKET SERVICOS SA</t>
  </si>
  <si>
    <t>363 Pagto conta telefone</t>
  </si>
  <si>
    <t>VIVO RN</t>
  </si>
  <si>
    <t>LABORLAB PROD PARA LAB LTDA</t>
  </si>
  <si>
    <t>CONFIANCA FUNDO DE INVEST EM D</t>
  </si>
  <si>
    <t>BANCO SOFISA S/A</t>
  </si>
  <si>
    <t>BIO ADVANCE D LTDA EPP</t>
  </si>
  <si>
    <t>BIOSYN INDUSTRIA E COMERCIO DE</t>
  </si>
  <si>
    <t>BR COMERCIO DE ELETRONICOS LTD</t>
  </si>
  <si>
    <t>J T A COMERCIO SERVICOS LTDA</t>
  </si>
  <si>
    <t>PJBANK PAGAMENTOS S A_1</t>
  </si>
  <si>
    <t>STER BOM IND. E COM. LTDA</t>
  </si>
  <si>
    <t>POLIFARMA DISTRIBUIDORA DE MED</t>
  </si>
  <si>
    <t>DISTR DE MEDI SANTA CRUZ LTDA</t>
  </si>
  <si>
    <t>COMEBOM DISTRIBUIDORA LTDA</t>
  </si>
  <si>
    <t>RED S A</t>
  </si>
  <si>
    <t>PLENA DISTRIBUIDORA M LTDA</t>
  </si>
  <si>
    <t>PROFARMA DISTRIBUIDORA DE PROD</t>
  </si>
  <si>
    <t>RV TECNOLOGIA S A</t>
  </si>
  <si>
    <t>798 BB Rende Fácil</t>
  </si>
  <si>
    <t>Rende Facil</t>
  </si>
  <si>
    <t>03/01 13:29 AURI ACESSORIOS</t>
  </si>
  <si>
    <t>BANCO VOLKSWAGEN S.A.</t>
  </si>
  <si>
    <t>NEOENERGIA COSERN</t>
  </si>
  <si>
    <t>821 Pix - Recebido</t>
  </si>
  <si>
    <t>06/01 09:05 02440715000190 LABORATORIO</t>
  </si>
  <si>
    <t>351 BB Rende Fácil</t>
  </si>
  <si>
    <t>07/01 08:33 BROKER AUGEFARMA LTDA</t>
  </si>
  <si>
    <t>07/01 09:37 S P FH L CLINICO</t>
  </si>
  <si>
    <t>976 TED-Crédito em Conta</t>
  </si>
  <si>
    <t>07/01 10:09 20897601000156 BIO ANALISE</t>
  </si>
  <si>
    <t>07/01 14:29 TM COMBUSTIVEIS</t>
  </si>
  <si>
    <t>EBRAM PROD LABORATORIAIS LTDA</t>
  </si>
  <si>
    <t>APPARAT BRASIL C R I LTDA</t>
  </si>
  <si>
    <t>INFOX</t>
  </si>
  <si>
    <t>OLIMPUS TECNOLOGIA EM SISTEMAS</t>
  </si>
  <si>
    <t>ACRIPEL DISTRIBUIDORA PERNAMBU</t>
  </si>
  <si>
    <t>BRISANET SERVICOS DE TELECOMUN</t>
  </si>
  <si>
    <t>BIOS DIAGNOSTICA I C P B L ME</t>
  </si>
  <si>
    <t>435 Tarifa Pacote de Serviços</t>
  </si>
  <si>
    <t>Cobrança referente 07/01/2025</t>
  </si>
  <si>
    <t>08/01 11:59 00023030283453 EDSON MACIE</t>
  </si>
  <si>
    <t>08/01 08:42 66766150459 IVANEIDE MARIA</t>
  </si>
  <si>
    <t>08/01 11:35 40784407000171 CENTRO CLIN</t>
  </si>
  <si>
    <t>08/01 15:57 40784407000171 CENTRO CLIN</t>
  </si>
  <si>
    <t>CIMED CO. S.A</t>
  </si>
  <si>
    <t>09/01 14:17 37891987491 SILVAN SOUZA D</t>
  </si>
  <si>
    <t>375 Impostos</t>
  </si>
  <si>
    <t>RN TRIBUTACAO ICMS</t>
  </si>
  <si>
    <t>10/01 19:32 17135621000185 E L SALGUEI</t>
  </si>
  <si>
    <t>10/01 11:17 32958432000104 SLE SERVICO</t>
  </si>
  <si>
    <t>PREF. MUNICIPAL DE NATAL</t>
  </si>
  <si>
    <t>Sanafarma Industria E Comercio</t>
  </si>
  <si>
    <t>P COSTA QUEIROZ LTDA</t>
  </si>
  <si>
    <t>168 Ourocap PM</t>
  </si>
  <si>
    <t>OUROCAP PM</t>
  </si>
  <si>
    <t>Santa Maria</t>
  </si>
  <si>
    <t>13/01 11:11 FMS SANTA MARIA RN FUS</t>
  </si>
  <si>
    <t>13/01 10:01 04399497000113 JOSSINEY DE</t>
  </si>
  <si>
    <t>13/01 11:45 03319496000159 MEDCAL FARM</t>
  </si>
  <si>
    <t>13/01 10:03 51936203000125 CLINICLAB E</t>
  </si>
  <si>
    <t>11/01 14:41 POSTO DINIZ - EMAUS</t>
  </si>
  <si>
    <t>LABOR IMPORT COMERCIAL IMPORTA</t>
  </si>
  <si>
    <t>VIA MUNDO T TRANSPORTES LTDA</t>
  </si>
  <si>
    <t>748 2207 03319496000159 MEDCAL FARMA H</t>
  </si>
  <si>
    <t>14/01 10:15 28155001000396 CLINICA SAN</t>
  </si>
  <si>
    <t>14/01 12:04 31748565000185 D P DA SILV</t>
  </si>
  <si>
    <t>14/01 14:39 12644969000184 Biolab Clin</t>
  </si>
  <si>
    <t>14/01 11:44 ParelhasGasLtda</t>
  </si>
  <si>
    <t>Riachuelo</t>
  </si>
  <si>
    <t>15/01 13:23 FUNDO MUNICIPAL DE SAUDE</t>
  </si>
  <si>
    <t>15/01 14:01 05982049000100 D E K LABOR</t>
  </si>
  <si>
    <t>15/01 16:24 40784407000171 CENTRO CLIN</t>
  </si>
  <si>
    <t>15/01 18:52 PostoParaibaI</t>
  </si>
  <si>
    <t>15/01 11:15 POSTO COSTINHA V</t>
  </si>
  <si>
    <t>OI FIBRA ARBOR</t>
  </si>
  <si>
    <t>PROFARMA</t>
  </si>
  <si>
    <t>TRIER COMERCIO DE SOFTWARES LT</t>
  </si>
  <si>
    <t>FARMAUM NATAL M LTDA</t>
  </si>
  <si>
    <t>16/01 14:57 D&amp;M LABORATORIO DE ANALI</t>
  </si>
  <si>
    <t>16/01 07:24 14473768000197 E M DE BARR</t>
  </si>
  <si>
    <t>16/01 14:45 40784407000171 CENTRO CLIN</t>
  </si>
  <si>
    <t>17/01 16:42 23125188000108 Dental Smil</t>
  </si>
  <si>
    <t>20/01 15:46 D&amp;M LABORATORIO DE ANALI</t>
  </si>
  <si>
    <t>20/01 10:11 TM COMBUSTIVEIS</t>
  </si>
  <si>
    <t>144 Pix - Enviado</t>
  </si>
  <si>
    <t>20/01 13:36 CAIXA ECONOMICA FEDERAL</t>
  </si>
  <si>
    <t>20/01 13:56 CAIXA ECONOMICA FEDERAL</t>
  </si>
  <si>
    <t>J. K. DE S. SILVA - ME</t>
  </si>
  <si>
    <t>UNIMED NATAL SOCIEDADE COOPERA</t>
  </si>
  <si>
    <t>361 Pgto conta água</t>
  </si>
  <si>
    <t>CAERN CIA AGUAS ESG RN</t>
  </si>
  <si>
    <t>CABO SERV TELEC LTDA</t>
  </si>
  <si>
    <t>CABO SERVICOS DE TELECOMUNICAC</t>
  </si>
  <si>
    <t>21/01 07:44 S P FH L CLINICO</t>
  </si>
  <si>
    <t>21/01 14:50 00079229417491 DALIANA CAL</t>
  </si>
  <si>
    <t>21/01 13:16 34398857000123 Labmais Dia</t>
  </si>
  <si>
    <t>22/01 11:28 17135621000185 PET SHOP RE</t>
  </si>
  <si>
    <t>22/01 15:57 40784407000171 CENTRO CLIN</t>
  </si>
  <si>
    <t>22/01 10:49 03319496000159 Medcal Farm</t>
  </si>
  <si>
    <t>22/01 13:42 03319496000159 Medcal Farm</t>
  </si>
  <si>
    <t>22/01 13:45 03319496000159 Medcal Farm</t>
  </si>
  <si>
    <t>22/01 17:42 POSTO SENADOR</t>
  </si>
  <si>
    <t>22/01 09:19 BRASIL EMBALAGENS</t>
  </si>
  <si>
    <t>23/01 09:48 03319496000159 MEDCAL FARM</t>
  </si>
  <si>
    <t>23/01 11:27 POSTO COSTINHA V</t>
  </si>
  <si>
    <t>BANCO ITAUCARD S.A.</t>
  </si>
  <si>
    <t>Baixado</t>
  </si>
  <si>
    <t>632 Ordem Bancária</t>
  </si>
  <si>
    <t>FATURA 3194. COMP. 11 2024. Referente</t>
  </si>
  <si>
    <t>ESTADO DO RIO GRANDE D</t>
  </si>
  <si>
    <t>FATURA 3208. COMP. 11 2024. Referente</t>
  </si>
  <si>
    <t>FATURA 3162. COMP. 11 2024. Referente</t>
  </si>
  <si>
    <t>FATURA 3210. COMP. 11 2024. Referente</t>
  </si>
  <si>
    <t>FATURA 3160. COMP. 11 2024. Referente</t>
  </si>
  <si>
    <t>24/01 11:36 00006145755407 JOAO BATIST</t>
  </si>
  <si>
    <t>24/01 11:47 00006145755407 JOAO BATIST</t>
  </si>
  <si>
    <t>24/01 23:51 00023096748420 LUZANIRA DA</t>
  </si>
  <si>
    <t>24/01 09:49 03319496000159 Medcal Farm</t>
  </si>
  <si>
    <t>24/01 10:11 30891947000109 CENTRO AVAN</t>
  </si>
  <si>
    <t>24/01 11:27 61690104449 ELIANE PORTO D</t>
  </si>
  <si>
    <t>RFB-DARF CODIGO DE BARRAS</t>
  </si>
  <si>
    <t>24/01 17:09 LABORLAB PRODUTOS PARA LAB</t>
  </si>
  <si>
    <t>27/01 11:41 00083738657487 MAGNUS SOAR</t>
  </si>
  <si>
    <t>27/01 09:15 83738657487 MAGNUS SOARES</t>
  </si>
  <si>
    <t>27/01 09:16 83738657487 MAGNUS SOARES</t>
  </si>
  <si>
    <t>27/01 11:23 83738657487 MAGNUS SOARES</t>
  </si>
  <si>
    <t>27/01 11:39 17552109000134 VITALAB - L</t>
  </si>
  <si>
    <t>27/01 11:39 POSTO SENADOR</t>
  </si>
  <si>
    <t>27/01 11:26 LABORLAB PRODUTOS PARA LAB</t>
  </si>
  <si>
    <t>TRANSCOURIER LTDA</t>
  </si>
  <si>
    <t>MAB COMERCIO E SERVICOS DE INF</t>
  </si>
  <si>
    <t>DPC DISTRIBUIDOR ATACADISTA S</t>
  </si>
  <si>
    <t>976 TED-Pag Fornecedores</t>
  </si>
  <si>
    <t>104 1101 11802520000134 FUNDO MUNICIPA</t>
  </si>
  <si>
    <t>28/01 11:10 50804078000137 G C G FERNA</t>
  </si>
  <si>
    <t>28/01 16:33 00081315368404 FABIO DE OL</t>
  </si>
  <si>
    <t>28/01 09:59 TM COMBUSTIVEIS</t>
  </si>
  <si>
    <t>28/01 11:58 VIDROCA</t>
  </si>
  <si>
    <t>DAS - SIMPLES NACIONAL</t>
  </si>
  <si>
    <t>Unisync Tecnologia Ltda</t>
  </si>
  <si>
    <t>28/01 16:36 Unisync Tecnologia Ltda</t>
  </si>
  <si>
    <t>FT 3107 - COMP 10 2024 , ref. ao contrat</t>
  </si>
  <si>
    <t>FT 3086- COMP 10 2024 , ref. ao contrato</t>
  </si>
  <si>
    <t>BIOPLENNA DISTRIBUIDORA DE PRO</t>
  </si>
  <si>
    <t>CONSORCIO NACIONAL VOLKSWAGEN</t>
  </si>
  <si>
    <t>CDH DIAGNOSTICA</t>
  </si>
  <si>
    <t>CDH - CENTRO DE DIAGNOSTICO HU</t>
  </si>
  <si>
    <t>104 7853 10709689000181 FUNDO DE SAUDE</t>
  </si>
  <si>
    <t>30/01 10:10 34398857000123 LABMAIS DIA</t>
  </si>
  <si>
    <t>BIONEXO S A</t>
  </si>
  <si>
    <t>AIRSUPPLY LOGISTICA E TRANSPOR</t>
  </si>
  <si>
    <t>INTERPLAYERS SOLUCOES I S A</t>
  </si>
  <si>
    <t>L E N COMERCIO LTDA ME</t>
  </si>
  <si>
    <t>30/01 12:55 Posto Lais Ix</t>
  </si>
  <si>
    <t>MEDIARTE COMERCIO E SERVICOS D</t>
  </si>
  <si>
    <t>258 Tarifa Pix Enviado</t>
  </si>
  <si>
    <t>Tar. agrupadas - ocorrencia 30/01/2025</t>
  </si>
  <si>
    <t>31/01 15:38 PM RIACHUELO -FUS</t>
  </si>
  <si>
    <t>31/01 15:12 50804078000137 G C G FERNA</t>
  </si>
  <si>
    <t>31/01 10:08 ATACADAO 0245 AS</t>
  </si>
  <si>
    <t>31/01 21:06 POSTO INTERLAGOS 2</t>
  </si>
  <si>
    <t>470 Transferência enviada</t>
  </si>
  <si>
    <t>31/01 17:19 PUBLYO B F COSTA</t>
  </si>
  <si>
    <t>31/01 17:13 MAGNUS SOARES DA COSTA</t>
  </si>
  <si>
    <t>CONSELHO REGIONAL DE ENGENHARI</t>
  </si>
  <si>
    <t>CONSELHO REGIONAL DOS TECNICOS</t>
  </si>
  <si>
    <t>DISTRIBUIDORA SERIDO</t>
  </si>
  <si>
    <t>TOTVS SA</t>
  </si>
  <si>
    <t>31/01 17:17 PAULO SERGIO SOARES DA COS</t>
  </si>
  <si>
    <t>Tar. agrupadas - ocorrencia 31/01/2025</t>
  </si>
  <si>
    <t>375 Pagamento de DARF/RFB</t>
  </si>
  <si>
    <t>RFB-PGTO DARF/SIST.DARA</t>
  </si>
  <si>
    <t>03/02 08:09 RP SERVICOS LABORATORIAI</t>
  </si>
  <si>
    <t>TIM S/A</t>
  </si>
  <si>
    <t>04/02 13:37 03319496000159 MEDCAL FARM</t>
  </si>
  <si>
    <t>FATURA 3191.1 CONJUNTO DE SOLU ES,RE</t>
  </si>
  <si>
    <t>FATURA 3272.1 COMP. 12 24 - CONJUNTO</t>
  </si>
  <si>
    <t>FTs 3261 e 3240 - COMP 12 2024, ref. ao</t>
  </si>
  <si>
    <t>Parelhas</t>
  </si>
  <si>
    <t>05/02 15:18 FUNDO MUNICIPAL DE SAUDE</t>
  </si>
  <si>
    <t>05/02 15:43 00007945263496 EGSTON FELI</t>
  </si>
  <si>
    <t>05/02 16:26 40784407000171 CENTRO CLIN</t>
  </si>
  <si>
    <t>SISMETRO UPSIM SISTEMAS LTDA</t>
  </si>
  <si>
    <t>AGENCIA NACIONAL DE VIGILANCIA</t>
  </si>
  <si>
    <t>05/02 15:51 Egston Felipe Regis Costa</t>
  </si>
  <si>
    <t>Cobrança referente 05/02/2025</t>
  </si>
  <si>
    <t>06/02 08:29 CLINICA CLINCORDIS</t>
  </si>
  <si>
    <t>06/02 11:17 12644969000184 I M M VAREL</t>
  </si>
  <si>
    <t>06/02 13:49 09127333000150 ASSISTENCIA</t>
  </si>
  <si>
    <t>RIOGRANDENSE DISTRIBUIDORA LTD</t>
  </si>
  <si>
    <t>07/02 11:04 Elainy Cristina Silva Fern</t>
  </si>
  <si>
    <t>10/02 13:01 FMS SANTA MARIA RN FUS</t>
  </si>
  <si>
    <t>10/02 17:46 RP SERVICOS LABORATORIAI</t>
  </si>
  <si>
    <t>10/02 13:51 32958432000104 SLE SERVICO</t>
  </si>
  <si>
    <t>10/02 19:07 17135621000185 E L SALGUEI</t>
  </si>
  <si>
    <t>10/02 14:14 TM COMBUSTIVEIS</t>
  </si>
  <si>
    <t>09/02 13:45 Posto Tabajara Ltda</t>
  </si>
  <si>
    <t>CIMED CO S A</t>
  </si>
  <si>
    <t>10/02 11:16 Nalbs Dedetizadora e Servi</t>
  </si>
  <si>
    <t>11/02 11:44 00072101121468 IVIS DE CAR</t>
  </si>
  <si>
    <t>11/02 13:22 48899285000170 GROUP PMD</t>
  </si>
  <si>
    <t>NATAL PREFEITURA</t>
  </si>
  <si>
    <t>12/02 10:34 SOCIEDADE CLINICA DIXSEP</t>
  </si>
  <si>
    <t>12/02 11:51 03319496000159 MEDCAL FARM</t>
  </si>
  <si>
    <t>12/02 13:56 POSTO SANTA BEATRIZ</t>
  </si>
  <si>
    <t>13/02 09:30 PREFEITURA MUNIC ITAPEVA</t>
  </si>
  <si>
    <t>13/02 10:18 03319496000159 MEDCAL FARM</t>
  </si>
  <si>
    <t>13/02 13:36 09127333000150 ASSISTENCIA</t>
  </si>
  <si>
    <t>13/02 14:12 06300403000132 N S G COMER</t>
  </si>
  <si>
    <t>FTs 3041.1A COMP. 09 24 A CONJUNTO DE SO</t>
  </si>
  <si>
    <t>13/02 10:21 POSTO SENADOR</t>
  </si>
  <si>
    <t>13/02 10:36 AMI SERVICOS AUXILIARES DE</t>
  </si>
  <si>
    <t>13/02 14:50 PAULO SERGIO SOARES DA COS</t>
  </si>
  <si>
    <t>MULTIGIRO COMERCIO E DISTRIBUI</t>
  </si>
  <si>
    <t>Tar. agrupadas - ocorrencia 13/02/2025</t>
  </si>
  <si>
    <t>14/02 14:23 LAB A C DANTAS LTDA</t>
  </si>
  <si>
    <t>14/02 10:08 00042745845349 ACRISIO LUC</t>
  </si>
  <si>
    <t>14/02 13:50 51058729000150 WELL LAB LA</t>
  </si>
  <si>
    <t>14/02 17:09 03319496000159 MEDCAL FARM</t>
  </si>
  <si>
    <t>14/02 17:14 00065427238468 PAULO SERGI</t>
  </si>
  <si>
    <t>FATURA 3267.1 COMP. 12 24. Referente a</t>
  </si>
  <si>
    <t>FATURA 3238.1 COMP. 12 24. Referente a</t>
  </si>
  <si>
    <t>KATAL BIOTECNOLOGICA INDUSTRIA</t>
  </si>
  <si>
    <t>632 Ordem Banc 12 Sec Tes Nac</t>
  </si>
  <si>
    <t>Base aerea</t>
  </si>
  <si>
    <t>003944290185-81 BASE AEREA DE NATAL</t>
  </si>
  <si>
    <t>17/02 16:27 03319496000159 MEDCAL FARM</t>
  </si>
  <si>
    <t>NF 28625 - COMP. 12 2024 - Contrato n 5</t>
  </si>
  <si>
    <t>FATURA 2986.1 COMP. 09 24 LOCA O DE EQ</t>
  </si>
  <si>
    <t>FT 3199 e 3159 - COMP 11 24. Ref a loca</t>
  </si>
  <si>
    <t>15/02 17:17 POSTO DINIZ - EMAUS</t>
  </si>
  <si>
    <t>17/02 10:33 Posto Uniao Ltda</t>
  </si>
  <si>
    <t>BRISANET</t>
  </si>
  <si>
    <t>18/02 14:35 RP SERVICOS LABORATORIAI</t>
  </si>
  <si>
    <t>18/02 15:22 S P FH L CLINICO</t>
  </si>
  <si>
    <t>18/02 11:34 28155001000396 CLINICA SAN</t>
  </si>
  <si>
    <t>18/02 12:29 00081315368404 FABIO DE OL</t>
  </si>
  <si>
    <t>18/02 15:19 03319496000159 MEDCAL FARM</t>
  </si>
  <si>
    <t>19/02 09:58 28155001000396 CLINICA SAN</t>
  </si>
  <si>
    <t>19/02 09:13 42655570000160 Y A Rolim</t>
  </si>
  <si>
    <t>19/02 15:44 09438855000173 SERVICOS D</t>
  </si>
  <si>
    <t>19/02 17:49 SERVICOS DE DIAGNOSTICOS L</t>
  </si>
  <si>
    <t>20/02 14:56 LAB A C DANTAS LTDA</t>
  </si>
  <si>
    <t>20/02 06:45 00079229417491 DALIANA CAL</t>
  </si>
  <si>
    <t>20/02 17:01 28155001000396 CLINICA SAN</t>
  </si>
  <si>
    <t>20/02 14:39 03319496000159 Medcal Farm</t>
  </si>
  <si>
    <t>20/02 10:49 POSTO CIRNE I</t>
  </si>
  <si>
    <t>20/02 15:08 CAIXA ECONOMICA FEDERAL</t>
  </si>
  <si>
    <t>21/02 14:36 03319496000159 MEDCAL FARM</t>
  </si>
  <si>
    <t>ITAUCARD S.A.</t>
  </si>
  <si>
    <t>24/02 14:26 12644969000184 I M M VAREL</t>
  </si>
  <si>
    <t>24/02 18:28 51058729000150 WELL LAB LA</t>
  </si>
  <si>
    <t>24/02 16:52 60975737006516 SOCIEDADE B</t>
  </si>
  <si>
    <t>24/02 13:44 REDE DE POSTOS DOMIN</t>
  </si>
  <si>
    <t>CLARO S.A.</t>
  </si>
  <si>
    <t>CRIL EMPREENDIMENTO AMBIENTAL</t>
  </si>
  <si>
    <t>341 0194 01896764000170 DIASORIN LTDA</t>
  </si>
  <si>
    <t>Base Aerea</t>
  </si>
  <si>
    <t>151264370033-20 HOSPITAL UNIVERSITARIO</t>
  </si>
  <si>
    <t>FATURA 3043. COMP. 09 2024. Ref. ao Co</t>
  </si>
  <si>
    <t>FATURA 3014. COMP. 09 2024. Referente</t>
  </si>
  <si>
    <t>Fatura 3132.1 - COMP 10 2024, ref. ao co</t>
  </si>
  <si>
    <t>FT 3165.1 LOCA O A COMP. 11 24 A 3 T</t>
  </si>
  <si>
    <t>FT 3205.1 INSUMOS A COMP. 11 24 A 3 T</t>
  </si>
  <si>
    <t>25/02 10:38 28155001000396 CLINICA SAN</t>
  </si>
  <si>
    <t>25/02 10:33 08075247000189 UNNIQUE C L</t>
  </si>
  <si>
    <t>25/02 14:45 MAGNUS SOARES DA COSTA</t>
  </si>
  <si>
    <t>104 0760 12148443000103 FUNDO MUNICIPA</t>
  </si>
  <si>
    <t>26/02 16:24 11881898000170 F SAMUEL DA</t>
  </si>
  <si>
    <t>27/02 10:49 CASA NORTE ATACADO</t>
  </si>
  <si>
    <t>27/02 10:50 CASA NORTE ATACADO</t>
  </si>
  <si>
    <t>27/02 11:00 CASA NORTE ATACADO</t>
  </si>
  <si>
    <t>NEWPROV PROD PARA LAB LTDA</t>
  </si>
  <si>
    <t>Start Cargo Ltda</t>
  </si>
  <si>
    <t>28/02 15:12 03319496000159 MEDCAL FARM</t>
  </si>
  <si>
    <t>28/02 15:30 TM COMBUSTIVEIS</t>
  </si>
  <si>
    <t>TOTAL</t>
  </si>
  <si>
    <t>03/03 20:05 POSTO DINIZ - EMAUS</t>
  </si>
  <si>
    <t>06/03 11:01 CLINICA CLINCORDIS</t>
  </si>
  <si>
    <t>06/03 09:25 17135621000185 PET SHOP RE</t>
  </si>
  <si>
    <t>06/03 10:03 03319496000159 MEDCAL FARM</t>
  </si>
  <si>
    <t>06/03 15:44 00070250037432 BRUNO GABRI</t>
  </si>
  <si>
    <t>06/03 12:14 POSTO COSTINHA V</t>
  </si>
  <si>
    <t>07/03 13:10 S P FH L CLINICO</t>
  </si>
  <si>
    <t>07/03 10:53 13640653000187 S O SERV SA</t>
  </si>
  <si>
    <t>07/03 11:28 09127333000150 ASSISTENCIA</t>
  </si>
  <si>
    <t>07/03 19:32 41109772000143 MAIS SAUDE</t>
  </si>
  <si>
    <t>07/03 21:40 POSTO DINIZ - EMAUS</t>
  </si>
  <si>
    <t>07/03 17:06 JONATAN EDUARDO M SILVA</t>
  </si>
  <si>
    <t>PONTELAND DISTRIBUICAO S.A.</t>
  </si>
  <si>
    <t>Cobrança referente 07/03/2025</t>
  </si>
  <si>
    <t>10/03 16:55 FMS SANTA MARIA RN FUS</t>
  </si>
  <si>
    <t>10/03 10:43 08075247000189 UNNIQUE C L</t>
  </si>
  <si>
    <t>10/03 10:59 08075247000189 UNNIQUE C L</t>
  </si>
  <si>
    <t>10/03 14:09 21709133000101 LABORATORIO</t>
  </si>
  <si>
    <t>10/03 21:17 17135621000185 E L SALGUEI</t>
  </si>
  <si>
    <t>10/03 10:48 08075247000189 UNNIQUE C L</t>
  </si>
  <si>
    <t>10/03 10:50 03319496000230 Medcal Farm</t>
  </si>
  <si>
    <t>11/03 08:51 S P FH L CLINICO</t>
  </si>
  <si>
    <t>11/03 10:14 20897601000156 BIO ANALISE</t>
  </si>
  <si>
    <t>11/03 13:36 03319496000159 Medcal Farm</t>
  </si>
  <si>
    <t>11/03 13:40 Gerte Ridia Carvalho</t>
  </si>
  <si>
    <t>12/03 09:09 04399497000113 JOSSINEY DE</t>
  </si>
  <si>
    <t>12/03 10:30 81315368404 FABIO DE OLIVE</t>
  </si>
  <si>
    <t>12/03 13:36 70052428000163 LAB BIOANAL</t>
  </si>
  <si>
    <t>12/03 17:05 41950546000190 YANNARA VET</t>
  </si>
  <si>
    <t>ANDRADE DISTRIBUIDORA LTDA</t>
  </si>
  <si>
    <t>13/03 09:39 LABOL- LABORATORIO DE AN</t>
  </si>
  <si>
    <t>13/03 14:43 23125188000108 DENTAL SMIL</t>
  </si>
  <si>
    <t>13/03 08:51 08075247000189 UNNIQUE C L</t>
  </si>
  <si>
    <t>13/03 08:52 08075247000189 UNNIQUE C L</t>
  </si>
  <si>
    <t>13/03 13:51 03319496000159 Medcal Farm</t>
  </si>
  <si>
    <t>WURTH DO BRASIL PECAS DE FIXAC</t>
  </si>
  <si>
    <t>DIAGFAST PRODUTOS PARA LABORAT</t>
  </si>
  <si>
    <t>CRAL ARTIGOS LABORATORIO LTDA</t>
  </si>
  <si>
    <t>PLENA DIST DE MEDICAMENTOS LT</t>
  </si>
  <si>
    <t>14/03 17:53 POSTO SENADOR</t>
  </si>
  <si>
    <t>17/03 18:19 RP SERVICOS LABORATORIAI</t>
  </si>
  <si>
    <t>17/03 09:46 51058729000150 WELL LAB LA</t>
  </si>
  <si>
    <t>17/03 10:17 21709133000101 LABORATORIO</t>
  </si>
  <si>
    <t>17/03 14:23 03319496000159 Medcal Farm</t>
  </si>
  <si>
    <t>17/03 18:53 28155001000396 CLINICA SAN</t>
  </si>
  <si>
    <t>L AUTO C T RODOVIARIO SA</t>
  </si>
  <si>
    <t>18/03 13:21 S P FH L CLINICO</t>
  </si>
  <si>
    <t>18/03 07:16 28155001000396 CLINICA SAN</t>
  </si>
  <si>
    <t>18/03 14:30 03319496000159 MEDCAL FARM</t>
  </si>
  <si>
    <t>18/03 17:15 31748565000185 D P DA SILV</t>
  </si>
  <si>
    <t>18/03 23:14 28155001000396 CLINICA SAN</t>
  </si>
  <si>
    <t>BIOSUL PRODUTOS DIAGNOSTICOS L</t>
  </si>
  <si>
    <t>19/03 12:45 05146788000162 LAB IN VITR</t>
  </si>
  <si>
    <t>Maria Alice NF 3352</t>
  </si>
  <si>
    <t>Maria Alice NF 3336</t>
  </si>
  <si>
    <t>Maria Alice NF 3322</t>
  </si>
  <si>
    <t>19/03 15:55 51268273000152 J J Lobato</t>
  </si>
  <si>
    <t>19/03 14:45 POSTO SENADOR</t>
  </si>
  <si>
    <t>19/03 10:16 Caixa Economica Federal</t>
  </si>
  <si>
    <t>393 TED Transf.Eletr.Disponiv</t>
  </si>
  <si>
    <t>341 1446 072807043000194 LABORLAB PROD</t>
  </si>
  <si>
    <t>20/03 16:04 D&amp;M LABORATORIO DE ANALI</t>
  </si>
  <si>
    <t>20/03 09:13 08075247000189 UNNIQUE C L</t>
  </si>
  <si>
    <t>20/03 14:02 00004154178482 JUNIO ALEXA</t>
  </si>
  <si>
    <t>20/03 19:27 33716241000190 MAIS SAUDE</t>
  </si>
  <si>
    <t>20/03 09:12 08075247000189 UNNIQUE C L</t>
  </si>
  <si>
    <t>20/03 17:53 03319496000159 Medcal Farm</t>
  </si>
  <si>
    <t>20/03 09:29 Posto Parque Industrial</t>
  </si>
  <si>
    <t>PLENA DISTRIBUIDORA DE MEDICAM</t>
  </si>
  <si>
    <t>21/03 13:44 03319496000159 MEDCAL FARM</t>
  </si>
  <si>
    <t>21/03 15:32 00001692863479 ANDERSON V</t>
  </si>
  <si>
    <t>21/03 12:02 04399497000113 JOSSINEY DE</t>
  </si>
  <si>
    <t>21/03 13:23 TM COMBUSTIVEIS</t>
  </si>
  <si>
    <t>21/03 17:45 NATAL 1 OFICIO DE NOTAS</t>
  </si>
  <si>
    <t>24/03 09:44 00001692863479 ANDERSON V</t>
  </si>
  <si>
    <t>24/03 11:14 34398857000123 Labmais Dia</t>
  </si>
  <si>
    <t>25/03 17:26 23125188000108 DENTAL SMIL</t>
  </si>
  <si>
    <t>25/03 14:04 03319496000159 Medcal Farm</t>
  </si>
  <si>
    <t>25/03 20:46 POSTO DINIZ - EMAUS</t>
  </si>
  <si>
    <t>Maria Alice NF 3428</t>
  </si>
  <si>
    <t>27/03 15:53 CLINICA CLINCORDIS</t>
  </si>
  <si>
    <t>27/03 08:41 RP SERVICOS LABORATORIAI</t>
  </si>
  <si>
    <t>27/03 10:28 50804078000137 G C G FERNA</t>
  </si>
  <si>
    <t>27/03 13:35 03319496000159 Medcal Farm</t>
  </si>
  <si>
    <t>27/03 09:12 ATACADAO 0245 AS</t>
  </si>
  <si>
    <t>G1 DISTRIBUIDORA DE PRODUTOS F</t>
  </si>
  <si>
    <t>27/03 17:29 AMI SERVICOS AUXILIARES DE</t>
  </si>
  <si>
    <t>Tar. agrupadas - ocorrencia 27/03/2025</t>
  </si>
  <si>
    <t>28/03 13:23 09522383000132 CENTRO A C</t>
  </si>
  <si>
    <t>28/03 14:39 POSTO SAO LUIZ</t>
  </si>
  <si>
    <t>31/03 12:30 S P FH L CLINICO</t>
  </si>
  <si>
    <t>31/03 11:07 00025469932400 MARCOS EFR</t>
  </si>
  <si>
    <t>29/03 09:29 POSTO DINIZ - EMAUS</t>
  </si>
  <si>
    <t>Fatura</t>
  </si>
  <si>
    <t>Tipo</t>
  </si>
  <si>
    <t>Hematologia =</t>
  </si>
  <si>
    <t>TOTAL =</t>
  </si>
  <si>
    <t>01/04 15:08 32958432000104 SLE SERVICO</t>
  </si>
  <si>
    <t>01/04 15:57 01751313417 Nathaly Dandar</t>
  </si>
  <si>
    <t>01/04 22:02 01692863479 ANDERSON V OLI</t>
  </si>
  <si>
    <t>02/04 10:04 11006454000196 LAB DE ANAL</t>
  </si>
  <si>
    <t>02/04 15:40 28155001000396 CLINICA SAN</t>
  </si>
  <si>
    <t>02/04 07:56 01692863479 ANDERSON V OLI</t>
  </si>
  <si>
    <t>02/04 18:05 13640653000187 SILVA &amp; OLI</t>
  </si>
  <si>
    <t>02/04 08:31 POSTO DINIZ - EMAUS</t>
  </si>
  <si>
    <t>02/04 15:36 L E L MATRIX COM DE</t>
  </si>
  <si>
    <t>03/04 13:31 INSTITUTO ISSERN</t>
  </si>
  <si>
    <t>03/04 15:38 LABORATORIO LAPAC LTDA</t>
  </si>
  <si>
    <t>Coagulação</t>
  </si>
  <si>
    <t>Coagulação =</t>
  </si>
  <si>
    <t xml:space="preserve">Coagulação </t>
  </si>
  <si>
    <t>TT/TTPA =</t>
  </si>
  <si>
    <t>Pendente</t>
  </si>
  <si>
    <t>Ionograma =</t>
  </si>
  <si>
    <t>TT/TTPA</t>
  </si>
  <si>
    <t>Valor da nota R$ 149,35</t>
  </si>
  <si>
    <t>3305 e 3383</t>
  </si>
  <si>
    <t>Hematologia</t>
  </si>
  <si>
    <t>03/04 17:31 03319496000159 Medcal Farm</t>
  </si>
  <si>
    <t>03/04 17:36 TM COMBUSTIVEIS</t>
  </si>
  <si>
    <t>830 Dep dinheiro ATM</t>
  </si>
  <si>
    <t>04/04 15:01 SOP-PONTA NEGRA</t>
  </si>
  <si>
    <t>04/04 09:24 00037891987491 SILVAN SOUZ</t>
  </si>
  <si>
    <t>3375 e 3455</t>
  </si>
  <si>
    <t>Maria Alice NF 3468</t>
  </si>
  <si>
    <t>04/04 21:03 POSTO BRILHANTAO LTD</t>
  </si>
  <si>
    <t>RIOGRANDENSE D LTDA</t>
  </si>
  <si>
    <t>RENYLAB - QUIMICA E FARMACEUTI</t>
  </si>
  <si>
    <t>SUPER U TRANS A E ROD LTDA ME</t>
  </si>
  <si>
    <t>EXPRESSO FIEL LTDA</t>
  </si>
  <si>
    <t>KATAL BIOT IND COM LTDA</t>
  </si>
  <si>
    <t>07/04 10:32 TM COMBUSTIVEIS</t>
  </si>
  <si>
    <t>Cobrança referente 07/04/2025</t>
  </si>
  <si>
    <t>08/04 16:42 D&amp;M LABORATORIO DE ANALI</t>
  </si>
  <si>
    <t>08/04 09:30 S P FH L CLINICO</t>
  </si>
  <si>
    <t>08/04 09:51 51058729000150 WELL LAB LA</t>
  </si>
  <si>
    <t>08/04 14:18 09127333000150 AMIP ASSIST</t>
  </si>
  <si>
    <t>09/04 10:19 00001755421478 MARCILEIDE</t>
  </si>
  <si>
    <t>3313 e 3357</t>
  </si>
  <si>
    <t>3391 e 3451</t>
  </si>
  <si>
    <t>09/04 12:00 32958432000104 SLE SERVICO</t>
  </si>
  <si>
    <t>09/04 13:08 81315368404 FABIO DE OLIVE</t>
  </si>
  <si>
    <t>09/04 15:18 TM COMBUSTIVEIS</t>
  </si>
  <si>
    <t>MICROLINE COMERCIO E SERVICOS</t>
  </si>
  <si>
    <t>WAMA PRODUTOS PARA LABORATORIO</t>
  </si>
  <si>
    <t>09/04 17:41 Caixa Economica Federal</t>
  </si>
  <si>
    <t>10/04 10:41 08075247000189 UNNIQUE C L</t>
  </si>
  <si>
    <t>10/04 12:16 32958432000104 SLE SERVICO</t>
  </si>
  <si>
    <t>10/04 15:22 00023096748420 LUZANIRA DA</t>
  </si>
  <si>
    <t>10/04 10:33 08075247000189 UNNIQUE SAU</t>
  </si>
  <si>
    <t>10/04 14:01 28155001000396 CLINICA SAN</t>
  </si>
  <si>
    <t>10/04 17:14 17135621000185 E L SALGUEI</t>
  </si>
  <si>
    <t>10/04 14:09 PUBLYO B F COSTA</t>
  </si>
  <si>
    <t>CONSORCIO NACIONAL DE LICITACA</t>
  </si>
  <si>
    <t>11/04 16:41 LABOL- LABORATORIO DE AN</t>
  </si>
  <si>
    <t>11/04 15:24 CLINICA CLINCORDIS</t>
  </si>
  <si>
    <t>11/04 10:48 09522383000132 CENTRO A C</t>
  </si>
  <si>
    <t>Maria Alice NF 3496</t>
  </si>
  <si>
    <t>14/04 16:20 28722473000111 DROGARIA FR</t>
  </si>
  <si>
    <t>Maria Alice 3521</t>
  </si>
  <si>
    <t>14/04 15:55 12644969000184 I M M VAREL</t>
  </si>
  <si>
    <t>14/04 15:21 ROMUALDO GALVAO COME</t>
  </si>
  <si>
    <t>14/04 11:33 O BORRACHAO VAREJO</t>
  </si>
  <si>
    <t>14/04 12:07 CASA NORTE ATACADO</t>
  </si>
  <si>
    <t>14/04 12:10 CASA NORTE ATACADO</t>
  </si>
  <si>
    <t>15/04 09:32 00011749646420 MARIA HELOY</t>
  </si>
  <si>
    <t>3320 e 3349</t>
  </si>
  <si>
    <t>3398 e 3435</t>
  </si>
  <si>
    <t>15/04 11:43 LMSERVGRAFICA COPIAD</t>
  </si>
  <si>
    <t>15/04 16:55 TM COMBUSTIVEIS</t>
  </si>
  <si>
    <t>16/04 08:06 51058729000150 WELL LAB LA</t>
  </si>
  <si>
    <t>16/04 08:24 08920126000196 BELEM BREJO</t>
  </si>
  <si>
    <t>16/04 14:49 00001136247432 POLYANNA KA</t>
  </si>
  <si>
    <t>16/04 10:00 83738657487 MAGNUS SOARES</t>
  </si>
  <si>
    <t>17/04 10:23 08075247000189 UNNIQUE C L</t>
  </si>
  <si>
    <t>17/04 17:32 00001136247432 POLYANNA KA</t>
  </si>
  <si>
    <t>FTs ID. 26829801 A COMP. SET 2022 JU</t>
  </si>
  <si>
    <t>Termo de reconhecimento de divida HDMC</t>
  </si>
  <si>
    <t xml:space="preserve">Hematologia </t>
  </si>
  <si>
    <t>17/04 10:24 08075247000189 UNNIQUE C L</t>
  </si>
  <si>
    <t>17/04 10:51 34398857000123 Labmais Dia</t>
  </si>
  <si>
    <t>17/04 16:32 JONATAN EDUARDO M SILVA</t>
  </si>
  <si>
    <t>22/04 15:48 S P FH L CLINICO</t>
  </si>
  <si>
    <t>22/04 13:09 00061690104449 ELIANE PORT</t>
  </si>
  <si>
    <t>22/04 16:10 48138959487 HUDMAR DE SOUS</t>
  </si>
  <si>
    <t>22/04 10:58 TM COMBUSTIVEIS</t>
  </si>
  <si>
    <t>19/04 11:57 POSTO CIRNE I</t>
  </si>
  <si>
    <t>STER BOM IND E COM LTDA</t>
  </si>
  <si>
    <t>22/04 17:03 Auvo Tecnologia</t>
  </si>
  <si>
    <t>23/04 08:03 01692863479 ANDERSON V OLI</t>
  </si>
  <si>
    <t>23/04 11:02 17135621000185 PET SHOP RE</t>
  </si>
  <si>
    <t>24/04 08:37 50804078000137 G C G FERNA</t>
  </si>
  <si>
    <t>24/04 11:35 00079140777472 MARCOS A G</t>
  </si>
  <si>
    <t>24/04 13:43 13066155000172 MARIA J A M</t>
  </si>
  <si>
    <t>24/04 12:56 50252221000125 Labor Vida</t>
  </si>
  <si>
    <t>24/04 09:39 TM COMBUSTIVEIS</t>
  </si>
  <si>
    <t>AIRSUPPLY LOGISTICA T LTDA</t>
  </si>
  <si>
    <t>104 0034 83738657487 MAGNUS SOARES DA</t>
  </si>
  <si>
    <t>104 0034 65427238468 PAULO SERGIO SOAR</t>
  </si>
  <si>
    <t>ARRECADACAO PM PARNAMIRIM</t>
  </si>
  <si>
    <t>310 Tar DOC/TED Eletrônico</t>
  </si>
  <si>
    <t>Cobrança referente 24/04/2025</t>
  </si>
  <si>
    <t>25/04 14:06 EXPRESSO FIEL</t>
  </si>
  <si>
    <t>Tar. agrupadas - ocorrencia 25/04/2025</t>
  </si>
  <si>
    <t>28/04 15:01 S P FH L CLINICO</t>
  </si>
  <si>
    <t>PMN SMS FONTE 111</t>
  </si>
  <si>
    <t>Prefeitura de Saude de Natal</t>
  </si>
  <si>
    <t>MUNICIPIO DE NATAL</t>
  </si>
  <si>
    <t>28/04 13:41 12644969000184 I M M VAREL</t>
  </si>
  <si>
    <t>28/04 17:36 83738657487 MAGNUS SOARES</t>
  </si>
  <si>
    <t>28/04 14:04 BERLINF*AC CAMARA CA</t>
  </si>
  <si>
    <t>27/04 17:32 POSTO INTEGRACAO</t>
  </si>
  <si>
    <t>BANCO VOTORANTIM S/A</t>
  </si>
  <si>
    <t>KACIL INDUSTRIA E COMERCIO LTD</t>
  </si>
  <si>
    <t>28/04 15:45 RV TECNOLOGIA E SISTEMAS S</t>
  </si>
  <si>
    <t>TP/TTPA</t>
  </si>
  <si>
    <t>29/04 15:45 12644969000184 I M M VAREL</t>
  </si>
  <si>
    <t>29/04 15:55 12644969000184 I M M VAREL</t>
  </si>
  <si>
    <t>29/04 09:28 POSTO CIRNE I</t>
  </si>
  <si>
    <t>HELSE - COMERCIO DE EQUIPAMENT</t>
  </si>
  <si>
    <t>30/04 09:14 CLINICA CLINCORDIS</t>
  </si>
  <si>
    <t>30/04 08:48 17541811000100 DROGARIA ME</t>
  </si>
  <si>
    <t>30/04 09:11 30891947000109 CENTRO AVAN</t>
  </si>
  <si>
    <t>30/04 15:06 48138959487 HUDMAR DE SOUS</t>
  </si>
  <si>
    <t>30/04 16:03 33614024415 ALBERTO DA COS</t>
  </si>
  <si>
    <t>Total           =</t>
  </si>
  <si>
    <t>Medcal P/ Medcal via sicred</t>
  </si>
  <si>
    <t>02/05 13:15 09522383000132 CENTRO A C</t>
  </si>
  <si>
    <t>02/05 14:45 00001692863479 ANDERSON V</t>
  </si>
  <si>
    <t>3168 e 3211</t>
  </si>
  <si>
    <t>Coagulação    =</t>
  </si>
  <si>
    <t>Baixado      =</t>
  </si>
  <si>
    <t>TT/TTPA          =</t>
  </si>
  <si>
    <t>Pendente  =</t>
  </si>
  <si>
    <t>Ionograma     =</t>
  </si>
  <si>
    <t>02/05 10:27 12644969000184 I M M VAREL</t>
  </si>
  <si>
    <t>02/05 11:25 14054616000150 MAFALDO &amp; S</t>
  </si>
  <si>
    <t>02/05 13:01 01850297444 JOSE DO EGITO</t>
  </si>
  <si>
    <t>02/05 16:46 02400158436 João Hélio Oli</t>
  </si>
  <si>
    <t>02/05 16:07 FLOR E OLIVEIRA LTDA</t>
  </si>
  <si>
    <t>02/05 11:26 BRASIL EMBALAGEM</t>
  </si>
  <si>
    <t>Instituto ISSERN</t>
  </si>
  <si>
    <t>05/05 13:18 INSTITUTO ISSERN</t>
  </si>
  <si>
    <t>05/05 09:39 00025469932400 MARCOS EFR</t>
  </si>
  <si>
    <t>05/05 10:32 08075247000189 UNNIQUE C L</t>
  </si>
  <si>
    <t>05/05 10:33 08075247000189 UNNIQUE C L</t>
  </si>
  <si>
    <t>05/05 07:57 28155001000396 CLINICA SAN</t>
  </si>
  <si>
    <t>05/05 09:41 25469932400 MARCOS EFRAIM</t>
  </si>
  <si>
    <t>05/05 10:18 81315368404 FABIO DE OLIVE</t>
  </si>
  <si>
    <t>04/05 18:26 POSTO DINIZ - EMAUS</t>
  </si>
  <si>
    <t>06/05 09:37 08075247000189 UNNIQUE C L</t>
  </si>
  <si>
    <t>06/05 10:00 51936203000125 CLINICLAB E</t>
  </si>
  <si>
    <t>06/05 16:29 00001755421478 MARCILEIDE</t>
  </si>
  <si>
    <t>06/05 19:18 POSTO DINIZ - EMAUS</t>
  </si>
  <si>
    <t>Cobrança referente 06/05/2025</t>
  </si>
  <si>
    <t>FUNDO MUNICIPAL DE SAUDE</t>
  </si>
  <si>
    <t>07/05 11:15 FUNDO MUNICIPAL DE SAUDE</t>
  </si>
  <si>
    <t>S P FH L CLINICO</t>
  </si>
  <si>
    <t>07/05 10:52 S P FH L CLINICO</t>
  </si>
  <si>
    <t>07/05 15:50 02308892000207 LABOCLINICA</t>
  </si>
  <si>
    <t>07/05 13:54 09127333000150 ASSISTENCIA</t>
  </si>
  <si>
    <t>07/05 17:59 TM COMBUSTIVEIS</t>
  </si>
  <si>
    <t>07/05 13:39 JONATAN EDUARDO M SILVA</t>
  </si>
  <si>
    <t>07/05 13:41 RHOZA MARIA ARAUJO DE ME</t>
  </si>
  <si>
    <t>EQUIP SERVICE COM SERV LTDA</t>
  </si>
  <si>
    <t>07/05 13:45 Gerte Ridia Carvalho</t>
  </si>
  <si>
    <t>07/05 13:50 PAULO SERGIO SOARES DA COS</t>
  </si>
  <si>
    <t>LAB A C DANTAS LTDA</t>
  </si>
  <si>
    <t>08/05 15:12 LAB A C DANTAS LTDA</t>
  </si>
  <si>
    <t>08/05 17:13 PG POSTOS</t>
  </si>
  <si>
    <t>12/05 11:30 40517318000169 DROGARIA BE</t>
  </si>
  <si>
    <t>12/05 11:32 17328794000110 Drogaria Be</t>
  </si>
  <si>
    <t>12/05 11:57 32958432000104 SLE SERVICO</t>
  </si>
  <si>
    <t>12/05 14:50 12644969000184 I M M VAREL</t>
  </si>
  <si>
    <t>12/05 19:24 17135621000185 E L SALGUEI</t>
  </si>
  <si>
    <t>12/05 10:12 TM COMBUSTIVEIS</t>
  </si>
  <si>
    <t>J. K. DE S. SILVA ME</t>
  </si>
  <si>
    <t>13/05 08:24 51936203000125 CLINICLAB E</t>
  </si>
  <si>
    <t>13/05 17:07 TM COMBUSTIVEIS</t>
  </si>
  <si>
    <t>14/05 11:12 28155001000396 CLINICA SAN</t>
  </si>
  <si>
    <t>14/05 15:05 12644969000184 I M M VAREL</t>
  </si>
  <si>
    <t>14/05 15:42 40784407000171 CENTRO CLIN</t>
  </si>
  <si>
    <t>Pagamento de Restos a Pagar</t>
  </si>
  <si>
    <t>2903 e 2872</t>
  </si>
  <si>
    <t>Ionograma</t>
  </si>
  <si>
    <t>14/05 11:07 28155001000396 CLINICA SAN</t>
  </si>
  <si>
    <t>14/05 11:08 Secretaria De Estado De Tr</t>
  </si>
  <si>
    <t>14/05 11:09 Secretaria De Estado De Tr</t>
  </si>
  <si>
    <t>Cobrança referente 14/05/2025</t>
  </si>
  <si>
    <t>D&amp;M LABORATORIO DE ANALI</t>
  </si>
  <si>
    <t>15/05 14:45 D&amp;M LABORATORIO DE ANALI</t>
  </si>
  <si>
    <t>15/05 14:46 D&amp;M LABORATORIO DE ANALI</t>
  </si>
  <si>
    <t>15/05 10:39 08075247000189 UNNIQUE C L</t>
  </si>
  <si>
    <t>3189 e 3223</t>
  </si>
  <si>
    <t>3259  3288</t>
  </si>
  <si>
    <t>15/05 15:11 40784407000171 CENTRO CLIN</t>
  </si>
  <si>
    <t>15/05 15:13 40784407000171 CENTRO CLIN</t>
  </si>
  <si>
    <t>15/05 15:15 40784407000171 CENTRO CLIN</t>
  </si>
  <si>
    <t>15/05 17:57 POSTO DINIZ - EMAUS</t>
  </si>
  <si>
    <t>15/05 19:27 POSTO DINIZ - EMAUS</t>
  </si>
  <si>
    <t>438 TED</t>
  </si>
  <si>
    <t>748 2207 003319496000159 MEDCAL FARMA</t>
  </si>
  <si>
    <t>SEC TRIBUTACAO RN IPVA</t>
  </si>
  <si>
    <t>SECRETARIA DE ESTADO DA FAZEND</t>
  </si>
  <si>
    <t>PAGCERTO INSTITUICAO DE PAGAME</t>
  </si>
  <si>
    <t>15/05 14:40 CAIXA ECONOMICA FEDERAL</t>
  </si>
  <si>
    <t>VIDA BIOTECNOLOGIA LTDA</t>
  </si>
  <si>
    <t>Cobrança referente 15/05/2025</t>
  </si>
  <si>
    <t>16/05 14:55 03319496000159 MEDCAL FARM</t>
  </si>
  <si>
    <t>3310 e 3364</t>
  </si>
  <si>
    <t>3388 e 3461</t>
  </si>
  <si>
    <t>VIA MUNDO TRANSAEREO TRANSPORT</t>
  </si>
  <si>
    <t>19/05 14:24 03319496000159 MEDCAL FARM</t>
  </si>
  <si>
    <t>LOCA O DE EQUIPAMENTO DE IONOGRAMA E FO SESAP HOSPITAL COLONIA DR FAT 3015</t>
  </si>
  <si>
    <t>LOCA O DE EQUIPAMENTO DE IONOGRAMA E FO SESAP HOSPITAL COLONIA DR</t>
  </si>
  <si>
    <t>LOCA O DE EQUIPAMENTO DE IONOGRAMA E FO SESAP HOSPITAL COLONIA DR FAT 3144</t>
  </si>
  <si>
    <t>19/05 14:07 48138959487 HUDMAR DE SOUS</t>
  </si>
  <si>
    <t>18/05 11:44 ATACADAO 0245 AS</t>
  </si>
  <si>
    <t>19/05 14:34 TM COMBUSTIVEIS</t>
  </si>
  <si>
    <t>RP SERVICOS LABORATORIAI</t>
  </si>
  <si>
    <t>20/05 07:26 RP SERVICOS LABORATORIAI</t>
  </si>
  <si>
    <t>20/05 10:28 11275782000198 LABOL LABOR</t>
  </si>
  <si>
    <t>20/05 10:55 00081315368404 FABIO DE OL</t>
  </si>
  <si>
    <t>20/05 15:30 03319496000159 MEDCAL FARM</t>
  </si>
  <si>
    <t>20/05 09:29 04585870000120 LAPAC LABOR</t>
  </si>
  <si>
    <t>AUVO TECNOLOGIA S.A.</t>
  </si>
  <si>
    <t>21/05 10:57 D&amp;M LABORATORIO DE ANALI</t>
  </si>
  <si>
    <t>21/05 16:20 00004154178482 JUNIO ALEXA</t>
  </si>
  <si>
    <t>21/05 14:47 03319496000159 Medcal Farm</t>
  </si>
  <si>
    <t>22/05 13:35 03319496000159 MEDCAL FARM</t>
  </si>
  <si>
    <t>22/05 14:04 12644969000184 I M M VAREL</t>
  </si>
  <si>
    <t>23/05 15:38 SOP-PRUDENTE DE MORA</t>
  </si>
  <si>
    <t>23/05 15:39 SOP-PRUDENTE DE MORA</t>
  </si>
  <si>
    <t>23/05 15:40 SOP-PRUDENTE DE MORA</t>
  </si>
  <si>
    <t>23/05 15:41 SOP-PRUDENTE DE MORA</t>
  </si>
  <si>
    <t>23/05 15:42 SOP-PRUDENTE DE MORA</t>
  </si>
  <si>
    <t>23/05 15:43 SOP-PRUDENTE DE MORA</t>
  </si>
  <si>
    <t>23/05 15:44 SOP-PRUDENTE DE MORA</t>
  </si>
  <si>
    <t>23/05 15:47 SOP-PRUDENTE DE MORA</t>
  </si>
  <si>
    <t>23/05 15:48 SOP-PRUDENTE DE MORA</t>
  </si>
  <si>
    <t>23/05 15:49 SOP-PRUDENTE DE MORA</t>
  </si>
  <si>
    <t>23/05 15:54 SOP-PRUDENTE DE MORA</t>
  </si>
  <si>
    <t>23/05 15:55 SOP-PRUDENTE DE MORA</t>
  </si>
  <si>
    <t>23/05 15:56 SOP-PRUDENTE DE MORA</t>
  </si>
  <si>
    <t>23/05 15:57 SOP-PRUDENTE DE MORA</t>
  </si>
  <si>
    <t>23/05 15:58 SOP-PRUDENTE DE MORA</t>
  </si>
  <si>
    <t>23/05 15:35 SOP-PRUDENTE DE MORA</t>
  </si>
  <si>
    <t>23/05 09:15 CLINICA CLINCORDIS</t>
  </si>
  <si>
    <t>23/05 11:42 S P FH L CLINICO</t>
  </si>
  <si>
    <t>23/05 13:30 S P FH L CLINICO</t>
  </si>
  <si>
    <t>3527 e 3483</t>
  </si>
  <si>
    <t>23/05 15:20 00009126946459 ITALO GUSTA</t>
  </si>
  <si>
    <t>23/05 10:37 03319496000159 Medcal Farm</t>
  </si>
  <si>
    <t>23/05 10:14 TM COMBUSTIVEIS</t>
  </si>
  <si>
    <t>Cobrança referente 23/05/2025</t>
  </si>
  <si>
    <t>26/05 14:10 51058729000150 WELL LAB LA</t>
  </si>
  <si>
    <t>26/05 17:16 03319496000159 MEDCAL FARM</t>
  </si>
  <si>
    <t>27/05 08:12 10346016000104 NATAL LAB -</t>
  </si>
  <si>
    <t>27/05 11:43 12644969000184 I M M VAREL</t>
  </si>
  <si>
    <t>27/05 12:12 00083738657487 MAGNUS SOAR</t>
  </si>
  <si>
    <t>27/05 17:10 03367675000161 CLINICA VET</t>
  </si>
  <si>
    <t>27/05 17:17 03319496000159 MEDCAL FARM</t>
  </si>
  <si>
    <t>27/05 10:20 50804078000137 G C G FERNA</t>
  </si>
  <si>
    <t>27/05 15:37 TM COMBUSTIVEIS</t>
  </si>
  <si>
    <t>BACARIN RN INDUSTRIA E COMERCI</t>
  </si>
  <si>
    <t>28/05 16:15 23125188000108 DENTAL SMIL</t>
  </si>
  <si>
    <t>TOLEDO DO BRASIL IND BAL LTDA</t>
  </si>
  <si>
    <t>28/05 17:46 Pagueveloz</t>
  </si>
  <si>
    <t>3306, 3319 e 3347</t>
  </si>
  <si>
    <t>3384, 3397 e 3432</t>
  </si>
  <si>
    <t>29/05 11:05 28155001000396 CLINICA SAN</t>
  </si>
  <si>
    <t>29/05 20:26 01680906000167 MICROLAB LA</t>
  </si>
  <si>
    <t>29/05 16:43 TM COMBUSTIVEIS</t>
  </si>
  <si>
    <t>29/05 11:21 JONATAN EDUARDO M SILVA</t>
  </si>
  <si>
    <t>30/05 10:16 08075247000189 UNNIQUE C L</t>
  </si>
  <si>
    <t>30/05 11:03 Secretaria De Estado De Tr</t>
  </si>
  <si>
    <t>30/05 11:34 FMS SANTA MARIA RN FUS</t>
  </si>
  <si>
    <t>976 TED Transf.Eletr.Disponív</t>
  </si>
  <si>
    <t>J PROLAB INDUSTRIA E COMERCIO</t>
  </si>
  <si>
    <t>02/06 15:33 51058729000150 WELL LAB LA</t>
  </si>
  <si>
    <t>Baixados =</t>
  </si>
  <si>
    <t>Pendente =</t>
  </si>
  <si>
    <t>02/06 16:11 TM COMBUSTIVEIS</t>
  </si>
  <si>
    <t>03/06 09:02 48138959487 HUDMAR DE SOUS</t>
  </si>
  <si>
    <t>03/06 13:32 03319496000159 Medcal Farm</t>
  </si>
  <si>
    <t>03/06 19:22 13640653000187 SILVA &amp; OLI</t>
  </si>
  <si>
    <t>04/06 12:33 09127333000150 ASSISTENCIA</t>
  </si>
  <si>
    <t>104 0760 12148443000103 FMS DE RIACHUE</t>
  </si>
  <si>
    <t>05/06 17:19 03319496000159 MEDCAL FARM</t>
  </si>
  <si>
    <t>05/06 20:46 00007682932430 WELLINGTON</t>
  </si>
  <si>
    <t>05/06 12:08 12644969000184 I M M VAREL</t>
  </si>
  <si>
    <t>05/06 13:02 06999111000130 Ambrosio Ch</t>
  </si>
  <si>
    <t>05/06 19:44 MENDES PETROLEO LTDA</t>
  </si>
  <si>
    <t>05/06 17:31 JONATAN EDUARDO M SILVA</t>
  </si>
  <si>
    <t>05/06 17:32 RHOZA MARIA ARAUJO DE ME</t>
  </si>
  <si>
    <t>05/06 16:38 M &amp; S LOCACOES LTDA</t>
  </si>
  <si>
    <t>05/06 17:36 Gerte Ridia Carvalho</t>
  </si>
  <si>
    <t>Cobrança referente 05/06/2025</t>
  </si>
  <si>
    <t>06/06 15:50 40784407000171 CENTRO CLIN</t>
  </si>
  <si>
    <t>PP do servi o de loca o de equipamento 3574</t>
  </si>
  <si>
    <t>Maria Alice</t>
  </si>
  <si>
    <t>06/06 14:47 M &amp; S LOCACOES LTDA</t>
  </si>
  <si>
    <t>09/06 17:32 D&amp;M LABORATORIO DE ANALI</t>
  </si>
  <si>
    <t>Pagamento informado duas vezes</t>
  </si>
  <si>
    <t>09/06 21:36 POSTO CIRNE PARNAMIR</t>
  </si>
  <si>
    <t>MANACA EXPRESS LTDA</t>
  </si>
  <si>
    <t>10/06 10:48 PM ARARUNA -FUS</t>
  </si>
  <si>
    <t>10/06 15:43 21709133000101 LABORATORIO</t>
  </si>
  <si>
    <t>10/06 19:12 17135621000185 E L SALGUEI</t>
  </si>
  <si>
    <t>3645 e 3660</t>
  </si>
  <si>
    <t>3683 e 3670</t>
  </si>
  <si>
    <t>3705 e 3694</t>
  </si>
  <si>
    <t>3614 e 3602</t>
  </si>
  <si>
    <t>10/06 14:26 M &amp; S LOCACOES LTDA</t>
  </si>
  <si>
    <t>Tar. agrupadas - ocorrencia 10/06/2025</t>
  </si>
  <si>
    <t>11/06 10:26 03319496000159 MEDCAL FARM</t>
  </si>
  <si>
    <t>11/06 14:52 50252221000125 Labor Vida</t>
  </si>
  <si>
    <t>104 2008 12047228000116 FUNDO MUNICIPA</t>
  </si>
  <si>
    <t>12/06 11:01 32958432000104 SLE SERVICO</t>
  </si>
  <si>
    <t>12/06 20:08 51058729000150 Well Lab La</t>
  </si>
  <si>
    <t>12/06 23:24 POSTO DINIZ - EMAUS</t>
  </si>
  <si>
    <t>PP da loca o de equipamento de ionogram 3735</t>
  </si>
  <si>
    <t>3654, 3679, 3701 e 3610</t>
  </si>
  <si>
    <t>3641, 3661, 3690 e 3598</t>
  </si>
  <si>
    <t>3659, 3682, 3704 e 3613</t>
  </si>
  <si>
    <t>16/06 14:05 81315368404 FABIO DE OLIVE</t>
  </si>
  <si>
    <t>16/06 15:27 65427238468 PAULO SERGIO S</t>
  </si>
  <si>
    <t>17/06 10:11 48899285000170 GROUP PMD</t>
  </si>
  <si>
    <t>3485 e 3511</t>
  </si>
  <si>
    <t>17/06 17:34 TM COMBUSTIVEIS</t>
  </si>
  <si>
    <t>18/06 11:24 MAGNUS SOARES DA COSTA</t>
  </si>
  <si>
    <t>18/06 08:16 38095897000157 CLINICA MED</t>
  </si>
  <si>
    <t>3653 e 3637</t>
  </si>
  <si>
    <t>3678 e 3665</t>
  </si>
  <si>
    <t>3700 e 3689</t>
  </si>
  <si>
    <t>3609 e 3603</t>
  </si>
  <si>
    <t>18/06 13:42 03319496000159 Medcal Farm</t>
  </si>
  <si>
    <t>18/06 11:56 CAIXA ECONOMICA FEDERAL</t>
  </si>
  <si>
    <t>Cobrança referente 18/06/2025</t>
  </si>
  <si>
    <t>20/06 10:59 51936203000125 CLINICLAB E</t>
  </si>
  <si>
    <t>20/06 11:04 12644969000184 I M M VAREL</t>
  </si>
  <si>
    <t>20/06 14:29 00065427238468 PAULO SERGI</t>
  </si>
  <si>
    <t>20/06 16:37 00065427238468 PAULO SERGI</t>
  </si>
  <si>
    <t>20/06 11:48 83738657487 MAGNUS SOARES</t>
  </si>
  <si>
    <t>FARMAUM NATAL MEDICAMENTOS LTD</t>
  </si>
  <si>
    <t>23/06 10:45 13640653000187 SILVA OLI</t>
  </si>
  <si>
    <t>23/06 13:44 51936203000125 CLINICLAB E</t>
  </si>
  <si>
    <t>23/06 14:52 65427238468 PAULO SERGIO S</t>
  </si>
  <si>
    <t>23/06 16:03 04583708000173 C A C PAREL</t>
  </si>
  <si>
    <t>23/06 16:17 50685519000129 NATHALIA SA</t>
  </si>
  <si>
    <t>23/06 10:10 TM COMBUSTIVEIS</t>
  </si>
  <si>
    <t>RIO GRANDENSE DISTRIBUIDORA LT</t>
  </si>
  <si>
    <t>24/06 08:18 RP SERVICOS LABORATORIAI</t>
  </si>
  <si>
    <t>3556 e 3728</t>
  </si>
  <si>
    <t>24/06 16:22 00048138959487 HUDMAR DE S</t>
  </si>
  <si>
    <t>24/06 14:16 65427238468 PAULO SERGIO S</t>
  </si>
  <si>
    <t>24/06 11:06 AURI AUTO PECAS</t>
  </si>
  <si>
    <t>24/06 10:19 TM COMBUSTIVEIS</t>
  </si>
  <si>
    <t>Sanafarma</t>
  </si>
  <si>
    <t>25/06 13:51 00081315368404 FABIO DE OL</t>
  </si>
  <si>
    <t>25/06 16:15 48899285000170 GROUP PMD</t>
  </si>
  <si>
    <t>25/06 17:16 43953076000144 HOSPITAL VE</t>
  </si>
  <si>
    <t>25/06 13:50 03319496000159 Medcal Farm</t>
  </si>
  <si>
    <t>25/06 13:58 65427238468 PAULO SERGIO S</t>
  </si>
  <si>
    <t>25/06 14:02 83738657487 Magnus Soares</t>
  </si>
  <si>
    <t>25/06 15:39 03319496000159 Medcal Farm</t>
  </si>
  <si>
    <t>25/06 15:18 PAULO SERGIO SOARES DA COS</t>
  </si>
  <si>
    <t>303 Pagto via Auto-Atend.BB</t>
  </si>
  <si>
    <t>JUCERN-JUNTA COM DO RN</t>
  </si>
  <si>
    <t>Tar. agrupadas - ocorrencia 25/06/2025</t>
  </si>
  <si>
    <t>26/06 12:15 FUNDO MUNICIPAL DE SAUDE</t>
  </si>
  <si>
    <t>26/06 17:52 58221917000104 WB SERVICOS</t>
  </si>
  <si>
    <t>26/06 17:55 58221917000104 WB SERVICOS</t>
  </si>
  <si>
    <t>26/06 16:04 65427238468 PAULO SERGIO S</t>
  </si>
  <si>
    <t>MULTAS DETRAN</t>
  </si>
  <si>
    <t>33442.1</t>
  </si>
  <si>
    <t>33442.1 </t>
  </si>
  <si>
    <t>27/06 16:17 03319496000159 MEDCAL FARM</t>
  </si>
  <si>
    <t>27/06 15:42 JONATAN EDUARDO M SILVA</t>
  </si>
  <si>
    <t>FDS TECNOLOGIA LTDA ME</t>
  </si>
  <si>
    <t>Cobrança referente 27/06/2025</t>
  </si>
  <si>
    <t>30/06 16:06 00065427238468 PAULO SERGI</t>
  </si>
  <si>
    <t>29/06 16:11 POSTO ESTRELA DA BR</t>
  </si>
  <si>
    <t>28/06 16:27 POSTOS PICHILAU</t>
  </si>
  <si>
    <t>28/06 11:44 POSTO DINIZ - EMAUS</t>
  </si>
  <si>
    <t>30/06 10:36 CASA NORTE ATACADO</t>
  </si>
  <si>
    <t>Cobrança referente 30/06/2025</t>
  </si>
  <si>
    <t>Hematologia/165 =</t>
  </si>
  <si>
    <t>FT 3538</t>
  </si>
  <si>
    <t>Coagulação/141    =</t>
  </si>
  <si>
    <t>FTs 3094 e 3115</t>
  </si>
  <si>
    <t>FT 3629</t>
  </si>
  <si>
    <t>Ionograma/220     =</t>
  </si>
  <si>
    <t>FT 2923</t>
  </si>
  <si>
    <t>FT 3675</t>
  </si>
  <si>
    <t>FT 3671</t>
  </si>
  <si>
    <t>FTs 3715</t>
  </si>
  <si>
    <t>FTs 2445.1, 2447.1, 2915.1, 2921.1, 2926</t>
  </si>
  <si>
    <t xml:space="preserve">R$ 15691,68 - No extrato não coube todas as faturas. </t>
  </si>
  <si>
    <t>FTs 3707</t>
  </si>
  <si>
    <t>FT 3696</t>
  </si>
  <si>
    <t>FT 3685</t>
  </si>
  <si>
    <t>FT 2753</t>
  </si>
  <si>
    <t>FT 3605</t>
  </si>
  <si>
    <t>FT 3594</t>
  </si>
  <si>
    <t>FT 2335</t>
  </si>
  <si>
    <t>FATURA 3524</t>
  </si>
  <si>
    <t>FATURA 3481</t>
  </si>
  <si>
    <t>01/07 15:57 JONATAN EDUARDO M SILVA</t>
  </si>
  <si>
    <t>01/07 15:55 RHOZA MARIA ARAUJO DE ME</t>
  </si>
  <si>
    <t>01/07 10:41 MAGNUS SOARES DA COSTA</t>
  </si>
  <si>
    <t>01/07 15:02 MAGNUS SOARES DA COSTA</t>
  </si>
  <si>
    <t>01/07 10:42 PAULO SERGIO SOARES DA COS</t>
  </si>
  <si>
    <t>01/07 11:29 M &amp; S LOCACOES LTDA</t>
  </si>
  <si>
    <t>01/07 17:34 PAULO SERGIO SOARES DA COS</t>
  </si>
  <si>
    <t>02/07 11:29 32958432000104 SLE SERVICO</t>
  </si>
  <si>
    <t>02/07 15:16 00061690104449 ELIANE PORT</t>
  </si>
  <si>
    <t>02/07 15:57 35293141000124 Centro De A</t>
  </si>
  <si>
    <t>FT 3030</t>
  </si>
  <si>
    <t>FT 2988</t>
  </si>
  <si>
    <t>FATURA 3726</t>
  </si>
  <si>
    <t>FT 3542</t>
  </si>
  <si>
    <t>FATURA 3651</t>
  </si>
  <si>
    <t>FATURA 3633</t>
  </si>
  <si>
    <t>FATURA 3677</t>
  </si>
  <si>
    <t>Pagamento informado duas vezes - pagamento correto</t>
  </si>
  <si>
    <t>FTs 2179.1 e 2192</t>
  </si>
  <si>
    <t>FATURA 3698</t>
  </si>
  <si>
    <t>FATURA 3687</t>
  </si>
  <si>
    <t>FATURA 3607</t>
  </si>
  <si>
    <t>FATURA 3596</t>
  </si>
  <si>
    <t>FT 3116</t>
  </si>
  <si>
    <t>FT 3095</t>
  </si>
  <si>
    <t>FT 2176</t>
  </si>
  <si>
    <t>FT 2751</t>
  </si>
  <si>
    <t>FT 2658</t>
  </si>
  <si>
    <t>FT 2574</t>
  </si>
  <si>
    <t>FT 2495</t>
  </si>
  <si>
    <t>FT 2426</t>
  </si>
  <si>
    <t>FT 2333</t>
  </si>
  <si>
    <t>FT 2241</t>
  </si>
  <si>
    <t>02/07 13:58 BERLINF*AC NOVA DESC</t>
  </si>
  <si>
    <t>02/07 17:59 POSTO SENADOR</t>
  </si>
  <si>
    <t>02/07 11:08 THAIS ARAUJO BEZERRA</t>
  </si>
  <si>
    <t>02/07 10:43 PUBLYO B F COSTA</t>
  </si>
  <si>
    <t>02/07 12:00 CAIXA ECONOMICA FEDERAL</t>
  </si>
  <si>
    <t>03/07 10:29 13640653000187 SILVA &amp; OLI</t>
  </si>
  <si>
    <t>03/07 17:26 37891987491 SILVAN SOUZA D</t>
  </si>
  <si>
    <t>FTs 2190.1, 2929.1, 2924.1, 2916.1, 2913</t>
  </si>
  <si>
    <t>R$ 5193,84 - No extrato não coube todas as faturas</t>
  </si>
  <si>
    <t>FATURA 3573</t>
  </si>
  <si>
    <t>FATURA 3624</t>
  </si>
  <si>
    <t>FTs 3575</t>
  </si>
  <si>
    <t>FTs 3554</t>
  </si>
  <si>
    <t>FT 3505</t>
  </si>
  <si>
    <t>ULTRALOCK RASTREAMENTO LTDA</t>
  </si>
  <si>
    <t>NU PAGAMENTOS SA</t>
  </si>
  <si>
    <t>Base</t>
  </si>
  <si>
    <t>Tia criou NF a mais e foi paga :(</t>
  </si>
  <si>
    <t>FTs 3581</t>
  </si>
  <si>
    <t>FT 2424</t>
  </si>
  <si>
    <t>FT 2454</t>
  </si>
  <si>
    <t>04/07 10:48 PostoAtlantica</t>
  </si>
  <si>
    <t>07/07 13:22 D&amp;M LABORATORIO DE ANALI</t>
  </si>
  <si>
    <t>07/07 16:07 04399497000113 JOSSINEY DE</t>
  </si>
  <si>
    <t>07/07 12:07 R N FLEX MANGUEIRAS</t>
  </si>
  <si>
    <t>Cobrança referente 07/07/2025</t>
  </si>
  <si>
    <t>08/07 14:30 S P FH L CLINICO</t>
  </si>
  <si>
    <t>08/07 09:12 04399497000113 JOSSINEY DE</t>
  </si>
  <si>
    <t>08/07 12:32 09127333000150 AMIP ASSSIN</t>
  </si>
  <si>
    <t>FATURA 3819</t>
  </si>
  <si>
    <t>FATURA 3744</t>
  </si>
  <si>
    <t>FT 3516 E 3477</t>
  </si>
  <si>
    <t>FT 3800 e 3760</t>
  </si>
  <si>
    <t>08/07 18:38 PB COMBUSTIVEIS LTDA</t>
  </si>
  <si>
    <t>09/07 12:13 12644969000184 I M M VAREL</t>
  </si>
  <si>
    <t>09/07 17:19 28155001000396 CLINICA SAN</t>
  </si>
  <si>
    <t>FT 3392</t>
  </si>
  <si>
    <t>VITALLIS DIAGNOSTICA LTDA</t>
  </si>
  <si>
    <t>10/07 12:11 FMS SANTA MARIA RN FUS</t>
  </si>
  <si>
    <t>10/07 19:15 RP SERVICOS LABORATORIAI</t>
  </si>
  <si>
    <t>10/07 19:16 RP SERVICOS LABORATORIAI</t>
  </si>
  <si>
    <t>874 Transferência Agendada</t>
  </si>
  <si>
    <t>10/07 RN 240650 FMS</t>
  </si>
  <si>
    <t>10/07 09:22 32958432000104 SLE SERVICO</t>
  </si>
  <si>
    <t>10/07 18:47 17135621000185 E L SALGUEI</t>
  </si>
  <si>
    <t>FATURA 3597</t>
  </si>
  <si>
    <t>FATURA 3635</t>
  </si>
  <si>
    <t>FATURA 3672</t>
  </si>
  <si>
    <t>FATURA 3664</t>
  </si>
  <si>
    <t>FATURA 3699</t>
  </si>
  <si>
    <t>FATURA 3688</t>
  </si>
  <si>
    <t>FATURA 3608</t>
  </si>
  <si>
    <t>FT 3268</t>
  </si>
  <si>
    <t>FT 3233</t>
  </si>
  <si>
    <t>10/07 18:19 ParelhasGasLtda</t>
  </si>
  <si>
    <t>10/07 20:09 MERCIA LOPES DE MEDE</t>
  </si>
  <si>
    <t>10/07 16:34 PAULO SERGIO SOARES DA COS</t>
  </si>
  <si>
    <t>Tar. agrupadas - ocorrencia 10/07/2025</t>
  </si>
  <si>
    <t>11/07 12:00 WELL POSTO IV</t>
  </si>
  <si>
    <t>11/07 07:37 HOTEL PORTO BELLO</t>
  </si>
  <si>
    <t>INSTITUTO NACIONAL DA PROPRIED</t>
  </si>
  <si>
    <t>14/07 09:09 17135621000185 PET SHOP RE</t>
  </si>
  <si>
    <t>14/07 10:10 00025469932400 MARCOS EFR</t>
  </si>
  <si>
    <t>14/07 15:46 28155001000396 CLINICA SAN</t>
  </si>
  <si>
    <t>12/07 12:39 COMJOL</t>
  </si>
  <si>
    <t>15/07 09:41 14712026000177 HUDMAR DE S</t>
  </si>
  <si>
    <t>15/07 15:53 03319496000159 MEDCAL FARM</t>
  </si>
  <si>
    <t>15/07 15:55 65427238468 PAULO SERGIO S</t>
  </si>
  <si>
    <t>FATURA 3039</t>
  </si>
  <si>
    <t>FATURA 2975</t>
  </si>
  <si>
    <t>Fatura 3752</t>
  </si>
  <si>
    <t>Fatura 3816</t>
  </si>
  <si>
    <t>FT 3802 e 3758</t>
  </si>
  <si>
    <t>15/07 10:30 POSTO STOPCAR</t>
  </si>
  <si>
    <t>15/07 20:15 PANIFICADORA ELITE</t>
  </si>
  <si>
    <t>16/07 14:30 LAB A C DANTAS LTDA</t>
  </si>
  <si>
    <t>16/07 09:18 30891947000109 Centro Avan</t>
  </si>
  <si>
    <t>16/07 09:24 TM COMBUSTIVEIS</t>
  </si>
  <si>
    <t>17/07 14:14 20897601000156 BIO ANALISE</t>
  </si>
  <si>
    <t>17/07 16:01 00083738657487 MAGNUS SOAR</t>
  </si>
  <si>
    <t>17/07 18:52 00065427238468 PAULO SERGI</t>
  </si>
  <si>
    <t>18/07 07:48 08075247000189 UNNIQUE C L</t>
  </si>
  <si>
    <t>18/07 09:53 00007218266444 GLORIA THAI</t>
  </si>
  <si>
    <t>18/07 11:23 00065427238468 PAULO SERGI</t>
  </si>
  <si>
    <t>FATURA 3304</t>
  </si>
  <si>
    <t>FATURA 3376</t>
  </si>
  <si>
    <t>FATURA 3382</t>
  </si>
  <si>
    <t>FATURA 3450</t>
  </si>
  <si>
    <t>18/07 09:39 BRASIL EMBALAGEM</t>
  </si>
  <si>
    <t>18/07 11:31 LABORLAB PRODUTOS PARA LAB</t>
  </si>
  <si>
    <t>Tar. agrupadas - ocorrencia 18/07/2025</t>
  </si>
  <si>
    <t>21/07 10:01 CLINICA CLINCORDIS</t>
  </si>
  <si>
    <t>FTs 3825 e 3745</t>
  </si>
  <si>
    <t>FATURA 3797</t>
  </si>
  <si>
    <t>FATURA 3757</t>
  </si>
  <si>
    <t>21/07 12:30 13066155000172 MARIA J A M</t>
  </si>
  <si>
    <t>21/07 17:26 PostoVale</t>
  </si>
  <si>
    <t>21/07 12:00 POSTO COSTINHA V</t>
  </si>
  <si>
    <t>FT 3799</t>
  </si>
  <si>
    <t>FT 3743</t>
  </si>
  <si>
    <t>22/07 08:50 28155001000396 CLINICA SAN</t>
  </si>
  <si>
    <t>22/07 11:25 42877232000172 SAUDE P C M</t>
  </si>
  <si>
    <t>22/07 13:37 40784407000171 CENTRO CLIN</t>
  </si>
  <si>
    <t>22/07 14:02 40784407000171 CENTRO CLIN</t>
  </si>
  <si>
    <t>22/07 14:05 40784407000171 CENTRO CLIN</t>
  </si>
  <si>
    <t>22/07 16:51 00065427238468 PAULO SERGI</t>
  </si>
  <si>
    <t>22/07 16:56 NACIONAL VEICULOS</t>
  </si>
  <si>
    <t>Tar. agrupadas - ocorrencia 22/07/2025</t>
  </si>
  <si>
    <t>23/07 15:43 05707745432 Kaynara Prysci</t>
  </si>
  <si>
    <t>24/07 11:19 FUSAM-FMS</t>
  </si>
  <si>
    <t>24/07 14:06 S P FH L CLINICO</t>
  </si>
  <si>
    <t>PP de aquisi o de dosagem de PCR para o</t>
  </si>
  <si>
    <t>Maria Alice NT 14777 venda</t>
  </si>
  <si>
    <t>FT 3722</t>
  </si>
  <si>
    <t>FT 3565</t>
  </si>
  <si>
    <t>FT 3528</t>
  </si>
  <si>
    <t>FT 3476</t>
  </si>
  <si>
    <t>FATURA 3795</t>
  </si>
  <si>
    <t>FATURA 3741</t>
  </si>
  <si>
    <t>FT 3818</t>
  </si>
  <si>
    <t>FT 3754</t>
  </si>
  <si>
    <t>FT 3804</t>
  </si>
  <si>
    <t>FT 3803</t>
  </si>
  <si>
    <t>FT 3759</t>
  </si>
  <si>
    <t>FT 3746</t>
  </si>
  <si>
    <t>24/07 13:04 50804078000137 G C G FERNA</t>
  </si>
  <si>
    <t>24/07 15:41 TM COMBUSTIVEIS</t>
  </si>
  <si>
    <t>25/07 12:14 REINOLDS NELLY PINHEIRO</t>
  </si>
  <si>
    <t>FTs. 3615 e 3568</t>
  </si>
  <si>
    <t>FATURA 3815</t>
  </si>
  <si>
    <t>FATURA 3753</t>
  </si>
  <si>
    <t>FATURA 3820</t>
  </si>
  <si>
    <t>FATURA 3748</t>
  </si>
  <si>
    <t>25/07 11:41 04585870000120 LAPAC LABOR</t>
  </si>
  <si>
    <t>25/07 14:53 40784407000171 CENTRO CLIN</t>
  </si>
  <si>
    <t>PagSeguro Internet I.P. S.A.</t>
  </si>
  <si>
    <t>FATURA 3656</t>
  </si>
  <si>
    <t>FATURA 3642</t>
  </si>
  <si>
    <t>FATURA 3680</t>
  </si>
  <si>
    <t>FATURA 3667</t>
  </si>
  <si>
    <t>FATURA 3702</t>
  </si>
  <si>
    <t>FATURA 3691</t>
  </si>
  <si>
    <t>FATURA 3611</t>
  </si>
  <si>
    <t>FATURA 3599</t>
  </si>
  <si>
    <t>FATURA 3725</t>
  </si>
  <si>
    <t>FATURA 3583</t>
  </si>
  <si>
    <t>FATURA 3822</t>
  </si>
  <si>
    <t>FATURA 3742</t>
  </si>
  <si>
    <t>FATURA 3796</t>
  </si>
  <si>
    <t>FATURA 3756</t>
  </si>
  <si>
    <t>28/07 14:17 48138959487 HUDMAR DE SOUS</t>
  </si>
  <si>
    <t>28/07 14:06 POSTO KURIO I</t>
  </si>
  <si>
    <t>28/07 07:19 HOTEL SABINO PALACE</t>
  </si>
  <si>
    <t>27/07 11:33 PARELHAS GAS LTDA 12</t>
  </si>
  <si>
    <t>28/07 18:52 POSTOS RCM</t>
  </si>
  <si>
    <t>Start Cargo</t>
  </si>
  <si>
    <t>FT 3301</t>
  </si>
  <si>
    <t>FT 3351</t>
  </si>
  <si>
    <t>FT 3379</t>
  </si>
  <si>
    <t>FT 3426</t>
  </si>
  <si>
    <t>29/07 18:07 AUTO POSTO SILVIO GO</t>
  </si>
  <si>
    <t>29/07 10:30 TM COMBUSTIVEIS</t>
  </si>
  <si>
    <t>29/07 20:38 RESTAURANTE SABOR DO</t>
  </si>
  <si>
    <t>FT 3577</t>
  </si>
  <si>
    <t>FTs 3569 e 3712</t>
  </si>
  <si>
    <t>FT 3772</t>
  </si>
  <si>
    <t>FT 3784</t>
  </si>
  <si>
    <t>FT 3867</t>
  </si>
  <si>
    <t>FT 3878</t>
  </si>
  <si>
    <t>FT 3714</t>
  </si>
  <si>
    <t>FT 3798</t>
  </si>
  <si>
    <t>FT 3755</t>
  </si>
  <si>
    <t>FT 3817</t>
  </si>
  <si>
    <t>FT 3750</t>
  </si>
  <si>
    <t>30/07 12:18 09243650000132 PRONTANALIS</t>
  </si>
  <si>
    <t>30/07 18:38 TREVO HOTEL</t>
  </si>
  <si>
    <t>30/07 06:39 ITALO DE SA FERRAZ</t>
  </si>
  <si>
    <t>30/07 18:22 TREVO HOTEL</t>
  </si>
  <si>
    <t>31/07 10:27 CLINICA CLINCORDIS</t>
  </si>
  <si>
    <t>31/07 16:37 S P FH L CLINICO</t>
  </si>
  <si>
    <t>FT 3373</t>
  </si>
  <si>
    <t>FT 3331</t>
  </si>
  <si>
    <t>FT 3459</t>
  </si>
  <si>
    <t>FT 3422</t>
  </si>
  <si>
    <t>31/07 13:51 00083738657487 MAGNUS SOAR</t>
  </si>
  <si>
    <t>31/07 17:29 40807109000150 L A E S Lab</t>
  </si>
  <si>
    <t>31/07 17:33 40807109000150 L A E S LAB</t>
  </si>
  <si>
    <t>31/07 17:34 40807109000150 L A E S LAB</t>
  </si>
  <si>
    <t>31/07 17:36 40807109000150 L A E S LAB</t>
  </si>
  <si>
    <t>31/07 17:38 40807109000150 L A E S Lab</t>
  </si>
  <si>
    <t>31/07 17:40 40807109000150 L A E S LAB</t>
  </si>
  <si>
    <t>31/07 17:41 40807109000150 L A E S LAB</t>
  </si>
  <si>
    <t>31/07 17:45 40807109000150 L A E S LAB</t>
  </si>
  <si>
    <t>31/07 22:56 POSTO KM</t>
  </si>
  <si>
    <t>31/07 17:05 IBIMIRIM AUTO POSTO</t>
  </si>
  <si>
    <t>31/07 17:04 JONATAN EDUARDO M SILVA</t>
  </si>
  <si>
    <t>01/08 10:32 51936203000125 Cliniclab E</t>
  </si>
  <si>
    <t>01/08 13:47 83738657487 MAGNUS SOARES</t>
  </si>
  <si>
    <t>Fatura 3889</t>
  </si>
  <si>
    <t>Fatura 3849</t>
  </si>
  <si>
    <t>Fatura 3897 e 3848</t>
  </si>
  <si>
    <t>Fatura 3914</t>
  </si>
  <si>
    <t>FATURA 3836</t>
  </si>
  <si>
    <t>FATURA 3903</t>
  </si>
  <si>
    <t>FATURA 3840</t>
  </si>
  <si>
    <t>01/08 15:37 JONATAN EDUARDO M SILVA</t>
  </si>
  <si>
    <t>01/08 15:28 RHOZA MARIA ARAUJO DE ME</t>
  </si>
  <si>
    <t>01/08 08:42 Posto Qualy Boa Esperanca</t>
  </si>
  <si>
    <t>01/08 14:34 M &amp; S LOCACOES LTDA</t>
  </si>
  <si>
    <t>04/08 14:55 D&amp;M LABORATORIO DE ANALI</t>
  </si>
  <si>
    <t>04/08 08:37 03423259000133 LABVIDA LTD</t>
  </si>
  <si>
    <t>04/08 18:21 13640653000187 SILVA OLI</t>
  </si>
  <si>
    <t>PP da loca o de equipamento de ionogram FAT 3290</t>
  </si>
  <si>
    <t>FT 3801.1 e 3751.1</t>
  </si>
  <si>
    <t>Fts 3901, 3896, 3847 e 3834</t>
  </si>
  <si>
    <t>04/08 19:42 QUIOSQUE DO ABENCOAD</t>
  </si>
  <si>
    <t>02/08 21:16 ZP*POSTO JOAO CAMARA</t>
  </si>
  <si>
    <t>04/08 20:45 FranciscoGilberto</t>
  </si>
  <si>
    <t>02/08 22:08 CM COMERCIAL DE COMB</t>
  </si>
  <si>
    <t>04/08 17:26 R C F SILVA</t>
  </si>
  <si>
    <t>Microline Comercio E Servicos</t>
  </si>
  <si>
    <t>05/08 16:37 40807109000150 L A E S LAB</t>
  </si>
  <si>
    <t>FTs 3769.1 </t>
  </si>
  <si>
    <t>FT 3780</t>
  </si>
  <si>
    <t>FT 3864.1</t>
  </si>
  <si>
    <t>FT 3875.1</t>
  </si>
  <si>
    <t>05/08 19:53 RaimundaNonata</t>
  </si>
  <si>
    <t>05/08 20:08 FranciscoGilberto</t>
  </si>
  <si>
    <t>Cobrança referente 05/08/2025</t>
  </si>
  <si>
    <t>06/08 10:21 RP SERVICOS LABORATORIAI</t>
  </si>
  <si>
    <t>06/08 17:52 LAB A C DANTAS LTDA</t>
  </si>
  <si>
    <t>06/08 10:24 22673815000174 SOUZA E CAR</t>
  </si>
  <si>
    <t>06/08 15:40 00081315368404 FABIO DE OL</t>
  </si>
  <si>
    <t>06/08 15:47 14054616000150 MAFALDO &amp; S</t>
  </si>
  <si>
    <t>FT 3911.1</t>
  </si>
  <si>
    <t>FT 3887.1</t>
  </si>
  <si>
    <t>2899 e 2898</t>
  </si>
  <si>
    <t>João Machado</t>
  </si>
  <si>
    <t>FATURA 3919</t>
  </si>
  <si>
    <t>FATURA 3842</t>
  </si>
  <si>
    <t>06/08 20:56 CHURRASCARIA GAUCHA</t>
  </si>
  <si>
    <t>06/08 16:11 POSTO PLANALTO</t>
  </si>
  <si>
    <t>07/08 12:54 CLINICA M L LTDA</t>
  </si>
  <si>
    <t>07/08 15:08 32958432000104 SLE SERVICO</t>
  </si>
  <si>
    <t>PP do servi o de loca o de equipamento Fat 3429</t>
  </si>
  <si>
    <t>PP do servi o de loca o de equipamento Fat 3496</t>
  </si>
  <si>
    <t>FTs 3765.1</t>
  </si>
  <si>
    <t xml:space="preserve">	FTs 3776.1</t>
  </si>
  <si>
    <t>FTs 3871.1</t>
  </si>
  <si>
    <t>FTs 3860.1</t>
  </si>
  <si>
    <t>07/08 10:27 TM COMBUSTIVEIS</t>
  </si>
  <si>
    <t>08/08 11:35 FMS SANTA MARIA RN FUS</t>
  </si>
  <si>
    <t>08/08 10:24 15104925000150 CEDAM LABO</t>
  </si>
  <si>
    <t>08/08 13:04 28155001000396 CLINICA SAN</t>
  </si>
  <si>
    <t>FTs 2730.1 e 2813.</t>
  </si>
  <si>
    <t>FTs 3773.1</t>
  </si>
  <si>
    <t>FTs 3868.1 </t>
  </si>
  <si>
    <t>Synclab Sistema Medicina Diag</t>
  </si>
  <si>
    <t>CLIENT CO SERVICOS DE RED</t>
  </si>
  <si>
    <t>08/08 17:35 MEDCAL FARMA HOSPITALAR</t>
  </si>
  <si>
    <t>11/08 08:21 04399497000113 JOSSINEY DE</t>
  </si>
  <si>
    <t>11/08 09:29 32958432000104 SLE SERVICO</t>
  </si>
  <si>
    <t>11/08 17:09 28155001000396 CLINICA SAN</t>
  </si>
  <si>
    <t>11/08 18:43 17135621000185 E L SALGUEI</t>
  </si>
  <si>
    <t>11/08 19:31 03423259000133 LABVIDA LTD</t>
  </si>
  <si>
    <t>11/08 07:35 AUTO POSTO CANTALICE</t>
  </si>
  <si>
    <t>12/08 10:34 BELEM BREJO DO CRUZ PREF</t>
  </si>
  <si>
    <t>12/08 18:58 CLINICA CLINCORDIS</t>
  </si>
  <si>
    <t>12/08 12:59 09127333000150 AMIP ASSSI</t>
  </si>
  <si>
    <t>12/08 15:21 38095897000157 CLINCORDIS</t>
  </si>
  <si>
    <t>FT 3916 e 3880</t>
  </si>
  <si>
    <t>12/08 20:59 JOAO PAULO ARCANJO D</t>
  </si>
  <si>
    <t>12/08 10:52 TM COMBUSTIVEIS</t>
  </si>
  <si>
    <t>CASA NORTE LTDA</t>
  </si>
  <si>
    <t>13/08 11:31 SAA-JARDIM DO SERIDO</t>
  </si>
  <si>
    <t>13/08 11:32 SAA-JARDIM DO SERIDO</t>
  </si>
  <si>
    <t>13/08 11:33 SAA-JARDIM DO SERIDO</t>
  </si>
  <si>
    <t>13/08 11:34 SAA-JARDIM DO SERIDO</t>
  </si>
  <si>
    <t>13/08 11:35 SAA-JARDIM DO SERIDO</t>
  </si>
  <si>
    <t>13/08 11:36 SAA-JARDIM DO SERIDO</t>
  </si>
  <si>
    <t>PP de loca o de equipamento para realiz Fat 3405</t>
  </si>
  <si>
    <t>PP da loca o de equipamento de hematolo Fat 3762</t>
  </si>
  <si>
    <t>13/08 06:54 R M SANTOS</t>
  </si>
  <si>
    <t>13/08 18:48 MAK LANCHES 1</t>
  </si>
  <si>
    <t>13/08 11:22 POSTO KURIO 3</t>
  </si>
  <si>
    <t>14/08 15:41 11006454000196 LAB DE ANAL</t>
  </si>
  <si>
    <t>FATURA 3716</t>
  </si>
  <si>
    <t>FATURA 3576.</t>
  </si>
  <si>
    <t>14/08 09:42 TM COMBUSTIVEIS</t>
  </si>
  <si>
    <t>14/08 10:10 TM COMBUSTIVEIS</t>
  </si>
  <si>
    <t>FTs 3770.1</t>
  </si>
  <si>
    <t>FTs 3865.1</t>
  </si>
  <si>
    <t>FT 3764.1</t>
  </si>
  <si>
    <t>Valor correto</t>
  </si>
  <si>
    <t>FT 3764.1 </t>
  </si>
  <si>
    <t>Extrato informando fatura repetida Ft 3764 R$ 1551,10</t>
  </si>
  <si>
    <t>FT 3870.1</t>
  </si>
  <si>
    <t>FT 3859.1 </t>
  </si>
  <si>
    <t>18/08 14:43 LAB A C DANTAS LTDA</t>
  </si>
  <si>
    <t>18/08 07:15 17135621000185 E L SALGUEI</t>
  </si>
  <si>
    <t>18/08 13:10 28155001000124 CLINICA SAN</t>
  </si>
  <si>
    <t>18/08 16:23 07206177409 FRANCISCO BRUN</t>
  </si>
  <si>
    <t>18/08 16:25 26619620000105 EDCARLA MAR</t>
  </si>
  <si>
    <t>FTs 3763.1 LOCA O e 3774.1 INSUMOS</t>
  </si>
  <si>
    <t>FTs 3858.1 LOCA O e 3869.1 INSUMOS</t>
  </si>
  <si>
    <t>FATURA 3893.1</t>
  </si>
  <si>
    <t>FATURA 3831.1 </t>
  </si>
  <si>
    <t>FATURA 3895</t>
  </si>
  <si>
    <t>FATURA 3846.1</t>
  </si>
  <si>
    <t>FATURA 3113.</t>
  </si>
  <si>
    <t>Pago incorreto, valor correto R$ 1553,66</t>
  </si>
  <si>
    <t>18/08 08:56 TM COMBUSTIVEIS</t>
  </si>
  <si>
    <t>19/08 13:29 30891947000109 CENTRO AVAN</t>
  </si>
  <si>
    <t>19/08 23:51 01680906000167 MICROLAB LA</t>
  </si>
  <si>
    <t xml:space="preserve">PP da loca o de equipamento de hematolo </t>
  </si>
  <si>
    <t>PP da loca o de equipamento de ionogram Fat 3586</t>
  </si>
  <si>
    <t>PP da loca o de equipamento de ionogram Fat 3852</t>
  </si>
  <si>
    <t>PP do servi o de loca o de equipamento Fat 3850</t>
  </si>
  <si>
    <t>PP da aquisi o de conjunto de solu es,</t>
  </si>
  <si>
    <t>PP de loca o de equipamento para realiz Fat 3957</t>
  </si>
  <si>
    <t>Maria Alice Fat 3625</t>
  </si>
  <si>
    <t>NF 3899.1</t>
  </si>
  <si>
    <t>HMWG</t>
  </si>
  <si>
    <t>NF 3839.1</t>
  </si>
  <si>
    <t>NF 3898.1</t>
  </si>
  <si>
    <t>NF 3843.1</t>
  </si>
  <si>
    <t>NF 3920.1</t>
  </si>
  <si>
    <t>Valor Correto</t>
  </si>
  <si>
    <t>Extrato informando fatura repetida Ft 3920 R$ 1790,80</t>
  </si>
  <si>
    <t>19/08 14:47 TM COMBUSTIVEIS</t>
  </si>
  <si>
    <t>20/08 11:48 07704587000169 magnus soar</t>
  </si>
  <si>
    <t>20/08 11:58 13822933000106 J E M Marin</t>
  </si>
  <si>
    <t>20/08 16:49 03769547446 Vânia Maria Ca</t>
  </si>
  <si>
    <t>FTs 3794.1</t>
  </si>
  <si>
    <t>FT 3810.1</t>
  </si>
  <si>
    <t>FATURA 3787</t>
  </si>
  <si>
    <t>20/08 12:39 RHOZA MARIA ARAUJO DE ME</t>
  </si>
  <si>
    <t>20/08 11:05 CEF MATRIZ</t>
  </si>
  <si>
    <t>DISMESE - DISTRIBUIDORA DE MED</t>
  </si>
  <si>
    <t>20/08 12:34 LABORLAB PRODUTOS PARA LAB</t>
  </si>
  <si>
    <t>Tar. agrupadas - ocorrencia 20/08/2025</t>
  </si>
  <si>
    <t>21/08 09:56 CLINICA CLINCORDIS</t>
  </si>
  <si>
    <t>21/08 14:13 43953076000144 HOSPITAL VE</t>
  </si>
  <si>
    <t>21/08 08:53 POSTO DINIZ - EMAUS</t>
  </si>
  <si>
    <t>FATURA 3578</t>
  </si>
  <si>
    <t>NF 3902.1</t>
  </si>
  <si>
    <t>NF 3841.1</t>
  </si>
  <si>
    <t>22/08 10:52 40807109000150 L A E S Lab</t>
  </si>
  <si>
    <t>22/08 11:29 40784407000171 CENTRO CLIN</t>
  </si>
  <si>
    <t>22/08 11:40 50804078000137 G C G FERNA</t>
  </si>
  <si>
    <t>22/08 13:44 07315345493 Kalivia Rodrig</t>
  </si>
  <si>
    <t>22/08 17:07 28155001000396 CLINICA SAN</t>
  </si>
  <si>
    <t>25/08 08:51 D&amp;M LABORATORIO DE ANALI</t>
  </si>
  <si>
    <t>FATURA 3812</t>
  </si>
  <si>
    <t>FT 3811.1</t>
  </si>
  <si>
    <t>NF 3907.1</t>
  </si>
  <si>
    <t>FT 3808.1</t>
  </si>
  <si>
    <t>25/08 10:18 83738657487 Magnus Soares</t>
  </si>
  <si>
    <t>25/08 13:35 32958432000104 SLE SERVICO</t>
  </si>
  <si>
    <t>23/08 17:27 POSTO DINIZ - EMAUS</t>
  </si>
  <si>
    <t>FT 3890.1</t>
  </si>
  <si>
    <t>FT 3829.1 </t>
  </si>
  <si>
    <t>FT 3833.1 </t>
  </si>
  <si>
    <t>FT 3788.1</t>
  </si>
  <si>
    <t>26/08 12:00 28155001000396 CLINICA SAN</t>
  </si>
  <si>
    <t>26/08 18:01 POSTO ESTRELA DA BR</t>
  </si>
  <si>
    <t>27/08 10:37 08551442000138 FARMACIA TR</t>
  </si>
  <si>
    <t>FTs 3786.1</t>
  </si>
  <si>
    <t>Valor da fatura R$ 250</t>
  </si>
  <si>
    <t>FTs 3789.1</t>
  </si>
  <si>
    <t>28/08 09:26 40587967000136 A C CENTRAL</t>
  </si>
  <si>
    <t>28/08 10:40 00083738657487 MAGNUS SOAR</t>
  </si>
  <si>
    <t>500 BB GIRO PRONAMPE</t>
  </si>
  <si>
    <t>29/08 11:05 S P FH L CLINICO</t>
  </si>
  <si>
    <t>FT 3793</t>
  </si>
  <si>
    <t>FT 3814</t>
  </si>
  <si>
    <t>FT 3904.1</t>
  </si>
  <si>
    <t>FT 3835.1</t>
  </si>
  <si>
    <t>Fts 3747.1 e 3821.1</t>
  </si>
  <si>
    <t>FATURA 3934.</t>
  </si>
  <si>
    <t>FATURA 3994.</t>
  </si>
  <si>
    <t>FATURA 3940. </t>
  </si>
  <si>
    <t>FATURA 3981.</t>
  </si>
  <si>
    <t>FT 3766.1</t>
  </si>
  <si>
    <t>FT 3777.1</t>
  </si>
  <si>
    <t>FT 3861.1 </t>
  </si>
  <si>
    <t>FT 3872.1</t>
  </si>
  <si>
    <t>FTs 3768.1 LOCA O e 3779.1 INSUMOS</t>
  </si>
  <si>
    <t>FTs 3863.1 LOCA O e 3874.1 INSUMOS</t>
  </si>
  <si>
    <t>29/08 08:25 00001430929448 IURI NICHOL</t>
  </si>
  <si>
    <t>29/08 16:24 40784407000171 CENTRO CLIN</t>
  </si>
  <si>
    <t>29/08 17:06 T M COMBUSTIVEIS LTD</t>
  </si>
  <si>
    <t>START CARGO LTDA</t>
  </si>
  <si>
    <t>01/09 16:05 48138959487 HUDMAR DE SOUS</t>
  </si>
  <si>
    <t>01/09 21:04 POSTO QUALY</t>
  </si>
  <si>
    <t>01/09 14:43 M &amp; S LOCACOES LTDA</t>
  </si>
  <si>
    <t>02/09 10:36 RP SERVICOS LABORATORIAI</t>
  </si>
  <si>
    <t>APL NUHANT - NF 00003985.1 DE 06 08 2025 UG. 120616 NUHANT PROCESSO 67222003374202186 CONTRATO 018 BANT-HARF 2021</t>
  </si>
  <si>
    <t>Base Áerea</t>
  </si>
  <si>
    <t>02/09 11:54 13640653000187 SILVA OLI</t>
  </si>
  <si>
    <t>02/09 18:45 20585406000190 DRA ANINHA</t>
  </si>
  <si>
    <t>02/09 14:32 POSTO ESTRELA DA BR</t>
  </si>
  <si>
    <t>TROCA TRANSPORTES LTDA</t>
  </si>
  <si>
    <t>03/09 09:56 38095897000157 CLINCORDIS</t>
  </si>
  <si>
    <t>03/09 15:16 00081315368404 FABIO OLIVE</t>
  </si>
  <si>
    <t>NF 2635 e 2673 -</t>
  </si>
  <si>
    <t>FT 4015.1</t>
  </si>
  <si>
    <t>FT 3935.1 </t>
  </si>
  <si>
    <t>FT 3930.1</t>
  </si>
  <si>
    <t>FT 3991.1</t>
  </si>
  <si>
    <t>FT 3937.1 </t>
  </si>
  <si>
    <t>FT 3988.1</t>
  </si>
  <si>
    <t>03/09 14:25 JONATAN EDUARDO M SILVA</t>
  </si>
  <si>
    <t>03/09 14:27 RHOZA MARIA ARAUJO DE ME</t>
  </si>
  <si>
    <t>04/09 12:13 48899285000170 GROUP PMD</t>
  </si>
  <si>
    <t>FT 3926 e 3984</t>
  </si>
  <si>
    <t>FT 3927 e 3990</t>
  </si>
  <si>
    <t>04/09 19:18 POSTO CANDELARIA</t>
  </si>
  <si>
    <t>05/09 16:13 40784407000171 CENTRO CLIN</t>
  </si>
  <si>
    <t>05/09 17:30 41950546000190 YANNARA FRE</t>
  </si>
  <si>
    <t>FTs 3933.1</t>
  </si>
  <si>
    <t>FTs 3925.1 LOCA O e 3976.1 INSUMOS</t>
  </si>
  <si>
    <t>Cobrança referente 05/09/2025</t>
  </si>
  <si>
    <t>FTs 3942.1 LOCA O e 3978.1 INSUMOS</t>
  </si>
  <si>
    <t>08/09 14:34 TM COMBUSTIVEIS</t>
  </si>
  <si>
    <t>09/09 10:33 D&amp;M LABORATORIO DE ANALI</t>
  </si>
  <si>
    <t>09/09 10:42 28155001000396 CLINICA SAN</t>
  </si>
  <si>
    <t>FTs 3883.1 LOCA O e 3921.1 INSUMOS</t>
  </si>
  <si>
    <t>09/09 16:08 POSTO PARAIBA I</t>
  </si>
  <si>
    <t>09/09 14:07 FUNDO MUNICIPAL DE SAUDE</t>
  </si>
  <si>
    <t>10/09 11:11 FMS SANTA MARIA RN FUS</t>
  </si>
  <si>
    <t>10/09 10:14 32958432000104 SLE SERVICO</t>
  </si>
  <si>
    <t>10/09 14:43 09127333000150 AMIP ASSSI</t>
  </si>
  <si>
    <t>10/09 14:54 40784407000171 CENTRO CLIN</t>
  </si>
  <si>
    <t>10/09 17:11 17135621000185 E L Salguei</t>
  </si>
  <si>
    <t>FTs 3886.1 LOCA O e 3910.1 INSUMOS</t>
  </si>
  <si>
    <t>FT 3917</t>
  </si>
  <si>
    <t>364 BB Consórcio - Prestação</t>
  </si>
  <si>
    <t>BB ADMIN CONSÓRCIO SA</t>
  </si>
  <si>
    <t>FATURA 3912</t>
  </si>
  <si>
    <t>FATURA 3885</t>
  </si>
  <si>
    <t>FT 3888</t>
  </si>
  <si>
    <t>Prepara o de pagamento referente a pres</t>
  </si>
  <si>
    <t>DIST MEDICAMENTOS S CRUZ LTDA</t>
  </si>
  <si>
    <t>CBM REDESIM</t>
  </si>
  <si>
    <t>12/09 07:57 04399497000113 JOSSINEY DE</t>
  </si>
  <si>
    <t>12/09 15:07 40784407000171 CENTRO CLIN</t>
  </si>
  <si>
    <t>15/09 20:21 RP SERVICOS LABORATORIAI</t>
  </si>
  <si>
    <t>15/09 18:23 LAB A C DANTAS LTDA</t>
  </si>
  <si>
    <t>237 0321 08402943000152 GUARARAPES CON</t>
  </si>
  <si>
    <t>15/09 10:58 22673815000174 SOUZA E CAR</t>
  </si>
  <si>
    <t>15/09 16:29 00083738657487 MAGNUS SOAR</t>
  </si>
  <si>
    <t>15/09 16:54 28155001000396 CLINICA SAN</t>
  </si>
  <si>
    <t>FATURA 3791</t>
  </si>
  <si>
    <t>FATURA 3813</t>
  </si>
  <si>
    <t>FATURA 3975</t>
  </si>
  <si>
    <t>Valora da fatura: R$ 1631,80</t>
  </si>
  <si>
    <t>15/09 10:12 EXPRESSO FINANCE</t>
  </si>
  <si>
    <t>16/09 15:07 22673815000174 SOUZA E CAR</t>
  </si>
  <si>
    <t>16/09 16:04 35170550000133 NCS LABORAT</t>
  </si>
  <si>
    <t>16/09 17:04 40807109000150 L A E S LAB</t>
  </si>
  <si>
    <t>FT 3909.1 </t>
  </si>
  <si>
    <t>FT 3884.1</t>
  </si>
  <si>
    <t>FT 4001.1</t>
  </si>
  <si>
    <t>FT 4005.1</t>
  </si>
  <si>
    <t>16/09 15:25 MAXI POSTO IX</t>
  </si>
  <si>
    <t>RV TECNOLOGIA E SISTEMAS S A</t>
  </si>
  <si>
    <t>17/09 15:01 00065427238468 PAULO SERGI</t>
  </si>
  <si>
    <t>17/09 16:42 21709133000101 LABORATORIO</t>
  </si>
  <si>
    <t>18/09 15:20 LABORATORIO LAPAC LTDA</t>
  </si>
  <si>
    <t>18/09 15:17 19879499000187 POLICLINICA</t>
  </si>
  <si>
    <t>FT 3948.1</t>
  </si>
  <si>
    <t>FT 3966.1</t>
  </si>
  <si>
    <t>FT 4046.1</t>
  </si>
  <si>
    <t>FT 4057.1</t>
  </si>
  <si>
    <t>FT 4012.1 </t>
  </si>
  <si>
    <t>FT 4003.1</t>
  </si>
  <si>
    <t>FTs 3954.1 LOCA O e 3971.1 INSUMOS</t>
  </si>
  <si>
    <t>FTs 4052.1 LOCA O e 4062.1 INSUMOS</t>
  </si>
  <si>
    <t>FATURA 3973</t>
  </si>
  <si>
    <t>FATURA 3951</t>
  </si>
  <si>
    <t>FATURA 4064</t>
  </si>
  <si>
    <t>FATURA 4049.</t>
  </si>
  <si>
    <t>18/09 17:18 JONATAN EDUARDO M SILVA</t>
  </si>
  <si>
    <t>19/09 09:49 17135621000185 E L Salguei</t>
  </si>
  <si>
    <t>19/09 17:10 00065427238468 PAULO SERGI</t>
  </si>
  <si>
    <t>FT 3945.1</t>
  </si>
  <si>
    <t>FT 3963.1 </t>
  </si>
  <si>
    <t>FT 4043.1 </t>
  </si>
  <si>
    <t>FT 4054.1 </t>
  </si>
  <si>
    <t>FATURA 3964.1</t>
  </si>
  <si>
    <t>FATURA 3946.1.</t>
  </si>
  <si>
    <t>FATURA 4055.1</t>
  </si>
  <si>
    <t>FATURA 4044.1.</t>
  </si>
  <si>
    <t>19/09 17:48 POSTO SAO LUIZ III</t>
  </si>
  <si>
    <t>19/09 16:14 CEF MATRIZ</t>
  </si>
  <si>
    <t>19/09 17:11 CEF MATRIZ</t>
  </si>
  <si>
    <t>22/09 12:40 D&amp;M LABORATORIO DE ANALI</t>
  </si>
  <si>
    <t>22/09 13:47 S P FH L CLINICO</t>
  </si>
  <si>
    <t>FATURA 3824.1.</t>
  </si>
  <si>
    <t>FATURA 3792.1</t>
  </si>
  <si>
    <t>22/09 17:16 03319496000159 MEDCAL FARM</t>
  </si>
  <si>
    <t>22/09 17:22 65427238468 PAULO SERGIO S</t>
  </si>
  <si>
    <t>22/09 18:52 43953076000144 HOSPITAL VE</t>
  </si>
  <si>
    <t>23/09 10:40 CLINICA CLINCORDIS</t>
  </si>
  <si>
    <t>23/09 10:00 SOCIEDADE CLINICA DIXSEP</t>
  </si>
  <si>
    <t>23/09 09:54 PostoAtlantica</t>
  </si>
  <si>
    <t>FTs 4002.1, 4004.1 </t>
  </si>
  <si>
    <t>FATURA 3972</t>
  </si>
  <si>
    <t>FATURA 3953</t>
  </si>
  <si>
    <t>24/09 10:33 12674921000119 ESPACO VET</t>
  </si>
  <si>
    <t>24/09 11:17 00083738657487 MAGNUS SOAR</t>
  </si>
  <si>
    <t>24/09 11:19 00083738657487 MAGNUS SOAR</t>
  </si>
  <si>
    <t>24/09 12:14 LABORLAB PRODUTOS PARA LA</t>
  </si>
  <si>
    <t>24/09 13:28 MEDIX BRASIL</t>
  </si>
  <si>
    <t>Tar. agrupadas - ocorrencia 24/09/2025</t>
  </si>
  <si>
    <t>PP da loca o de equipamento de hematolo</t>
  </si>
  <si>
    <t>PP da loca o de software de gerenciamen</t>
  </si>
  <si>
    <t>FATURA 4063</t>
  </si>
  <si>
    <t>FATURA 4051</t>
  </si>
  <si>
    <t>25/09 10:23 07164296405 MANOEL C NUNES</t>
  </si>
  <si>
    <t>25/09 15:16 00394429018581 BASE AEREA</t>
  </si>
  <si>
    <t>25/09 17:02 03319496000159 Medcal Farm</t>
  </si>
  <si>
    <t>25/09 09:59 ZP*POSTO POTIGUARES</t>
  </si>
  <si>
    <t>26/09 09:14 22673815000174 SOUZA E CAR</t>
  </si>
  <si>
    <t>26/09 17:11 03319496000159 MEDCAL FARM</t>
  </si>
  <si>
    <t>26/09 13:32 T M COMBUSTIVEIS LTD</t>
  </si>
  <si>
    <t>29/09 15:52 00083738657487 MAGNUS SOAR</t>
  </si>
  <si>
    <t>29/09 16:20 07704587000169 magnus soar</t>
  </si>
  <si>
    <t>30/09 07:54 51936203000125 CLINICLAB E</t>
  </si>
  <si>
    <t>30/09 09:17 45828859000121 Bef Farmaci</t>
  </si>
  <si>
    <t>30/09 10:13 18873019000108 CLINICA BOA</t>
  </si>
  <si>
    <t>30/09 10:49 51936203000125 CLINICLAB E</t>
  </si>
  <si>
    <t>30/09 13:46 00394429018581 BASE AEREA</t>
  </si>
  <si>
    <t>01/10 15:27 LAB A C DANTAS LTDA</t>
  </si>
  <si>
    <t>01/10 11:05 48899285000170 GROUP PMD</t>
  </si>
  <si>
    <t>01/10 15:15 20897601000156 BIO ANALISE</t>
  </si>
  <si>
    <t>01/10 16:04 35256106000135 PROANALISES</t>
  </si>
  <si>
    <t>01/10 16:58 22673815000174 SOUZA E CAR</t>
  </si>
  <si>
    <t>01/10 08:15 POSTO DINIZ - EMAUS</t>
  </si>
  <si>
    <t>LABSYNTH PRODUTOS PARA LABORAT</t>
  </si>
  <si>
    <t>02/10 14:04 00394429018581 BASE AEREA</t>
  </si>
  <si>
    <t>02/10 15:32 28155001000396 CLINICA SAN</t>
  </si>
  <si>
    <t>06/10 10:26 RP SERVICOS LABORATORIAI</t>
  </si>
  <si>
    <t>06/10 18:52 LAB A C DANTAS LTDA</t>
  </si>
  <si>
    <t>06/10 08:52 43137656000163 ESTACAO FAR</t>
  </si>
  <si>
    <t>06/10 17:38 28155001000396 CLINICA SAN</t>
  </si>
  <si>
    <t>06/10 20:10 00002400158436 JOAO HELIO</t>
  </si>
  <si>
    <t>05/10 12:12 ATACADAO 0245 AS</t>
  </si>
  <si>
    <t>05/10 14:08 POSTO QUALY</t>
  </si>
  <si>
    <t>Cobrança referente 06/10/2025</t>
  </si>
  <si>
    <t>07/10 09:21 PM ARARUNA -FUS</t>
  </si>
  <si>
    <t>07/10 12:22 D&amp;M LABORATORIO DE ANALI</t>
  </si>
  <si>
    <t>07/10 13:46 D&amp;M LABORATORIO DE ANALI</t>
  </si>
  <si>
    <t>07/10 15:11 01337747000100 Odonto Impo</t>
  </si>
  <si>
    <t>07/10 15:21 04399497000113 JOSSINEY DE</t>
  </si>
  <si>
    <t>07/10 15:24 04399497000113 JOSSINEY DE</t>
  </si>
  <si>
    <t>07/10 16:25 60975737006516 SOCIEDADE B</t>
  </si>
  <si>
    <t>08/10 09:53 04583708000173 C A C PAREL</t>
  </si>
  <si>
    <t>08/10 10:19 04583708000173 C A C PAREL</t>
  </si>
  <si>
    <t>08/10 15:23 09127333000150 AMIP ASSIST</t>
  </si>
  <si>
    <t>08/10 16:17 03319496000159 Medcal Farm</t>
  </si>
  <si>
    <t>09/10 15:06 T M COMBUSTIVEIS LTD</t>
  </si>
  <si>
    <t>10/10 17:16 MAFALDO &amp; SOUZA LTDA ME</t>
  </si>
  <si>
    <t>10/10 08:33 04399497000113 JOSSINEY DE</t>
  </si>
  <si>
    <t>10/10 12:42 10112403433 Daniele Paulin</t>
  </si>
  <si>
    <t>10/10 14:45 32958432000104 SLE SERVICO</t>
  </si>
  <si>
    <t>10/10 16:18 M &amp; S LOCACOES LTDA</t>
  </si>
  <si>
    <t>13/10 15:00 S P FH L CLINICO</t>
  </si>
  <si>
    <t>13/10 10:30 00037891987491 SILVAN SOUZ</t>
  </si>
  <si>
    <t>13/10 10:45 00004339709441 ROBERTO CLE</t>
  </si>
  <si>
    <t>13/10 15:48 19879499000187 POLICLINICA</t>
  </si>
  <si>
    <t>13/10 17:58 17135621000185 E. L. SALGU</t>
  </si>
  <si>
    <t>ALARES INTERNET S/A</t>
  </si>
  <si>
    <t>14/10 08:52 00061690104449 ELIANE PORT</t>
  </si>
  <si>
    <t>14/10 08:57 00061690104449 ELIANE PORT</t>
  </si>
  <si>
    <t>14/10 09:51 20585406000190 Dra Aninha</t>
  </si>
  <si>
    <t>14/10 16:03 60975737006516 SOCIEDADE B</t>
  </si>
  <si>
    <t>14/10 15:42 POSTO ESTRELA DA BR</t>
  </si>
  <si>
    <t>14/10 07:53 POSTO SAO LUIZ I</t>
  </si>
  <si>
    <t>15/10 08:31 S P FH L CLINICO</t>
  </si>
  <si>
    <t>15/10 10:30 S P FH L CLINICO</t>
  </si>
  <si>
    <t>15/10 11:46 12644969000184 I M M VAREL</t>
  </si>
  <si>
    <t>15/10 13:51 34398857000123 LABMAIS LAB</t>
  </si>
  <si>
    <t>TRANSBRASIL LOGISTICA E TRANSP</t>
  </si>
  <si>
    <t>KDV INDUSTRIA C E A MEDID</t>
  </si>
  <si>
    <t>16/10 16:10 LAB A C DANTAS LTDA</t>
  </si>
  <si>
    <t>16/10 16:13 LAB A C DANTAS LTDA</t>
  </si>
  <si>
    <t>16/10 11:44 CASA NORTE ATACADO</t>
  </si>
  <si>
    <t>16/10 11:45 CASA NORTE ATACADO</t>
  </si>
  <si>
    <t>17/10 19:46 RP SERVICOS LABORATORIAI</t>
  </si>
  <si>
    <t>17/10 12:10 48138959487 HUDMAR DE SOUS</t>
  </si>
  <si>
    <t>17/10 17:28 01680906000167 MICROLAB LA</t>
  </si>
  <si>
    <t>17/10 19:53 CB COMERCIO DE COMBU</t>
  </si>
  <si>
    <t>830 Dep CORBAN dinheiro</t>
  </si>
  <si>
    <t>0701-00-SANTA CRUZ-SANTA CRUZ,RN</t>
  </si>
  <si>
    <t>20/10 09:44 05209054403 INGRID PAHOLLA</t>
  </si>
  <si>
    <t>20/10 14:33 50804078000137 G C G FERNA</t>
  </si>
  <si>
    <t>20/10 16:10 04154178482 JUNIO ALEXANDR</t>
  </si>
  <si>
    <t>20/10 16:13 04154178482 JUNIO ALEXANDR</t>
  </si>
  <si>
    <t>20/10 16:15 18715381000150 LENIRA D DE</t>
  </si>
  <si>
    <t>20/10 15:36 CEF MATRIZ</t>
  </si>
  <si>
    <t>21/10 10:41 57828260000177 CEAC</t>
  </si>
  <si>
    <t>21/10 09:36 PostoAtlantica</t>
  </si>
  <si>
    <t>22/10 12:48 04399497000113 JOSSINEY DE</t>
  </si>
  <si>
    <t>22/10 16:15 43953076000144 HOSPITAL VE</t>
  </si>
  <si>
    <t>23/10 10:30 CLINICA CLINCORDIS</t>
  </si>
  <si>
    <t>23/10 11:57 40784407000171 CENTRO CLIN</t>
  </si>
  <si>
    <t>23/10 12:02 40784407000171 CENTRO CLIN</t>
  </si>
  <si>
    <t>23/10 13:46 T M COMBUSTIVEIS LTD</t>
  </si>
  <si>
    <t>24/10 08:17 22673815000174 SOUZA E CAR</t>
  </si>
  <si>
    <t>24/10 09:34 21709133000101 LABORATORIO</t>
  </si>
  <si>
    <t>24/10 10:18 17135621000185 E. L. SALGU</t>
  </si>
  <si>
    <t>24/10 11:03 28155001000396 CLINICA SAN</t>
  </si>
  <si>
    <t>24/10 14:09 40807109000150 L A E S LAB</t>
  </si>
  <si>
    <t>24/10 14:12 40807109000150 L A E S LAB</t>
  </si>
  <si>
    <t>24/10 14:35 40807109000150 L A E S Lab</t>
  </si>
  <si>
    <t>RN DISTRIBUIDORA DE COSMETICOS</t>
  </si>
  <si>
    <t>27/10 14:44 00055389147553 RONALDO VIE</t>
  </si>
  <si>
    <t>27/10 17:50 03319496000159 MEDCAL FARM</t>
  </si>
  <si>
    <t>27/10 14:08 T M COMBUSTIVEIS LTD</t>
  </si>
  <si>
    <t>ECUSTOMIZE CONSULTORIA EM SOFT</t>
  </si>
  <si>
    <t>28/10 14:25 D&amp;M LABORATORIO DE ANALI</t>
  </si>
  <si>
    <t>28/10 10:04 01594911000157 UNILAB LABO</t>
  </si>
  <si>
    <t>29/10 09:11 51936203000125 CLINICLAB</t>
  </si>
  <si>
    <t>29/10 09:29 19879499000187 Policlinica</t>
  </si>
  <si>
    <t>29/10 15:14 00065427238468 PAULO SERGI</t>
  </si>
  <si>
    <t>29/10 16:25 28155001000396 CLINICA SAN</t>
  </si>
  <si>
    <t>29/10 17:50 T M COMBUSTIVEIS LTD</t>
  </si>
  <si>
    <t>30/10 15:37 LAB A C DANTAS LTDA</t>
  </si>
  <si>
    <t>900 Movimento do Dia</t>
  </si>
  <si>
    <t>PJBANK PAGAMENTOS S.A.</t>
  </si>
  <si>
    <t>31/10 09:05 04339709441 ROBERTO CLEO D</t>
  </si>
  <si>
    <t>31/10 16:34 21709133000101 LABORATORIO</t>
  </si>
  <si>
    <t>31/10 17:35 MEDCAL FARMA HOSPITALAR L</t>
  </si>
  <si>
    <t>3965 e 3947</t>
  </si>
  <si>
    <t>4056 e 4045</t>
  </si>
  <si>
    <t>3881 e 3918</t>
  </si>
  <si>
    <t>3881 3918</t>
  </si>
  <si>
    <t>3969 e 3952</t>
  </si>
  <si>
    <t>4060 e 4050</t>
  </si>
  <si>
    <t>FT 22902</t>
  </si>
  <si>
    <t>2474 e 2594</t>
  </si>
  <si>
    <t>2627 e 2668</t>
  </si>
  <si>
    <t>1896, 1940, 2004, 2036, 2067,</t>
  </si>
  <si>
    <t>4144 e 4133</t>
  </si>
  <si>
    <t>4098, 4065</t>
  </si>
  <si>
    <t>4135, 4124</t>
  </si>
  <si>
    <t>4141, 4130</t>
  </si>
  <si>
    <t>3967 e 3949</t>
  </si>
  <si>
    <t>4058 e 4047</t>
  </si>
  <si>
    <t>4137 e 4126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</si>
</sst>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&quot;R$&quot;\ * #,##0.00_-;\-&quot;R$&quot;\ * #,##0.00_-;_-&quot;R$&quot;\ * &quot;-&quot;??_-;_-@"/>
    <numFmt numFmtId="165" formatCode="_-\R&quot;R$&quot;\ * #,##0.00_-;[Red]\-\R&quot;R$&quot;\ * #,##0.00_-;_-\R&quot;R$&quot;\ * &quot;-&quot;??_-;_-@"/>
    <numFmt numFmtId="166" formatCode="_-\R&quot;R$&quot;\ * #,##0.00_-;[Red]\-\R&quot;R$&quot;\ * #,##0.00_-;_-\R&quot;R$&quot;\ * &quot;-&quot;??_-;_-@_-"/>
  </numFmts>
  <fonts count="4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rgb="FF7F6000"/>
      <name val="Arial"/>
    </font>
    <font>
      <sz val="11"/>
      <name val="Calibri"/>
    </font>
    <font>
      <sz val="11"/>
      <color theme="1"/>
      <name val="Calibri"/>
    </font>
    <font>
      <b/>
      <sz val="11"/>
      <color theme="0"/>
      <name val="Calibri"/>
    </font>
    <font>
      <b/>
      <sz val="11"/>
      <color theme="1"/>
      <name val="Arial"/>
    </font>
    <font>
      <sz val="11"/>
      <color theme="1"/>
      <name val="Arial"/>
    </font>
    <font>
      <sz val="11"/>
      <color rgb="FF007BC1"/>
      <name val="Arial"/>
    </font>
    <font>
      <sz val="9"/>
      <color rgb="FF4195B7"/>
      <name val="Arial"/>
    </font>
    <font>
      <sz val="11"/>
      <color rgb="FFFF0000"/>
      <name val="Arial"/>
    </font>
    <font>
      <b/>
      <sz val="11"/>
      <color rgb="FFFFFFFF"/>
      <name val="Arial"/>
    </font>
    <font>
      <b/>
      <sz val="11"/>
      <color theme="0"/>
      <name val="Arial"/>
    </font>
    <font>
      <b/>
      <sz val="11"/>
      <color rgb="FF000000"/>
      <name val="Arial"/>
    </font>
    <font>
      <sz val="11"/>
      <color theme="1"/>
      <name val="Geo"/>
    </font>
    <font>
      <b/>
      <sz val="11"/>
      <color theme="1"/>
      <name val="Calibri"/>
    </font>
    <font>
      <sz val="11"/>
      <color theme="1"/>
      <name val="Calibri"/>
      <scheme val="minor"/>
    </font>
    <font>
      <sz val="9"/>
      <color rgb="FF4195B7"/>
      <name val="Geo"/>
    </font>
    <font>
      <sz val="9"/>
      <color theme="1"/>
      <name val="Geo"/>
    </font>
    <font>
      <sz val="11"/>
      <color rgb="FF4195B7"/>
      <name val="Arial"/>
    </font>
    <font>
      <sz val="9"/>
      <color theme="1"/>
      <name val="Arial"/>
    </font>
    <font>
      <sz val="7"/>
      <color rgb="FF4195B7"/>
      <name val="Geo"/>
    </font>
    <font>
      <sz val="9"/>
      <color rgb="FF007BC1"/>
      <name val="Arial"/>
    </font>
    <font>
      <sz val="9"/>
      <color rgb="FFFF0000"/>
      <name val="Arial"/>
    </font>
    <font>
      <sz val="11"/>
      <color rgb="FF000000"/>
      <name val="Calibri"/>
    </font>
    <font>
      <sz val="11"/>
      <color theme="0"/>
      <name val="Calibri"/>
    </font>
    <font>
      <sz val="11"/>
      <color rgb="FF007BC1"/>
      <name val="Calibri"/>
    </font>
    <font>
      <sz val="9"/>
      <color rgb="FF4195B7"/>
      <name val="Calibri"/>
    </font>
    <font>
      <sz val="11"/>
      <color rgb="FF4195B7"/>
      <name val="Calibri"/>
    </font>
    <font>
      <sz val="11"/>
      <color rgb="FFFF0000"/>
      <name val="Calibri"/>
    </font>
    <font>
      <u/>
      <sz val="11"/>
      <color theme="1"/>
      <name val="Calibri"/>
    </font>
    <font>
      <sz val="9"/>
      <color rgb="FF7E8CA2"/>
      <name val="Geo"/>
    </font>
    <font>
      <sz val="11"/>
      <color theme="1"/>
      <name val="Calibri"/>
      <family val="2"/>
    </font>
    <font>
      <sz val="11"/>
      <color rgb="FF000000"/>
      <name val="Calibri"/>
      <scheme val="minor"/>
    </font>
    <font>
      <sz val="9"/>
      <color theme="1"/>
      <name val="Arial"/>
      <family val="2"/>
    </font>
    <font>
      <sz val="9"/>
      <color rgb="FF007BC1"/>
      <name val="Arial"/>
      <family val="2"/>
    </font>
    <font>
      <sz val="7"/>
      <color rgb="FF4195B7"/>
      <name val="Geomanist Regular"/>
    </font>
    <font>
      <sz val="9"/>
      <color theme="1"/>
      <name val="Geomanist Regular"/>
    </font>
    <font>
      <sz val="9"/>
      <color rgb="FFFF0000"/>
      <name val="Arial"/>
      <family val="2"/>
    </font>
    <font>
      <sz val="11"/>
      <name val="Calibri"/>
      <scheme val="minor"/>
    </font>
    <font>
      <sz val="9"/>
      <name val="Geomanist Regular"/>
    </font>
    <font>
      <sz val="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rgb="FFF6F6F6"/>
        <bgColor rgb="FFF6F6F6"/>
      </patternFill>
    </fill>
    <fill>
      <patternFill patternType="solid">
        <fgColor theme="9"/>
        <bgColor theme="9"/>
      </patternFill>
    </fill>
    <fill>
      <patternFill patternType="solid">
        <fgColor rgb="FF0070C0"/>
        <bgColor rgb="FF0070C0"/>
      </patternFill>
    </fill>
    <fill>
      <patternFill patternType="solid">
        <fgColor rgb="FF227ACB"/>
        <bgColor rgb="FF227ACB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548135"/>
        <bgColor rgb="FF548135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EAADB"/>
      </left>
      <right style="thin">
        <color rgb="FF8EAADB"/>
      </right>
      <top/>
      <bottom style="thin">
        <color rgb="FF8EAADB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/>
      <right/>
      <top/>
      <bottom/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/>
      <diagonal/>
    </border>
    <border>
      <left style="thin">
        <color rgb="FF8EAADB"/>
      </left>
      <right style="thin">
        <color rgb="FF8EAADB"/>
      </right>
      <top style="thin">
        <color rgb="FF8EAADB"/>
      </top>
      <bottom style="thin">
        <color rgb="FF8EAADB"/>
      </bottom>
      <diagonal/>
    </border>
    <border>
      <left style="thin">
        <color rgb="FFFFFFFF"/>
      </left>
      <right style="thin">
        <color rgb="FF284E3F"/>
      </right>
      <top/>
      <bottom/>
      <diagonal/>
    </border>
    <border>
      <left style="thin">
        <color rgb="FFFFFFFF"/>
      </left>
      <right style="thin">
        <color rgb="FF284E3F"/>
      </right>
      <top/>
      <bottom style="thin">
        <color rgb="FFFFFFFF"/>
      </bottom>
      <diagonal/>
    </border>
    <border>
      <left style="thin">
        <color rgb="FF8EAADB"/>
      </left>
      <right style="thin">
        <color rgb="FF8EAADB"/>
      </right>
      <top style="thin">
        <color rgb="FF8EAADB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 style="thin">
        <color rgb="FF8EAADB"/>
      </right>
      <top style="thin">
        <color rgb="FF8EAADB"/>
      </top>
      <bottom style="thin">
        <color rgb="FF8EAADB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8">
    <xf numFmtId="0" fontId="0" fillId="0" borderId="0" xfId="0"/>
    <xf numFmtId="0" fontId="4" fillId="0" borderId="4" xfId="0" applyFont="1" applyBorder="1"/>
    <xf numFmtId="0" fontId="4" fillId="0" borderId="0" xfId="0" applyFont="1" applyAlignment="1">
      <alignment horizontal="center" vertical="center"/>
    </xf>
    <xf numFmtId="164" fontId="4" fillId="0" borderId="4" xfId="0" applyNumberFormat="1" applyFont="1" applyBorder="1"/>
    <xf numFmtId="0" fontId="5" fillId="3" borderId="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4" fontId="6" fillId="0" borderId="7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0" xfId="0" applyFont="1"/>
    <xf numFmtId="164" fontId="6" fillId="4" borderId="9" xfId="0" applyNumberFormat="1" applyFont="1" applyFill="1" applyBorder="1" applyAlignment="1">
      <alignment horizontal="center" vertical="center"/>
    </xf>
    <xf numFmtId="14" fontId="7" fillId="5" borderId="9" xfId="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left" vertical="center" wrapText="1"/>
    </xf>
    <xf numFmtId="0" fontId="7" fillId="5" borderId="9" xfId="0" applyFont="1" applyFill="1" applyBorder="1" applyAlignment="1">
      <alignment horizontal="right" vertical="center" wrapText="1"/>
    </xf>
    <xf numFmtId="164" fontId="8" fillId="5" borderId="9" xfId="0" applyNumberFormat="1" applyFont="1" applyFill="1" applyBorder="1" applyAlignment="1">
      <alignment horizontal="right" vertical="center" wrapText="1"/>
    </xf>
    <xf numFmtId="0" fontId="7" fillId="0" borderId="10" xfId="0" applyFont="1" applyBorder="1" applyAlignment="1">
      <alignment vertical="center"/>
    </xf>
    <xf numFmtId="14" fontId="7" fillId="6" borderId="9" xfId="0" applyNumberFormat="1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left" vertical="center" wrapText="1"/>
    </xf>
    <xf numFmtId="3" fontId="7" fillId="6" borderId="9" xfId="0" applyNumberFormat="1" applyFont="1" applyFill="1" applyBorder="1" applyAlignment="1">
      <alignment horizontal="right" vertical="center" wrapText="1"/>
    </xf>
    <xf numFmtId="164" fontId="8" fillId="6" borderId="9" xfId="0" applyNumberFormat="1" applyFont="1" applyFill="1" applyBorder="1" applyAlignment="1">
      <alignment horizontal="right" vertical="center" wrapText="1"/>
    </xf>
    <xf numFmtId="0" fontId="7" fillId="0" borderId="11" xfId="0" applyFont="1" applyBorder="1" applyAlignment="1">
      <alignment vertical="center"/>
    </xf>
    <xf numFmtId="0" fontId="7" fillId="6" borderId="9" xfId="0" applyFont="1" applyFill="1" applyBorder="1" applyAlignment="1">
      <alignment vertical="center" wrapText="1"/>
    </xf>
    <xf numFmtId="0" fontId="7" fillId="6" borderId="9" xfId="0" applyFont="1" applyFill="1" applyBorder="1" applyAlignment="1">
      <alignment horizontal="left" vertical="center" wrapText="1"/>
    </xf>
    <xf numFmtId="164" fontId="7" fillId="6" borderId="9" xfId="0" applyNumberFormat="1" applyFont="1" applyFill="1" applyBorder="1" applyAlignment="1">
      <alignment horizontal="left" vertical="center" wrapText="1"/>
    </xf>
    <xf numFmtId="0" fontId="9" fillId="5" borderId="9" xfId="0" applyFont="1" applyFill="1" applyBorder="1" applyAlignment="1">
      <alignment horizontal="left" vertical="center" wrapText="1"/>
    </xf>
    <xf numFmtId="3" fontId="7" fillId="5" borderId="9" xfId="0" applyNumberFormat="1" applyFont="1" applyFill="1" applyBorder="1" applyAlignment="1">
      <alignment horizontal="right" vertical="center" wrapText="1"/>
    </xf>
    <xf numFmtId="164" fontId="10" fillId="5" borderId="9" xfId="0" applyNumberFormat="1" applyFont="1" applyFill="1" applyBorder="1" applyAlignment="1">
      <alignment horizontal="right" vertical="center" wrapText="1"/>
    </xf>
    <xf numFmtId="0" fontId="7" fillId="5" borderId="9" xfId="0" applyFont="1" applyFill="1" applyBorder="1" applyAlignment="1">
      <alignment vertical="center" wrapText="1"/>
    </xf>
    <xf numFmtId="164" fontId="7" fillId="5" borderId="9" xfId="0" applyNumberFormat="1" applyFont="1" applyFill="1" applyBorder="1" applyAlignment="1">
      <alignment horizontal="left" vertical="center" wrapText="1"/>
    </xf>
    <xf numFmtId="164" fontId="10" fillId="6" borderId="9" xfId="0" applyNumberFormat="1" applyFont="1" applyFill="1" applyBorder="1" applyAlignment="1">
      <alignment horizontal="right" vertical="center" wrapText="1"/>
    </xf>
    <xf numFmtId="0" fontId="7" fillId="0" borderId="12" xfId="0" applyFont="1" applyBorder="1" applyAlignment="1">
      <alignment vertical="center"/>
    </xf>
    <xf numFmtId="0" fontId="4" fillId="7" borderId="13" xfId="0" applyFont="1" applyFill="1" applyBorder="1"/>
    <xf numFmtId="14" fontId="7" fillId="5" borderId="4" xfId="0" applyNumberFormat="1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3" fontId="7" fillId="5" borderId="4" xfId="0" applyNumberFormat="1" applyFont="1" applyFill="1" applyBorder="1" applyAlignment="1">
      <alignment horizontal="center" vertical="center" wrapText="1"/>
    </xf>
    <xf numFmtId="164" fontId="8" fillId="5" borderId="4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14" fontId="7" fillId="6" borderId="4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3" fontId="7" fillId="6" borderId="4" xfId="0" applyNumberFormat="1" applyFont="1" applyFill="1" applyBorder="1" applyAlignment="1">
      <alignment horizontal="center" vertical="center" wrapText="1"/>
    </xf>
    <xf numFmtId="164" fontId="8" fillId="6" borderId="4" xfId="0" applyNumberFormat="1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vertical="center"/>
    </xf>
    <xf numFmtId="0" fontId="7" fillId="5" borderId="4" xfId="0" applyFont="1" applyFill="1" applyBorder="1" applyAlignment="1">
      <alignment vertical="center" wrapText="1"/>
    </xf>
    <xf numFmtId="0" fontId="7" fillId="0" borderId="15" xfId="0" applyFont="1" applyBorder="1" applyAlignment="1">
      <alignment vertical="center"/>
    </xf>
    <xf numFmtId="0" fontId="4" fillId="7" borderId="16" xfId="0" applyFont="1" applyFill="1" applyBorder="1"/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 wrapText="1"/>
    </xf>
    <xf numFmtId="164" fontId="7" fillId="0" borderId="0" xfId="0" applyNumberFormat="1" applyFont="1"/>
    <xf numFmtId="0" fontId="11" fillId="0" borderId="0" xfId="0" applyFont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4" fontId="13" fillId="8" borderId="9" xfId="0" applyNumberFormat="1" applyFont="1" applyFill="1" applyBorder="1" applyAlignment="1">
      <alignment horizontal="center" vertical="center"/>
    </xf>
    <xf numFmtId="0" fontId="7" fillId="0" borderId="4" xfId="0" applyFont="1" applyBorder="1"/>
    <xf numFmtId="164" fontId="7" fillId="0" borderId="0" xfId="0" applyNumberFormat="1" applyFont="1" applyAlignment="1">
      <alignment horizontal="center"/>
    </xf>
    <xf numFmtId="0" fontId="14" fillId="4" borderId="9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vertical="center" wrapText="1"/>
    </xf>
    <xf numFmtId="0" fontId="14" fillId="4" borderId="9" xfId="0" applyFont="1" applyFill="1" applyBorder="1" applyAlignment="1">
      <alignment horizontal="right" vertical="center" wrapText="1"/>
    </xf>
    <xf numFmtId="164" fontId="14" fillId="4" borderId="9" xfId="0" applyNumberFormat="1" applyFont="1" applyFill="1" applyBorder="1" applyAlignment="1">
      <alignment horizontal="right" vertical="center" wrapText="1"/>
    </xf>
    <xf numFmtId="164" fontId="15" fillId="4" borderId="9" xfId="0" applyNumberFormat="1" applyFont="1" applyFill="1" applyBorder="1" applyAlignment="1">
      <alignment horizontal="center" vertical="center"/>
    </xf>
    <xf numFmtId="0" fontId="16" fillId="0" borderId="0" xfId="0" applyFont="1"/>
    <xf numFmtId="0" fontId="17" fillId="6" borderId="9" xfId="0" applyFont="1" applyFill="1" applyBorder="1" applyAlignment="1">
      <alignment horizontal="left" vertical="center" wrapText="1"/>
    </xf>
    <xf numFmtId="0" fontId="14" fillId="6" borderId="9" xfId="0" applyFont="1" applyFill="1" applyBorder="1" applyAlignment="1">
      <alignment vertical="center" wrapText="1"/>
    </xf>
    <xf numFmtId="165" fontId="7" fillId="6" borderId="9" xfId="0" applyNumberFormat="1" applyFont="1" applyFill="1" applyBorder="1" applyAlignment="1">
      <alignment horizontal="left" vertical="center" wrapText="1"/>
    </xf>
    <xf numFmtId="0" fontId="17" fillId="5" borderId="4" xfId="0" applyFont="1" applyFill="1" applyBorder="1" applyAlignment="1">
      <alignment horizontal="left" vertical="center" wrapText="1"/>
    </xf>
    <xf numFmtId="3" fontId="7" fillId="5" borderId="4" xfId="0" applyNumberFormat="1" applyFont="1" applyFill="1" applyBorder="1" applyAlignment="1">
      <alignment horizontal="right" vertical="center" wrapText="1"/>
    </xf>
    <xf numFmtId="164" fontId="8" fillId="5" borderId="4" xfId="0" applyNumberFormat="1" applyFont="1" applyFill="1" applyBorder="1" applyAlignment="1">
      <alignment horizontal="right" vertical="center" wrapText="1"/>
    </xf>
    <xf numFmtId="0" fontId="14" fillId="5" borderId="9" xfId="0" applyFont="1" applyFill="1" applyBorder="1" applyAlignment="1">
      <alignment vertical="center" wrapText="1"/>
    </xf>
    <xf numFmtId="165" fontId="7" fillId="5" borderId="9" xfId="0" applyNumberFormat="1" applyFont="1" applyFill="1" applyBorder="1" applyAlignment="1">
      <alignment horizontal="left" vertical="center" wrapText="1"/>
    </xf>
    <xf numFmtId="0" fontId="17" fillId="6" borderId="4" xfId="0" applyFont="1" applyFill="1" applyBorder="1" applyAlignment="1">
      <alignment horizontal="left" vertical="center" wrapText="1"/>
    </xf>
    <xf numFmtId="3" fontId="7" fillId="6" borderId="4" xfId="0" applyNumberFormat="1" applyFont="1" applyFill="1" applyBorder="1" applyAlignment="1">
      <alignment horizontal="right" vertical="center" wrapText="1"/>
    </xf>
    <xf numFmtId="164" fontId="8" fillId="6" borderId="4" xfId="0" applyNumberFormat="1" applyFont="1" applyFill="1" applyBorder="1" applyAlignment="1">
      <alignment horizontal="right" vertical="center" wrapText="1"/>
    </xf>
    <xf numFmtId="0" fontId="17" fillId="5" borderId="9" xfId="0" applyFont="1" applyFill="1" applyBorder="1" applyAlignment="1">
      <alignment horizontal="left" vertical="center" wrapText="1"/>
    </xf>
    <xf numFmtId="165" fontId="10" fillId="5" borderId="9" xfId="0" applyNumberFormat="1" applyFont="1" applyFill="1" applyBorder="1" applyAlignment="1">
      <alignment horizontal="right" vertical="center" wrapText="1"/>
    </xf>
    <xf numFmtId="165" fontId="10" fillId="6" borderId="9" xfId="0" applyNumberFormat="1" applyFont="1" applyFill="1" applyBorder="1" applyAlignment="1">
      <alignment horizontal="right" vertical="center" wrapText="1"/>
    </xf>
    <xf numFmtId="0" fontId="4" fillId="0" borderId="0" xfId="0" applyFont="1"/>
    <xf numFmtId="0" fontId="18" fillId="0" borderId="0" xfId="0" applyFont="1"/>
    <xf numFmtId="164" fontId="4" fillId="0" borderId="0" xfId="0" applyNumberFormat="1" applyFont="1"/>
    <xf numFmtId="0" fontId="4" fillId="3" borderId="9" xfId="0" applyFont="1" applyFill="1" applyBorder="1" applyAlignment="1">
      <alignment horizontal="center" vertical="center"/>
    </xf>
    <xf numFmtId="0" fontId="7" fillId="9" borderId="9" xfId="0" applyFont="1" applyFill="1" applyBorder="1" applyAlignment="1">
      <alignment horizontal="center" vertical="center" wrapText="1"/>
    </xf>
    <xf numFmtId="164" fontId="7" fillId="9" borderId="9" xfId="0" applyNumberFormat="1" applyFont="1" applyFill="1" applyBorder="1" applyAlignment="1">
      <alignment horizontal="center" vertical="center" wrapText="1"/>
    </xf>
    <xf numFmtId="164" fontId="4" fillId="9" borderId="9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64" fontId="15" fillId="9" borderId="9" xfId="0" applyNumberFormat="1" applyFont="1" applyFill="1" applyBorder="1" applyAlignment="1">
      <alignment horizontal="center" vertical="center"/>
    </xf>
    <xf numFmtId="0" fontId="19" fillId="6" borderId="9" xfId="0" applyFont="1" applyFill="1" applyBorder="1" applyAlignment="1">
      <alignment horizontal="left" vertical="center" wrapText="1"/>
    </xf>
    <xf numFmtId="0" fontId="19" fillId="5" borderId="9" xfId="0" applyFont="1" applyFill="1" applyBorder="1" applyAlignment="1">
      <alignment horizontal="left" vertical="center" wrapText="1"/>
    </xf>
    <xf numFmtId="0" fontId="19" fillId="5" borderId="4" xfId="0" applyFont="1" applyFill="1" applyBorder="1" applyAlignment="1">
      <alignment horizontal="left" vertical="center" wrapText="1"/>
    </xf>
    <xf numFmtId="0" fontId="19" fillId="6" borderId="4" xfId="0" applyFont="1" applyFill="1" applyBorder="1" applyAlignment="1">
      <alignment horizontal="left" vertical="center" wrapText="1"/>
    </xf>
    <xf numFmtId="0" fontId="4" fillId="10" borderId="13" xfId="0" applyFont="1" applyFill="1" applyBorder="1"/>
    <xf numFmtId="14" fontId="7" fillId="11" borderId="4" xfId="0" applyNumberFormat="1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19" fillId="11" borderId="4" xfId="0" applyFont="1" applyFill="1" applyBorder="1" applyAlignment="1">
      <alignment horizontal="left" vertical="center" wrapText="1"/>
    </xf>
    <xf numFmtId="3" fontId="7" fillId="11" borderId="4" xfId="0" applyNumberFormat="1" applyFont="1" applyFill="1" applyBorder="1" applyAlignment="1">
      <alignment horizontal="right" vertical="center" wrapText="1"/>
    </xf>
    <xf numFmtId="164" fontId="8" fillId="0" borderId="4" xfId="0" applyNumberFormat="1" applyFont="1" applyBorder="1" applyAlignment="1">
      <alignment horizontal="right" vertical="center" wrapText="1"/>
    </xf>
    <xf numFmtId="0" fontId="4" fillId="11" borderId="9" xfId="0" applyFont="1" applyFill="1" applyBorder="1" applyAlignment="1">
      <alignment horizontal="center" vertical="center"/>
    </xf>
    <xf numFmtId="0" fontId="4" fillId="11" borderId="9" xfId="0" applyFont="1" applyFill="1" applyBorder="1"/>
    <xf numFmtId="164" fontId="4" fillId="11" borderId="9" xfId="0" applyNumberFormat="1" applyFont="1" applyFill="1" applyBorder="1"/>
    <xf numFmtId="14" fontId="7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left" vertical="center" wrapText="1"/>
    </xf>
    <xf numFmtId="3" fontId="7" fillId="0" borderId="4" xfId="0" applyNumberFormat="1" applyFont="1" applyBorder="1" applyAlignment="1">
      <alignment horizontal="right" vertical="center" wrapText="1"/>
    </xf>
    <xf numFmtId="0" fontId="4" fillId="10" borderId="13" xfId="0" applyFont="1" applyFill="1" applyBorder="1" applyAlignment="1">
      <alignment horizontal="center" vertical="center"/>
    </xf>
    <xf numFmtId="0" fontId="18" fillId="6" borderId="9" xfId="0" applyFont="1" applyFill="1" applyBorder="1" applyAlignment="1">
      <alignment vertical="center" wrapText="1"/>
    </xf>
    <xf numFmtId="0" fontId="20" fillId="6" borderId="9" xfId="0" applyFont="1" applyFill="1" applyBorder="1" applyAlignment="1">
      <alignment horizontal="left" vertical="center" wrapText="1"/>
    </xf>
    <xf numFmtId="164" fontId="20" fillId="6" borderId="9" xfId="0" applyNumberFormat="1" applyFont="1" applyFill="1" applyBorder="1" applyAlignment="1">
      <alignment horizontal="left" vertical="center" wrapText="1"/>
    </xf>
    <xf numFmtId="14" fontId="20" fillId="5" borderId="9" xfId="0" applyNumberFormat="1" applyFont="1" applyFill="1" applyBorder="1" applyAlignment="1">
      <alignment horizontal="center" vertical="center" wrapText="1"/>
    </xf>
    <xf numFmtId="0" fontId="20" fillId="5" borderId="9" xfId="0" applyFont="1" applyFill="1" applyBorder="1" applyAlignment="1">
      <alignment horizontal="center" vertical="center" wrapText="1"/>
    </xf>
    <xf numFmtId="0" fontId="21" fillId="5" borderId="9" xfId="0" applyFont="1" applyFill="1" applyBorder="1" applyAlignment="1">
      <alignment horizontal="left" vertical="center" wrapText="1"/>
    </xf>
    <xf numFmtId="3" fontId="20" fillId="5" borderId="9" xfId="0" applyNumberFormat="1" applyFont="1" applyFill="1" applyBorder="1" applyAlignment="1">
      <alignment horizontal="right" vertical="center" wrapText="1"/>
    </xf>
    <xf numFmtId="164" fontId="22" fillId="5" borderId="9" xfId="0" applyNumberFormat="1" applyFont="1" applyFill="1" applyBorder="1" applyAlignment="1">
      <alignment horizontal="right" vertical="center" wrapText="1"/>
    </xf>
    <xf numFmtId="0" fontId="18" fillId="5" borderId="9" xfId="0" applyFont="1" applyFill="1" applyBorder="1" applyAlignment="1">
      <alignment vertical="center" wrapText="1"/>
    </xf>
    <xf numFmtId="0" fontId="20" fillId="5" borderId="9" xfId="0" applyFont="1" applyFill="1" applyBorder="1" applyAlignment="1">
      <alignment horizontal="left" vertical="center" wrapText="1"/>
    </xf>
    <xf numFmtId="164" fontId="20" fillId="5" borderId="9" xfId="0" applyNumberFormat="1" applyFont="1" applyFill="1" applyBorder="1" applyAlignment="1">
      <alignment horizontal="left" vertical="center" wrapText="1"/>
    </xf>
    <xf numFmtId="14" fontId="20" fillId="6" borderId="9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1" fillId="6" borderId="9" xfId="0" applyFont="1" applyFill="1" applyBorder="1" applyAlignment="1">
      <alignment horizontal="left" vertical="center" wrapText="1"/>
    </xf>
    <xf numFmtId="3" fontId="20" fillId="6" borderId="9" xfId="0" applyNumberFormat="1" applyFont="1" applyFill="1" applyBorder="1" applyAlignment="1">
      <alignment horizontal="right" vertical="center" wrapText="1"/>
    </xf>
    <xf numFmtId="164" fontId="22" fillId="6" borderId="9" xfId="0" applyNumberFormat="1" applyFont="1" applyFill="1" applyBorder="1" applyAlignment="1">
      <alignment horizontal="right" vertical="center" wrapText="1"/>
    </xf>
    <xf numFmtId="164" fontId="23" fillId="5" borderId="9" xfId="0" applyNumberFormat="1" applyFont="1" applyFill="1" applyBorder="1" applyAlignment="1">
      <alignment horizontal="right" vertical="center" wrapText="1"/>
    </xf>
    <xf numFmtId="164" fontId="23" fillId="6" borderId="9" xfId="0" applyNumberFormat="1" applyFont="1" applyFill="1" applyBorder="1" applyAlignment="1">
      <alignment horizontal="right" vertical="center" wrapText="1"/>
    </xf>
    <xf numFmtId="0" fontId="24" fillId="3" borderId="17" xfId="0" applyFont="1" applyFill="1" applyBorder="1" applyAlignment="1">
      <alignment horizontal="center" vertical="center"/>
    </xf>
    <xf numFmtId="0" fontId="14" fillId="12" borderId="9" xfId="0" applyFont="1" applyFill="1" applyBorder="1" applyAlignment="1">
      <alignment horizontal="center" vertical="center" wrapText="1"/>
    </xf>
    <xf numFmtId="164" fontId="14" fillId="12" borderId="9" xfId="0" applyNumberFormat="1" applyFont="1" applyFill="1" applyBorder="1" applyAlignment="1">
      <alignment horizontal="center" vertical="center" wrapText="1"/>
    </xf>
    <xf numFmtId="0" fontId="4" fillId="12" borderId="9" xfId="0" applyFont="1" applyFill="1" applyBorder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0" fontId="4" fillId="7" borderId="9" xfId="0" applyFont="1" applyFill="1" applyBorder="1"/>
    <xf numFmtId="164" fontId="15" fillId="0" borderId="0" xfId="0" applyNumberFormat="1" applyFont="1"/>
    <xf numFmtId="0" fontId="17" fillId="0" borderId="4" xfId="0" applyFont="1" applyBorder="1" applyAlignment="1">
      <alignment horizontal="left" vertical="center" wrapText="1"/>
    </xf>
    <xf numFmtId="14" fontId="4" fillId="5" borderId="9" xfId="0" applyNumberFormat="1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left" vertical="center" wrapText="1"/>
    </xf>
    <xf numFmtId="164" fontId="26" fillId="5" borderId="9" xfId="0" applyNumberFormat="1" applyFont="1" applyFill="1" applyBorder="1" applyAlignment="1">
      <alignment horizontal="right" vertical="center" wrapText="1"/>
    </xf>
    <xf numFmtId="14" fontId="4" fillId="6" borderId="9" xfId="0" applyNumberFormat="1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27" fillId="6" borderId="9" xfId="0" applyFont="1" applyFill="1" applyBorder="1" applyAlignment="1">
      <alignment horizontal="left" vertical="center" wrapText="1"/>
    </xf>
    <xf numFmtId="3" fontId="4" fillId="6" borderId="9" xfId="0" applyNumberFormat="1" applyFont="1" applyFill="1" applyBorder="1" applyAlignment="1">
      <alignment horizontal="right" vertical="center" wrapText="1"/>
    </xf>
    <xf numFmtId="0" fontId="4" fillId="6" borderId="9" xfId="0" applyFont="1" applyFill="1" applyBorder="1" applyAlignment="1">
      <alignment vertical="center" wrapText="1"/>
    </xf>
    <xf numFmtId="0" fontId="4" fillId="6" borderId="9" xfId="0" applyFont="1" applyFill="1" applyBorder="1" applyAlignment="1">
      <alignment horizontal="left" vertical="center" wrapText="1"/>
    </xf>
    <xf numFmtId="165" fontId="4" fillId="6" borderId="9" xfId="0" applyNumberFormat="1" applyFont="1" applyFill="1" applyBorder="1" applyAlignment="1">
      <alignment horizontal="left" vertical="center" wrapText="1"/>
    </xf>
    <xf numFmtId="0" fontId="27" fillId="5" borderId="9" xfId="0" applyFont="1" applyFill="1" applyBorder="1" applyAlignment="1">
      <alignment horizontal="left" vertical="center" wrapText="1"/>
    </xf>
    <xf numFmtId="3" fontId="4" fillId="5" borderId="9" xfId="0" applyNumberFormat="1" applyFont="1" applyFill="1" applyBorder="1" applyAlignment="1">
      <alignment horizontal="right" vertical="center" wrapText="1"/>
    </xf>
    <xf numFmtId="0" fontId="4" fillId="5" borderId="9" xfId="0" applyFont="1" applyFill="1" applyBorder="1" applyAlignment="1">
      <alignment vertical="center" wrapText="1"/>
    </xf>
    <xf numFmtId="165" fontId="4" fillId="5" borderId="9" xfId="0" applyNumberFormat="1" applyFont="1" applyFill="1" applyBorder="1" applyAlignment="1">
      <alignment horizontal="left" vertical="center" wrapText="1"/>
    </xf>
    <xf numFmtId="164" fontId="29" fillId="6" borderId="9" xfId="0" applyNumberFormat="1" applyFont="1" applyFill="1" applyBorder="1" applyAlignment="1">
      <alignment horizontal="right" vertical="center" wrapText="1"/>
    </xf>
    <xf numFmtId="164" fontId="29" fillId="5" borderId="9" xfId="0" applyNumberFormat="1" applyFont="1" applyFill="1" applyBorder="1" applyAlignment="1">
      <alignment horizontal="right" vertical="center" wrapText="1"/>
    </xf>
    <xf numFmtId="0" fontId="4" fillId="10" borderId="9" xfId="0" applyFont="1" applyFill="1" applyBorder="1"/>
    <xf numFmtId="0" fontId="4" fillId="10" borderId="9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164" fontId="25" fillId="0" borderId="0" xfId="0" applyNumberFormat="1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3" fontId="4" fillId="0" borderId="0" xfId="0" applyNumberFormat="1" applyFont="1" applyAlignment="1">
      <alignment horizontal="right" vertical="center" wrapText="1"/>
    </xf>
    <xf numFmtId="164" fontId="26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horizontal="left" vertical="center" wrapText="1"/>
    </xf>
    <xf numFmtId="0" fontId="4" fillId="7" borderId="4" xfId="0" applyFont="1" applyFill="1" applyBorder="1"/>
    <xf numFmtId="0" fontId="4" fillId="0" borderId="0" xfId="0" applyFont="1" applyAlignment="1">
      <alignment vertical="center"/>
    </xf>
    <xf numFmtId="0" fontId="30" fillId="0" borderId="0" xfId="0" applyFont="1"/>
    <xf numFmtId="14" fontId="4" fillId="11" borderId="9" xfId="0" applyNumberFormat="1" applyFont="1" applyFill="1" applyBorder="1" applyAlignment="1">
      <alignment horizontal="center" vertical="center" wrapText="1"/>
    </xf>
    <xf numFmtId="0" fontId="4" fillId="11" borderId="9" xfId="0" applyFont="1" applyFill="1" applyBorder="1" applyAlignment="1">
      <alignment horizontal="center" vertical="center" wrapText="1"/>
    </xf>
    <xf numFmtId="0" fontId="28" fillId="11" borderId="9" xfId="0" applyFont="1" applyFill="1" applyBorder="1" applyAlignment="1">
      <alignment horizontal="left" vertical="center" wrapText="1"/>
    </xf>
    <xf numFmtId="3" fontId="4" fillId="11" borderId="9" xfId="0" applyNumberFormat="1" applyFont="1" applyFill="1" applyBorder="1" applyAlignment="1">
      <alignment horizontal="right" vertical="center" wrapText="1"/>
    </xf>
    <xf numFmtId="164" fontId="26" fillId="11" borderId="9" xfId="0" applyNumberFormat="1" applyFont="1" applyFill="1" applyBorder="1" applyAlignment="1">
      <alignment horizontal="right" vertical="center" wrapText="1"/>
    </xf>
    <xf numFmtId="0" fontId="4" fillId="11" borderId="9" xfId="0" applyFont="1" applyFill="1" applyBorder="1" applyAlignment="1">
      <alignment vertical="center"/>
    </xf>
    <xf numFmtId="164" fontId="29" fillId="0" borderId="0" xfId="0" applyNumberFormat="1" applyFont="1" applyAlignment="1">
      <alignment horizontal="right" vertical="center" wrapText="1"/>
    </xf>
    <xf numFmtId="0" fontId="4" fillId="10" borderId="4" xfId="0" applyFont="1" applyFill="1" applyBorder="1"/>
    <xf numFmtId="0" fontId="4" fillId="11" borderId="9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11" borderId="9" xfId="0" applyFont="1" applyFill="1" applyBorder="1" applyAlignment="1">
      <alignment vertical="center" wrapText="1"/>
    </xf>
    <xf numFmtId="14" fontId="4" fillId="0" borderId="0" xfId="0" applyNumberFormat="1" applyFont="1"/>
    <xf numFmtId="3" fontId="4" fillId="0" borderId="0" xfId="0" applyNumberFormat="1" applyFont="1"/>
    <xf numFmtId="0" fontId="4" fillId="13" borderId="4" xfId="0" applyFont="1" applyFill="1" applyBorder="1"/>
    <xf numFmtId="0" fontId="18" fillId="0" borderId="0" xfId="0" applyFont="1" applyAlignment="1">
      <alignment horizontal="left"/>
    </xf>
    <xf numFmtId="0" fontId="20" fillId="0" borderId="0" xfId="0" applyFont="1"/>
    <xf numFmtId="0" fontId="18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 wrapText="1"/>
    </xf>
    <xf numFmtId="14" fontId="20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3" fontId="20" fillId="0" borderId="0" xfId="0" applyNumberFormat="1" applyFont="1" applyAlignment="1">
      <alignment horizontal="right" vertical="center" wrapText="1"/>
    </xf>
    <xf numFmtId="164" fontId="22" fillId="0" borderId="0" xfId="0" applyNumberFormat="1" applyFont="1" applyAlignment="1">
      <alignment horizontal="right" vertical="center" wrapText="1"/>
    </xf>
    <xf numFmtId="0" fontId="18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 wrapText="1"/>
    </xf>
    <xf numFmtId="165" fontId="20" fillId="0" borderId="0" xfId="0" applyNumberFormat="1" applyFont="1" applyAlignment="1">
      <alignment horizontal="left" vertical="center" wrapText="1"/>
    </xf>
    <xf numFmtId="164" fontId="23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wrapText="1"/>
    </xf>
    <xf numFmtId="14" fontId="20" fillId="11" borderId="9" xfId="0" applyNumberFormat="1" applyFont="1" applyFill="1" applyBorder="1" applyAlignment="1">
      <alignment horizontal="center" vertical="center" wrapText="1"/>
    </xf>
    <xf numFmtId="0" fontId="20" fillId="11" borderId="9" xfId="0" applyFont="1" applyFill="1" applyBorder="1" applyAlignment="1">
      <alignment horizontal="center" vertical="center" wrapText="1"/>
    </xf>
    <xf numFmtId="0" fontId="9" fillId="11" borderId="9" xfId="0" applyFont="1" applyFill="1" applyBorder="1" applyAlignment="1">
      <alignment horizontal="left" vertical="center" wrapText="1"/>
    </xf>
    <xf numFmtId="3" fontId="20" fillId="11" borderId="9" xfId="0" applyNumberFormat="1" applyFont="1" applyFill="1" applyBorder="1" applyAlignment="1">
      <alignment horizontal="right" vertical="center" wrapText="1"/>
    </xf>
    <xf numFmtId="164" fontId="22" fillId="11" borderId="9" xfId="0" applyNumberFormat="1" applyFont="1" applyFill="1" applyBorder="1" applyAlignment="1">
      <alignment horizontal="right" vertical="center" wrapText="1"/>
    </xf>
    <xf numFmtId="0" fontId="5" fillId="12" borderId="18" xfId="0" applyFont="1" applyFill="1" applyBorder="1"/>
    <xf numFmtId="0" fontId="5" fillId="12" borderId="19" xfId="0" applyFont="1" applyFill="1" applyBorder="1"/>
    <xf numFmtId="164" fontId="5" fillId="12" borderId="19" xfId="0" applyNumberFormat="1" applyFont="1" applyFill="1" applyBorder="1"/>
    <xf numFmtId="0" fontId="5" fillId="12" borderId="20" xfId="0" applyFont="1" applyFill="1" applyBorder="1"/>
    <xf numFmtId="0" fontId="31" fillId="0" borderId="0" xfId="0" applyFont="1" applyAlignment="1">
      <alignment horizontal="center" vertical="center" wrapText="1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horizontal="right" vertical="center" wrapText="1"/>
    </xf>
    <xf numFmtId="164" fontId="31" fillId="0" borderId="0" xfId="0" applyNumberFormat="1" applyFont="1" applyAlignment="1">
      <alignment horizontal="right"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horizontal="left" vertical="center" wrapText="1"/>
    </xf>
    <xf numFmtId="44" fontId="0" fillId="0" borderId="0" xfId="0" applyNumberFormat="1"/>
    <xf numFmtId="0" fontId="33" fillId="0" borderId="4" xfId="0" applyFont="1" applyBorder="1" applyAlignment="1">
      <alignment horizontal="center" vertical="center"/>
    </xf>
    <xf numFmtId="164" fontId="33" fillId="0" borderId="21" xfId="0" applyNumberFormat="1" applyFont="1" applyBorder="1"/>
    <xf numFmtId="0" fontId="33" fillId="0" borderId="21" xfId="0" applyFont="1" applyBorder="1" applyAlignment="1">
      <alignment horizontal="center" vertical="center"/>
    </xf>
    <xf numFmtId="164" fontId="33" fillId="0" borderId="21" xfId="0" applyNumberFormat="1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164" fontId="33" fillId="0" borderId="22" xfId="0" applyNumberFormat="1" applyFont="1" applyBorder="1"/>
    <xf numFmtId="0" fontId="33" fillId="0" borderId="22" xfId="0" applyFont="1" applyBorder="1"/>
    <xf numFmtId="164" fontId="33" fillId="0" borderId="22" xfId="0" applyNumberFormat="1" applyFont="1" applyBorder="1" applyAlignment="1">
      <alignment horizontal="center" vertical="center"/>
    </xf>
    <xf numFmtId="0" fontId="1" fillId="0" borderId="0" xfId="0" applyFont="1"/>
    <xf numFmtId="14" fontId="34" fillId="0" borderId="0" xfId="0" applyNumberFormat="1" applyFont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left" vertical="center" wrapText="1"/>
    </xf>
    <xf numFmtId="0" fontId="34" fillId="0" borderId="0" xfId="0" applyFont="1" applyAlignment="1">
      <alignment horizontal="right" vertical="center" wrapText="1"/>
    </xf>
    <xf numFmtId="44" fontId="35" fillId="0" borderId="0" xfId="0" applyNumberFormat="1" applyFont="1" applyAlignment="1">
      <alignment horizontal="right" vertical="center" wrapText="1"/>
    </xf>
    <xf numFmtId="0" fontId="36" fillId="0" borderId="0" xfId="0" applyFont="1" applyAlignment="1">
      <alignment horizontal="left" vertical="center" wrapText="1"/>
    </xf>
    <xf numFmtId="3" fontId="34" fillId="0" borderId="0" xfId="0" applyNumberFormat="1" applyFont="1" applyAlignment="1">
      <alignment horizontal="right" vertical="center" wrapText="1"/>
    </xf>
    <xf numFmtId="0" fontId="37" fillId="0" borderId="0" xfId="0" applyFont="1" applyAlignment="1">
      <alignment vertical="center" wrapText="1"/>
    </xf>
    <xf numFmtId="166" fontId="34" fillId="0" borderId="0" xfId="0" applyNumberFormat="1" applyFont="1" applyAlignment="1">
      <alignment horizontal="left" vertical="center" wrapText="1"/>
    </xf>
    <xf numFmtId="44" fontId="38" fillId="0" borderId="0" xfId="0" applyNumberFormat="1" applyFont="1" applyAlignment="1">
      <alignment horizontal="right" vertical="center" wrapText="1"/>
    </xf>
    <xf numFmtId="0" fontId="37" fillId="0" borderId="0" xfId="0" applyFont="1" applyAlignment="1">
      <alignment horizontal="center" vertical="center" wrapText="1"/>
    </xf>
    <xf numFmtId="0" fontId="37" fillId="0" borderId="0" xfId="0" applyFont="1" applyAlignment="1">
      <alignment horizontal="right" vertical="center" wrapText="1"/>
    </xf>
    <xf numFmtId="44" fontId="37" fillId="0" borderId="0" xfId="0" applyNumberFormat="1" applyFont="1" applyAlignment="1">
      <alignment horizontal="right" vertical="center" wrapText="1"/>
    </xf>
    <xf numFmtId="14" fontId="4" fillId="0" borderId="9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right" vertical="center" wrapText="1"/>
    </xf>
    <xf numFmtId="164" fontId="26" fillId="0" borderId="9" xfId="0" applyNumberFormat="1" applyFont="1" applyBorder="1" applyAlignment="1">
      <alignment horizontal="right" vertical="center" wrapText="1"/>
    </xf>
    <xf numFmtId="0" fontId="27" fillId="0" borderId="9" xfId="0" applyFont="1" applyBorder="1" applyAlignment="1">
      <alignment horizontal="left" vertical="center" wrapText="1"/>
    </xf>
    <xf numFmtId="3" fontId="4" fillId="0" borderId="9" xfId="0" applyNumberFormat="1" applyFont="1" applyBorder="1" applyAlignment="1">
      <alignment horizontal="right" vertical="center" wrapText="1"/>
    </xf>
    <xf numFmtId="0" fontId="4" fillId="0" borderId="9" xfId="0" applyFont="1" applyBorder="1" applyAlignment="1">
      <alignment vertical="center" wrapText="1"/>
    </xf>
    <xf numFmtId="165" fontId="4" fillId="0" borderId="9" xfId="0" applyNumberFormat="1" applyFont="1" applyBorder="1" applyAlignment="1">
      <alignment horizontal="left" vertical="center" wrapText="1"/>
    </xf>
    <xf numFmtId="0" fontId="28" fillId="0" borderId="9" xfId="0" applyFont="1" applyBorder="1" applyAlignment="1">
      <alignment horizontal="left" vertical="center" wrapText="1"/>
    </xf>
    <xf numFmtId="164" fontId="29" fillId="0" borderId="9" xfId="0" applyNumberFormat="1" applyFont="1" applyBorder="1" applyAlignment="1">
      <alignment horizontal="right" vertical="center" wrapText="1"/>
    </xf>
    <xf numFmtId="0" fontId="32" fillId="0" borderId="0" xfId="0" applyFont="1"/>
    <xf numFmtId="0" fontId="32" fillId="0" borderId="9" xfId="0" applyFont="1" applyBorder="1" applyAlignment="1">
      <alignment horizontal="center" vertical="center" wrapText="1"/>
    </xf>
    <xf numFmtId="0" fontId="32" fillId="0" borderId="9" xfId="0" applyFont="1" applyBorder="1" applyAlignment="1">
      <alignment vertical="center" wrapText="1"/>
    </xf>
    <xf numFmtId="0" fontId="32" fillId="0" borderId="9" xfId="0" applyFont="1" applyBorder="1" applyAlignment="1">
      <alignment horizontal="right" vertical="center" wrapText="1"/>
    </xf>
    <xf numFmtId="164" fontId="32" fillId="0" borderId="9" xfId="0" applyNumberFormat="1" applyFont="1" applyBorder="1" applyAlignment="1">
      <alignment horizontal="right" vertical="center" wrapText="1"/>
    </xf>
    <xf numFmtId="0" fontId="3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44" fontId="39" fillId="0" borderId="0" xfId="0" applyNumberFormat="1" applyFont="1" applyAlignment="1">
      <alignment horizontal="center" vertical="center"/>
    </xf>
    <xf numFmtId="44" fontId="40" fillId="0" borderId="0" xfId="0" applyNumberFormat="1" applyFont="1" applyAlignment="1">
      <alignment horizontal="center" vertical="center" wrapText="1"/>
    </xf>
    <xf numFmtId="44" fontId="41" fillId="0" borderId="0" xfId="0" applyNumberFormat="1" applyFont="1" applyAlignment="1">
      <alignment horizontal="center" vertical="center" wrapText="1"/>
    </xf>
    <xf numFmtId="166" fontId="41" fillId="0" borderId="0" xfId="0" applyNumberFormat="1" applyFont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8" fontId="0" fillId="0" borderId="0" xfId="0" applyNumberFormat="1"/>
  </cellXfs>
  <cellStyles count="1">
    <cellStyle name="Normal" xfId="0" builtinId="0"/>
  </cellStyles>
  <dxfs count="39"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9">
    <tableStyle name="Jan-style" pivot="0" count="3" xr9:uid="{00000000-0011-0000-FFFF-FFFF00000000}">
      <tableStyleElement type="headerRow" dxfId="38"/>
      <tableStyleElement type="firstRowStripe" dxfId="37"/>
      <tableStyleElement type="secondRowStripe" dxfId="36"/>
    </tableStyle>
    <tableStyle name="Fev-style" pivot="0" count="3" xr9:uid="{00000000-0011-0000-FFFF-FFFF01000000}">
      <tableStyleElement type="headerRow" dxfId="35"/>
      <tableStyleElement type="firstRowStripe" dxfId="34"/>
      <tableStyleElement type="secondRowStripe" dxfId="33"/>
    </tableStyle>
    <tableStyle name="Mar-style" pivot="0" count="3" xr9:uid="{00000000-0011-0000-FFFF-FFFF02000000}">
      <tableStyleElement type="headerRow" dxfId="32"/>
      <tableStyleElement type="firstRowStripe" dxfId="31"/>
      <tableStyleElement type="secondRowStripe" dxfId="30"/>
    </tableStyle>
    <tableStyle name="Abr-style" pivot="0" count="3" xr9:uid="{00000000-0011-0000-FFFF-FFFF03000000}">
      <tableStyleElement type="headerRow" dxfId="29"/>
      <tableStyleElement type="firstRowStripe" dxfId="28"/>
      <tableStyleElement type="secondRowStripe" dxfId="27"/>
    </tableStyle>
    <tableStyle name="Mai-style" pivot="0" count="3" xr9:uid="{00000000-0011-0000-FFFF-FFFF04000000}">
      <tableStyleElement type="headerRow" dxfId="26"/>
      <tableStyleElement type="firstRowStripe" dxfId="25"/>
      <tableStyleElement type="secondRowStripe" dxfId="24"/>
    </tableStyle>
    <tableStyle name="Jun-style" pivot="0" count="3" xr9:uid="{00000000-0011-0000-FFFF-FFFF05000000}">
      <tableStyleElement type="headerRow" dxfId="23"/>
      <tableStyleElement type="firstRowStripe" dxfId="22"/>
      <tableStyleElement type="secondRowStripe" dxfId="21"/>
    </tableStyle>
    <tableStyle name="Jul-style" pivot="0" count="3" xr9:uid="{00000000-0011-0000-FFFF-FFFF06000000}">
      <tableStyleElement type="headerRow" dxfId="20"/>
      <tableStyleElement type="firstRowStripe" dxfId="19"/>
      <tableStyleElement type="secondRowStripe" dxfId="18"/>
    </tableStyle>
    <tableStyle name="Ago-style" pivot="0" count="3" xr9:uid="{00000000-0011-0000-FFFF-FFFF07000000}">
      <tableStyleElement type="headerRow" dxfId="17"/>
      <tableStyleElement type="firstRowStripe" dxfId="16"/>
      <tableStyleElement type="secondRowStripe" dxfId="15"/>
    </tableStyle>
    <tableStyle name="Set-style" pivot="0" count="3" xr9:uid="{00000000-0011-0000-FFFF-FFFF08000000}"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509">
  <tableColumns count="1">
    <tableColumn id="1" xr3:uid="{00000000-0010-0000-0000-000001000000}" name="Status"/>
  </tableColumns>
  <tableStyleInfo name="Ja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A515">
  <tableColumns count="1">
    <tableColumn id="1" xr3:uid="{00000000-0010-0000-0100-000001000000}" name="Status"/>
  </tableColumns>
  <tableStyleInfo name="Fev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A394">
  <tableColumns count="1">
    <tableColumn id="1" xr3:uid="{00000000-0010-0000-0200-000001000000}" name="Status"/>
  </tableColumns>
  <tableStyleInfo name="Mar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A845">
  <tableColumns count="1">
    <tableColumn id="1" xr3:uid="{00000000-0010-0000-0300-000001000000}" name="Status"/>
  </tableColumns>
  <tableStyleInfo name="Abr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A1067">
  <tableColumns count="1">
    <tableColumn id="1" xr3:uid="{00000000-0010-0000-0400-000001000000}" name="Status"/>
  </tableColumns>
  <tableStyleInfo name="Mai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I922" headerRowDxfId="11">
  <tableColumns count="9">
    <tableColumn id="1" xr3:uid="{00000000-0010-0000-0500-000001000000}" name="Status"/>
    <tableColumn id="2" xr3:uid="{00000000-0010-0000-0500-000002000000}" name="Dt. balancete"/>
    <tableColumn id="3" xr3:uid="{00000000-0010-0000-0500-000003000000}" name="Ag. origem"/>
    <tableColumn id="4" xr3:uid="{00000000-0010-0000-0500-000004000000}" name="Lote"/>
    <tableColumn id="5" xr3:uid="{00000000-0010-0000-0500-000005000000}" name="Histórico"/>
    <tableColumn id="6" xr3:uid="{00000000-0010-0000-0500-000006000000}" name="Documento"/>
    <tableColumn id="7" xr3:uid="{00000000-0010-0000-0500-000007000000}" name="Valor R$"/>
    <tableColumn id="8" xr3:uid="{00000000-0010-0000-0500-000008000000}" name="Fatura"/>
    <tableColumn id="9" xr3:uid="{00000000-0010-0000-0500-000009000000}" name="Tipo"/>
  </tableColumns>
  <tableStyleInfo name="Jun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jul" displayName="Tablejul" ref="A1:I1080">
  <tableColumns count="9">
    <tableColumn id="1" xr3:uid="{00000000-0010-0000-0600-000001000000}" name="Status"/>
    <tableColumn id="2" xr3:uid="{00000000-0010-0000-0600-000002000000}" name="Dt. balancete"/>
    <tableColumn id="3" xr3:uid="{00000000-0010-0000-0600-000003000000}" name="Ag. origem"/>
    <tableColumn id="4" xr3:uid="{00000000-0010-0000-0600-000004000000}" name="Lote"/>
    <tableColumn id="5" xr3:uid="{00000000-0010-0000-0600-000005000000}" name="Histórico"/>
    <tableColumn id="6" xr3:uid="{00000000-0010-0000-0600-000006000000}" name="Documento"/>
    <tableColumn id="7" xr3:uid="{00000000-0010-0000-0600-000007000000}" name="Valor R$"/>
    <tableColumn id="8" xr3:uid="{00000000-0010-0000-0600-000008000000}" name="Fatura"/>
    <tableColumn id="9" xr3:uid="{00000000-0010-0000-0600-000009000000}" name="Tipo"/>
  </tableColumns>
  <tableStyleInfo name="Jul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ago" displayName="Tableago" ref="A1:I1026">
  <tableColumns count="9">
    <tableColumn id="1" xr3:uid="{00000000-0010-0000-0700-000001000000}" name="Status"/>
    <tableColumn id="2" xr3:uid="{00000000-0010-0000-0700-000002000000}" name="Dt. balancete"/>
    <tableColumn id="3" xr3:uid="{00000000-0010-0000-0700-000003000000}" name="Ag. origem"/>
    <tableColumn id="4" xr3:uid="{00000000-0010-0000-0700-000004000000}" name="Lote"/>
    <tableColumn id="5" xr3:uid="{00000000-0010-0000-0700-000005000000}" name="Histórico"/>
    <tableColumn id="6" xr3:uid="{00000000-0010-0000-0700-000006000000}" name="Documento"/>
    <tableColumn id="7" xr3:uid="{00000000-0010-0000-0700-000007000000}" name="Valor R$"/>
    <tableColumn id="8" xr3:uid="{00000000-0010-0000-0700-000008000000}" name="Fatura"/>
    <tableColumn id="9" xr3:uid="{00000000-0010-0000-0700-000009000000}" name="Tipo"/>
  </tableColumns>
  <tableStyleInfo name="Ago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set" displayName="Tableset" ref="A4:I813">
  <tableColumns count="9">
    <tableColumn id="1" xr3:uid="{00000000-0010-0000-0800-000001000000}" name="Status"/>
    <tableColumn id="2" xr3:uid="{00000000-0010-0000-0800-000002000000}" name="Dt. balancete"/>
    <tableColumn id="3" xr3:uid="{00000000-0010-0000-0800-000003000000}" name="Ag. origem"/>
    <tableColumn id="4" xr3:uid="{00000000-0010-0000-0800-000004000000}" name="Lote"/>
    <tableColumn id="5" xr3:uid="{00000000-0010-0000-0800-000005000000}" name="Histórico"/>
    <tableColumn id="6" xr3:uid="{00000000-0010-0000-0800-000006000000}" name="Documento"/>
    <tableColumn id="7" xr3:uid="{00000000-0010-0000-0800-000007000000}" name="Valor R$"/>
    <tableColumn id="8" xr3:uid="{00000000-0010-0000-0800-000008000000}" name="Fatura"/>
    <tableColumn id="9" xr3:uid="{00000000-0010-0000-0800-000009000000}" name="Tipo"/>
  </tableColumns>
  <tableStyleInfo name="Set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B3D4437-7838-492A-B1A1-13C22C9D0F88}" name="Tabelaout" displayName="Tabelaout" ref="A5:I947" totalsRowShown="0" headerRowDxfId="10" dataDxfId="9">
  <autoFilter ref="A5:I947" xr:uid="{BB3D4437-7838-492A-B1A1-13C22C9D0F88}">
    <filterColumn colId="4">
      <filters>
        <filter val="632 Ordem Bancária"/>
      </filters>
    </filterColumn>
  </autoFilter>
  <tableColumns count="9">
    <tableColumn id="1" xr3:uid="{D2679A34-4E39-40B0-8ADF-7E0CF2B6048D}" name="Status" dataDxfId="8"/>
    <tableColumn id="2" xr3:uid="{D5A04CAD-CD5D-45C5-AF46-3BE0EF9C77B1}" name="Dt. balancete" dataDxfId="7"/>
    <tableColumn id="3" xr3:uid="{668565A0-B7AD-441C-B4D9-A7F6CAF36A80}" name="Ag. origem" dataDxfId="6"/>
    <tableColumn id="4" xr3:uid="{F351364C-B977-41E3-98BE-1452C50BB549}" name="Lote" dataDxfId="5"/>
    <tableColumn id="5" xr3:uid="{3FF649AE-261A-4E89-B652-8DF651AC1EF6}" name="Histórico" dataDxfId="4"/>
    <tableColumn id="6" xr3:uid="{1EB87396-14D4-498F-B55C-D4D3F78CE86C}" name="Documento" dataDxfId="3"/>
    <tableColumn id="7" xr3:uid="{8B649375-2357-4BDE-94C6-7D45CB0A83BD}" name="Valor R$" dataDxfId="2"/>
    <tableColumn id="9" xr3:uid="{325D9B62-129E-472F-A1BC-B2D7BD018C6A}" name="Fatura" dataDxfId="1"/>
    <tableColumn id="10" xr3:uid="{81CCB77C-F911-48F7-A9E4-788D93E9A8AE}" name="Tipo" dataDxfId="0"/>
  </tableColumns>
  <tableStyleInfo name="Set-style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B2:M1000"/>
  <sheetViews>
    <sheetView showGridLines="0" workbookViewId="0"/>
  </sheetViews>
  <sheetFormatPr defaultColWidth="14.42578125" defaultRowHeight="15" customHeight="1"/>
  <cols>
    <col min="1" max="2" width="8.7109375" customWidth="1"/>
    <col min="3" max="8" width="14.28515625" customWidth="1"/>
    <col min="9" max="9" width="8.7109375" customWidth="1"/>
    <col min="10" max="10" width="9.7109375" customWidth="1"/>
    <col min="11" max="11" width="11.42578125" customWidth="1"/>
    <col min="12" max="12" width="10.42578125" customWidth="1"/>
    <col min="13" max="13" width="15.85546875" customWidth="1"/>
    <col min="14" max="26" width="8.7109375" customWidth="1"/>
  </cols>
  <sheetData>
    <row r="2" spans="2:13" ht="18">
      <c r="H2" s="249" t="s">
        <v>0</v>
      </c>
      <c r="I2" s="250"/>
      <c r="J2" s="250"/>
      <c r="K2" s="251"/>
    </row>
    <row r="4" spans="2:13"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</row>
    <row r="5" spans="2:13">
      <c r="B5" s="2" t="s">
        <v>12</v>
      </c>
      <c r="C5" s="3">
        <f>Jan!J1</f>
        <v>540014.33999999973</v>
      </c>
      <c r="D5" s="3">
        <f>Fev!J1</f>
        <v>547072.59999999986</v>
      </c>
      <c r="E5" s="3">
        <f>Mar!I1</f>
        <v>354538.75999999989</v>
      </c>
      <c r="F5" s="3">
        <f>Abr!M1</f>
        <v>786969.58000000101</v>
      </c>
      <c r="G5" s="3">
        <f>Mai!M1</f>
        <v>828438.80000000051</v>
      </c>
      <c r="H5" s="3">
        <f>Jun!M1</f>
        <v>954127.35000000009</v>
      </c>
      <c r="I5" s="3">
        <v>0</v>
      </c>
      <c r="J5" s="3">
        <v>0</v>
      </c>
      <c r="K5" s="3">
        <v>0</v>
      </c>
      <c r="L5" s="3">
        <v>0</v>
      </c>
      <c r="M5" s="3">
        <v>0</v>
      </c>
    </row>
    <row r="6" spans="2:13"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2:13"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2:13">
      <c r="L8" s="1" t="s">
        <v>13</v>
      </c>
      <c r="M8" s="3">
        <f>SUM(C5:M5)</f>
        <v>4011161.4300000011</v>
      </c>
    </row>
    <row r="12" spans="2:13" ht="18">
      <c r="H12" s="249" t="s">
        <v>14</v>
      </c>
      <c r="I12" s="250"/>
      <c r="J12" s="250"/>
      <c r="K12" s="251"/>
    </row>
    <row r="14" spans="2:13">
      <c r="C14" s="1" t="s">
        <v>1</v>
      </c>
      <c r="D14" s="1" t="s">
        <v>2</v>
      </c>
      <c r="E14" s="1" t="s">
        <v>3</v>
      </c>
      <c r="F14" s="1" t="s">
        <v>4</v>
      </c>
      <c r="G14" s="1" t="s">
        <v>5</v>
      </c>
      <c r="H14" s="1" t="s">
        <v>6</v>
      </c>
      <c r="I14" s="1" t="s">
        <v>7</v>
      </c>
      <c r="J14" s="1" t="s">
        <v>8</v>
      </c>
      <c r="K14" s="1" t="s">
        <v>9</v>
      </c>
      <c r="L14" s="1" t="s">
        <v>10</v>
      </c>
      <c r="M14" s="1" t="s">
        <v>11</v>
      </c>
    </row>
    <row r="15" spans="2:13">
      <c r="C15" s="3">
        <f>Jan!J11</f>
        <v>0</v>
      </c>
      <c r="D15" s="3">
        <f>Fev!J11</f>
        <v>0</v>
      </c>
      <c r="E15" s="3">
        <f>Mar!I10</f>
        <v>0</v>
      </c>
      <c r="F15" s="3">
        <f>Abr!K1</f>
        <v>88043.08</v>
      </c>
      <c r="G15" s="3">
        <f>Mai!K1</f>
        <v>162800.04999999996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2:13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3:13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3:13">
      <c r="L18" s="1" t="s">
        <v>13</v>
      </c>
      <c r="M18" s="3">
        <f>SUM(C15:M15)</f>
        <v>250843.12999999995</v>
      </c>
    </row>
    <row r="21" spans="3:13" ht="15.75" customHeight="1"/>
    <row r="22" spans="3:13" ht="15.75" customHeight="1">
      <c r="H22" s="249" t="s">
        <v>15</v>
      </c>
      <c r="I22" s="250"/>
      <c r="J22" s="250"/>
      <c r="K22" s="251"/>
    </row>
    <row r="23" spans="3:13" ht="15.75" customHeight="1"/>
    <row r="24" spans="3:13" ht="15.75" customHeight="1">
      <c r="C24" s="1" t="s">
        <v>1</v>
      </c>
      <c r="D24" s="1" t="s">
        <v>2</v>
      </c>
      <c r="E24" s="1" t="s">
        <v>3</v>
      </c>
      <c r="F24" s="1" t="s">
        <v>4</v>
      </c>
      <c r="G24" s="1" t="s">
        <v>5</v>
      </c>
      <c r="H24" s="1" t="s">
        <v>6</v>
      </c>
      <c r="I24" s="1" t="s">
        <v>7</v>
      </c>
      <c r="J24" s="1" t="s">
        <v>8</v>
      </c>
      <c r="K24" s="1" t="s">
        <v>9</v>
      </c>
      <c r="L24" s="1" t="s">
        <v>10</v>
      </c>
      <c r="M24" s="1" t="s">
        <v>11</v>
      </c>
    </row>
    <row r="25" spans="3:13" ht="15.75" customHeight="1">
      <c r="C25" s="3">
        <f>Jan!J21</f>
        <v>0</v>
      </c>
      <c r="D25" s="3">
        <f>Fev!J21</f>
        <v>0</v>
      </c>
      <c r="E25" s="3"/>
      <c r="F25" s="3">
        <f>Abr!K60</f>
        <v>10125.279999999999</v>
      </c>
      <c r="G25" s="3">
        <f>Mai!K8</f>
        <v>22726.570000000003</v>
      </c>
      <c r="H25" s="3">
        <f>Jun!K7</f>
        <v>3753.1399999999994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ht="15.75" customHeight="1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3:13" ht="15.75" customHeight="1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3:13" ht="15.75" customHeight="1">
      <c r="L28" s="1" t="s">
        <v>13</v>
      </c>
      <c r="M28" s="3">
        <f>SUM(C25:M25)</f>
        <v>36604.990000000005</v>
      </c>
    </row>
    <row r="29" spans="3:13" ht="15.75" customHeight="1"/>
    <row r="30" spans="3:13" ht="15.75" customHeight="1"/>
    <row r="31" spans="3:13" ht="15.75" customHeight="1"/>
    <row r="32" spans="3:13" ht="15.75" customHeight="1"/>
    <row r="33" spans="3:13" ht="15.75" customHeight="1">
      <c r="H33" s="249" t="s">
        <v>16</v>
      </c>
      <c r="I33" s="250"/>
      <c r="J33" s="250"/>
      <c r="K33" s="251"/>
    </row>
    <row r="34" spans="3:13" ht="15.75" customHeight="1"/>
    <row r="35" spans="3:13" ht="15.75" customHeight="1">
      <c r="C35" s="1" t="s">
        <v>1</v>
      </c>
      <c r="D35" s="1" t="s">
        <v>2</v>
      </c>
      <c r="E35" s="1" t="s">
        <v>3</v>
      </c>
      <c r="F35" s="1" t="s">
        <v>4</v>
      </c>
      <c r="G35" s="1" t="s">
        <v>5</v>
      </c>
      <c r="H35" s="1" t="s">
        <v>6</v>
      </c>
      <c r="I35" s="1" t="s">
        <v>7</v>
      </c>
      <c r="J35" s="1" t="s">
        <v>8</v>
      </c>
      <c r="K35" s="1" t="s">
        <v>9</v>
      </c>
      <c r="L35" s="1" t="s">
        <v>10</v>
      </c>
      <c r="M35" s="1" t="s">
        <v>11</v>
      </c>
    </row>
    <row r="36" spans="3:13" ht="15.75" customHeight="1">
      <c r="C36" s="3">
        <f>Jan!J32</f>
        <v>0</v>
      </c>
      <c r="D36" s="3">
        <f>Fev!J32</f>
        <v>0</v>
      </c>
      <c r="E36" s="3">
        <f>Mar!I31</f>
        <v>0</v>
      </c>
      <c r="F36" s="3">
        <f>Abr!K62</f>
        <v>4462.09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</row>
    <row r="37" spans="3:13" ht="15.75" customHeight="1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3:13" ht="15.75" customHeight="1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3:13" ht="15.75" customHeight="1">
      <c r="L39" s="1" t="s">
        <v>13</v>
      </c>
      <c r="M39" s="3">
        <f>SUM(C36:M36)</f>
        <v>4462.09</v>
      </c>
    </row>
    <row r="40" spans="3:13" ht="15.75" customHeight="1"/>
    <row r="41" spans="3:13" ht="15.75" customHeight="1"/>
    <row r="42" spans="3:13" ht="15.75" customHeight="1"/>
    <row r="43" spans="3:13" ht="15.75" customHeight="1">
      <c r="H43" s="249" t="s">
        <v>17</v>
      </c>
      <c r="I43" s="250"/>
      <c r="J43" s="250"/>
      <c r="K43" s="251"/>
    </row>
    <row r="44" spans="3:13" ht="15.75" customHeight="1"/>
    <row r="45" spans="3:13" ht="15.75" customHeight="1">
      <c r="C45" s="1" t="s">
        <v>1</v>
      </c>
      <c r="D45" s="1" t="s">
        <v>2</v>
      </c>
      <c r="E45" s="1" t="s">
        <v>3</v>
      </c>
      <c r="F45" s="1" t="s">
        <v>4</v>
      </c>
      <c r="G45" s="1" t="s">
        <v>5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  <c r="M45" s="1" t="s">
        <v>11</v>
      </c>
    </row>
    <row r="46" spans="3:13" ht="15.75" customHeight="1">
      <c r="C46" s="3">
        <f>Jan!J42</f>
        <v>0</v>
      </c>
      <c r="D46" s="3">
        <f>Fev!J42</f>
        <v>0</v>
      </c>
      <c r="E46" s="3">
        <f>Mar!I41</f>
        <v>0</v>
      </c>
      <c r="F46" s="3">
        <f>Abr!K64</f>
        <v>0</v>
      </c>
      <c r="G46" s="3">
        <f>Mai!K12</f>
        <v>3910.44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</row>
    <row r="47" spans="3:13" ht="15.75" customHeight="1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3:13" ht="15.75" customHeight="1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2:13" ht="15.75" customHeight="1">
      <c r="L49" s="1" t="s">
        <v>13</v>
      </c>
      <c r="M49" s="3">
        <f>SUM(C46:M46)</f>
        <v>3910.44</v>
      </c>
    </row>
    <row r="50" spans="12:13" ht="15.75" customHeight="1"/>
    <row r="51" spans="12:13" ht="15.75" customHeight="1"/>
    <row r="52" spans="12:13" ht="15.75" customHeight="1"/>
    <row r="53" spans="12:13" ht="15.75" customHeight="1"/>
    <row r="54" spans="12:13" ht="15.75" customHeight="1"/>
    <row r="55" spans="12:13" ht="15.75" customHeight="1"/>
    <row r="56" spans="12:13" ht="15.75" customHeight="1"/>
    <row r="57" spans="12:13" ht="15.75" customHeight="1"/>
    <row r="58" spans="12:13" ht="15.75" customHeight="1"/>
    <row r="59" spans="12:13" ht="15.75" customHeight="1"/>
    <row r="60" spans="12:13" ht="15.75" customHeight="1"/>
    <row r="61" spans="12:13" ht="15.75" customHeight="1"/>
    <row r="62" spans="12:13" ht="15.75" customHeight="1"/>
    <row r="63" spans="12:13" ht="15.75" customHeight="1"/>
    <row r="64" spans="12:1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H2:K2"/>
    <mergeCell ref="H12:K12"/>
    <mergeCell ref="H22:K22"/>
    <mergeCell ref="H33:K33"/>
    <mergeCell ref="H43:K43"/>
  </mergeCell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Z1000"/>
  <sheetViews>
    <sheetView workbookViewId="0">
      <selection activeCell="K619" sqref="K619"/>
    </sheetView>
  </sheetViews>
  <sheetFormatPr defaultColWidth="14.42578125" defaultRowHeight="15" customHeight="1"/>
  <cols>
    <col min="1" max="1" width="14.42578125" customWidth="1"/>
    <col min="2" max="2" width="11" customWidth="1"/>
    <col min="3" max="3" width="5.28515625" customWidth="1"/>
    <col min="4" max="4" width="6.5703125" customWidth="1"/>
    <col min="5" max="5" width="20.28515625" customWidth="1"/>
    <col min="6" max="6" width="20.7109375" customWidth="1"/>
    <col min="7" max="7" width="14.42578125" customWidth="1"/>
    <col min="8" max="8" width="41.5703125" customWidth="1"/>
    <col min="9" max="9" width="8.7109375" customWidth="1"/>
    <col min="10" max="10" width="18.28515625" customWidth="1"/>
  </cols>
  <sheetData>
    <row r="1" spans="1:26" ht="45">
      <c r="A1" s="4" t="s">
        <v>18</v>
      </c>
      <c r="B1" s="5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7" t="s">
        <v>24</v>
      </c>
      <c r="H1" s="8" t="s">
        <v>25</v>
      </c>
      <c r="I1" s="9"/>
      <c r="J1" s="10">
        <f>SUBTOTAL(9,Jan!$G$2:$G$618)</f>
        <v>540014.33999999973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idden="1">
      <c r="A2" s="9"/>
      <c r="B2" s="11">
        <v>45657</v>
      </c>
      <c r="C2" s="12">
        <v>0</v>
      </c>
      <c r="D2" s="12">
        <v>0</v>
      </c>
      <c r="E2" s="13" t="s">
        <v>26</v>
      </c>
      <c r="F2" s="14"/>
      <c r="G2" s="15"/>
      <c r="H2" s="16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24" hidden="1">
      <c r="A3" s="9"/>
      <c r="B3" s="17">
        <v>45659</v>
      </c>
      <c r="C3" s="18">
        <v>3525</v>
      </c>
      <c r="D3" s="18">
        <v>99021</v>
      </c>
      <c r="E3" s="19" t="s">
        <v>27</v>
      </c>
      <c r="F3" s="20">
        <v>613525000032047</v>
      </c>
      <c r="G3" s="21">
        <v>631.79999999999995</v>
      </c>
      <c r="H3" s="22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28.5" hidden="1" customHeight="1">
      <c r="A4" s="9"/>
      <c r="B4" s="23"/>
      <c r="C4" s="23"/>
      <c r="D4" s="23"/>
      <c r="E4" s="24" t="s">
        <v>28</v>
      </c>
      <c r="F4" s="24"/>
      <c r="G4" s="25"/>
      <c r="H4" s="16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24" hidden="1">
      <c r="A5" s="9"/>
      <c r="B5" s="11">
        <v>45659</v>
      </c>
      <c r="C5" s="12">
        <v>1533</v>
      </c>
      <c r="D5" s="12">
        <v>99008</v>
      </c>
      <c r="E5" s="26" t="s">
        <v>29</v>
      </c>
      <c r="F5" s="27">
        <v>949158</v>
      </c>
      <c r="G5" s="28">
        <v>305.70999999999998</v>
      </c>
      <c r="H5" s="22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 hidden="1">
      <c r="A6" s="9"/>
      <c r="B6" s="29"/>
      <c r="C6" s="29"/>
      <c r="D6" s="29"/>
      <c r="E6" s="13" t="s">
        <v>30</v>
      </c>
      <c r="F6" s="13"/>
      <c r="G6" s="30"/>
      <c r="H6" s="16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24" hidden="1">
      <c r="A7" s="9"/>
      <c r="B7" s="17">
        <v>45659</v>
      </c>
      <c r="C7" s="18">
        <v>0</v>
      </c>
      <c r="D7" s="18">
        <v>13105</v>
      </c>
      <c r="E7" s="19" t="s">
        <v>31</v>
      </c>
      <c r="F7" s="20">
        <v>10201</v>
      </c>
      <c r="G7" s="31">
        <v>12650.09</v>
      </c>
      <c r="H7" s="22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28.5" hidden="1" customHeight="1">
      <c r="A8" s="9"/>
      <c r="B8" s="23"/>
      <c r="C8" s="23"/>
      <c r="D8" s="23"/>
      <c r="E8" s="24" t="s">
        <v>32</v>
      </c>
      <c r="F8" s="24"/>
      <c r="G8" s="25"/>
      <c r="H8" s="16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24" hidden="1">
      <c r="A9" s="9"/>
      <c r="B9" s="11">
        <v>45659</v>
      </c>
      <c r="C9" s="12">
        <v>0</v>
      </c>
      <c r="D9" s="12">
        <v>13105</v>
      </c>
      <c r="E9" s="26" t="s">
        <v>31</v>
      </c>
      <c r="F9" s="27">
        <v>10202</v>
      </c>
      <c r="G9" s="28">
        <v>3195.4</v>
      </c>
      <c r="H9" s="22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28.5" hidden="1">
      <c r="A10" s="9"/>
      <c r="B10" s="29"/>
      <c r="C10" s="29"/>
      <c r="D10" s="29"/>
      <c r="E10" s="13" t="s">
        <v>33</v>
      </c>
      <c r="F10" s="13"/>
      <c r="G10" s="30"/>
      <c r="H10" s="16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24" hidden="1">
      <c r="A11" s="9"/>
      <c r="B11" s="17">
        <v>45659</v>
      </c>
      <c r="C11" s="18">
        <v>0</v>
      </c>
      <c r="D11" s="18">
        <v>13105</v>
      </c>
      <c r="E11" s="19" t="s">
        <v>34</v>
      </c>
      <c r="F11" s="20">
        <v>10203</v>
      </c>
      <c r="G11" s="31">
        <v>131.01</v>
      </c>
      <c r="H11" s="22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idden="1">
      <c r="A12" s="9"/>
      <c r="B12" s="23"/>
      <c r="C12" s="23"/>
      <c r="D12" s="23"/>
      <c r="E12" s="24" t="s">
        <v>35</v>
      </c>
      <c r="F12" s="24"/>
      <c r="G12" s="25"/>
      <c r="H12" s="16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24" hidden="1">
      <c r="A13" s="9"/>
      <c r="B13" s="11">
        <v>45659</v>
      </c>
      <c r="C13" s="12">
        <v>0</v>
      </c>
      <c r="D13" s="12">
        <v>13105</v>
      </c>
      <c r="E13" s="26" t="s">
        <v>31</v>
      </c>
      <c r="F13" s="27">
        <v>10204</v>
      </c>
      <c r="G13" s="28">
        <v>675.6</v>
      </c>
      <c r="H13" s="22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28.5" hidden="1">
      <c r="A14" s="9"/>
      <c r="B14" s="29"/>
      <c r="C14" s="29"/>
      <c r="D14" s="29"/>
      <c r="E14" s="13" t="s">
        <v>36</v>
      </c>
      <c r="F14" s="13"/>
      <c r="G14" s="30"/>
      <c r="H14" s="16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24" hidden="1">
      <c r="A15" s="9"/>
      <c r="B15" s="17">
        <v>45659</v>
      </c>
      <c r="C15" s="18">
        <v>0</v>
      </c>
      <c r="D15" s="18">
        <v>13105</v>
      </c>
      <c r="E15" s="19" t="s">
        <v>31</v>
      </c>
      <c r="F15" s="20">
        <v>10205</v>
      </c>
      <c r="G15" s="31">
        <v>1392.35</v>
      </c>
      <c r="H15" s="22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28.5" hidden="1" customHeight="1">
      <c r="A16" s="9"/>
      <c r="B16" s="23"/>
      <c r="C16" s="23"/>
      <c r="D16" s="23"/>
      <c r="E16" s="24" t="s">
        <v>37</v>
      </c>
      <c r="F16" s="24"/>
      <c r="G16" s="25"/>
      <c r="H16" s="16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24" hidden="1">
      <c r="A17" s="9"/>
      <c r="B17" s="11">
        <v>45659</v>
      </c>
      <c r="C17" s="12">
        <v>0</v>
      </c>
      <c r="D17" s="12">
        <v>13105</v>
      </c>
      <c r="E17" s="26" t="s">
        <v>31</v>
      </c>
      <c r="F17" s="27">
        <v>10206</v>
      </c>
      <c r="G17" s="28">
        <v>686.24</v>
      </c>
      <c r="H17" s="22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28.5" hidden="1">
      <c r="A18" s="9"/>
      <c r="B18" s="29"/>
      <c r="C18" s="29"/>
      <c r="D18" s="29"/>
      <c r="E18" s="13" t="s">
        <v>38</v>
      </c>
      <c r="F18" s="13"/>
      <c r="G18" s="30"/>
      <c r="H18" s="16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24" hidden="1">
      <c r="A19" s="9"/>
      <c r="B19" s="17">
        <v>45659</v>
      </c>
      <c r="C19" s="18">
        <v>0</v>
      </c>
      <c r="D19" s="18">
        <v>13105</v>
      </c>
      <c r="E19" s="19" t="s">
        <v>31</v>
      </c>
      <c r="F19" s="20">
        <v>10207</v>
      </c>
      <c r="G19" s="31">
        <v>1539.04</v>
      </c>
      <c r="H19" s="22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28.5" hidden="1">
      <c r="A20" s="9"/>
      <c r="B20" s="23"/>
      <c r="C20" s="23"/>
      <c r="D20" s="23"/>
      <c r="E20" s="24" t="s">
        <v>39</v>
      </c>
      <c r="F20" s="24"/>
      <c r="G20" s="25"/>
      <c r="H20" s="16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hidden="1" customHeight="1">
      <c r="A21" s="9"/>
      <c r="B21" s="11">
        <v>45659</v>
      </c>
      <c r="C21" s="12">
        <v>0</v>
      </c>
      <c r="D21" s="12">
        <v>13105</v>
      </c>
      <c r="E21" s="26" t="s">
        <v>31</v>
      </c>
      <c r="F21" s="27">
        <v>10208</v>
      </c>
      <c r="G21" s="28">
        <v>1050.3399999999999</v>
      </c>
      <c r="H21" s="22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28.5" hidden="1" customHeight="1">
      <c r="A22" s="9"/>
      <c r="B22" s="29"/>
      <c r="C22" s="29"/>
      <c r="D22" s="29"/>
      <c r="E22" s="13" t="s">
        <v>40</v>
      </c>
      <c r="F22" s="13"/>
      <c r="G22" s="30"/>
      <c r="H22" s="16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hidden="1" customHeight="1">
      <c r="A23" s="9"/>
      <c r="B23" s="17">
        <v>45659</v>
      </c>
      <c r="C23" s="18">
        <v>0</v>
      </c>
      <c r="D23" s="18">
        <v>13105</v>
      </c>
      <c r="E23" s="19" t="s">
        <v>31</v>
      </c>
      <c r="F23" s="20">
        <v>10209</v>
      </c>
      <c r="G23" s="31">
        <v>283.89</v>
      </c>
      <c r="H23" s="22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28.5" hidden="1" customHeight="1">
      <c r="A24" s="9"/>
      <c r="B24" s="23"/>
      <c r="C24" s="23"/>
      <c r="D24" s="23"/>
      <c r="E24" s="24" t="s">
        <v>41</v>
      </c>
      <c r="F24" s="24"/>
      <c r="G24" s="25"/>
      <c r="H24" s="16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hidden="1" customHeight="1">
      <c r="A25" s="9"/>
      <c r="B25" s="11">
        <v>45659</v>
      </c>
      <c r="C25" s="12">
        <v>0</v>
      </c>
      <c r="D25" s="12">
        <v>13105</v>
      </c>
      <c r="E25" s="26" t="s">
        <v>31</v>
      </c>
      <c r="F25" s="27">
        <v>10210</v>
      </c>
      <c r="G25" s="28">
        <v>256.76</v>
      </c>
      <c r="H25" s="22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28.5" hidden="1" customHeight="1">
      <c r="A26" s="9"/>
      <c r="B26" s="29"/>
      <c r="C26" s="29"/>
      <c r="D26" s="29"/>
      <c r="E26" s="13" t="s">
        <v>41</v>
      </c>
      <c r="F26" s="13"/>
      <c r="G26" s="30"/>
      <c r="H26" s="16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75" hidden="1" customHeight="1">
      <c r="A27" s="9"/>
      <c r="B27" s="17">
        <v>45659</v>
      </c>
      <c r="C27" s="18">
        <v>0</v>
      </c>
      <c r="D27" s="18">
        <v>13105</v>
      </c>
      <c r="E27" s="19" t="s">
        <v>31</v>
      </c>
      <c r="F27" s="20">
        <v>10211</v>
      </c>
      <c r="G27" s="31">
        <v>233.17</v>
      </c>
      <c r="H27" s="22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28.5" hidden="1" customHeight="1">
      <c r="A28" s="9"/>
      <c r="B28" s="23"/>
      <c r="C28" s="23"/>
      <c r="D28" s="23"/>
      <c r="E28" s="24" t="s">
        <v>41</v>
      </c>
      <c r="F28" s="24"/>
      <c r="G28" s="25"/>
      <c r="H28" s="16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hidden="1" customHeight="1">
      <c r="A29" s="9"/>
      <c r="B29" s="11">
        <v>45659</v>
      </c>
      <c r="C29" s="12">
        <v>0</v>
      </c>
      <c r="D29" s="12">
        <v>13105</v>
      </c>
      <c r="E29" s="26" t="s">
        <v>31</v>
      </c>
      <c r="F29" s="27">
        <v>10212</v>
      </c>
      <c r="G29" s="28">
        <v>204.96</v>
      </c>
      <c r="H29" s="22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hidden="1" customHeight="1">
      <c r="A30" s="9"/>
      <c r="B30" s="29"/>
      <c r="C30" s="29"/>
      <c r="D30" s="29"/>
      <c r="E30" s="13" t="s">
        <v>42</v>
      </c>
      <c r="F30" s="13"/>
      <c r="G30" s="30"/>
      <c r="H30" s="16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hidden="1" customHeight="1">
      <c r="A31" s="9"/>
      <c r="B31" s="17">
        <v>45659</v>
      </c>
      <c r="C31" s="18">
        <v>0</v>
      </c>
      <c r="D31" s="18">
        <v>13105</v>
      </c>
      <c r="E31" s="19" t="s">
        <v>31</v>
      </c>
      <c r="F31" s="20">
        <v>10213</v>
      </c>
      <c r="G31" s="31">
        <v>49.9</v>
      </c>
      <c r="H31" s="22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hidden="1" customHeight="1">
      <c r="A32" s="9"/>
      <c r="B32" s="23"/>
      <c r="C32" s="23"/>
      <c r="D32" s="23"/>
      <c r="E32" s="24" t="s">
        <v>43</v>
      </c>
      <c r="F32" s="24"/>
      <c r="G32" s="25"/>
      <c r="H32" s="16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.75" hidden="1" customHeight="1">
      <c r="A33" s="9"/>
      <c r="B33" s="11">
        <v>45659</v>
      </c>
      <c r="C33" s="12">
        <v>0</v>
      </c>
      <c r="D33" s="12">
        <v>13105</v>
      </c>
      <c r="E33" s="26" t="s">
        <v>31</v>
      </c>
      <c r="F33" s="27">
        <v>10214</v>
      </c>
      <c r="G33" s="28">
        <v>569.46</v>
      </c>
      <c r="H33" s="22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 hidden="1" customHeight="1">
      <c r="A34" s="9"/>
      <c r="B34" s="29"/>
      <c r="C34" s="29"/>
      <c r="D34" s="29"/>
      <c r="E34" s="13" t="s">
        <v>44</v>
      </c>
      <c r="F34" s="13"/>
      <c r="G34" s="30"/>
      <c r="H34" s="16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75" hidden="1" customHeight="1">
      <c r="A35" s="9"/>
      <c r="B35" s="17">
        <v>45659</v>
      </c>
      <c r="C35" s="18">
        <v>0</v>
      </c>
      <c r="D35" s="18">
        <v>13105</v>
      </c>
      <c r="E35" s="19" t="s">
        <v>34</v>
      </c>
      <c r="F35" s="20">
        <v>10215</v>
      </c>
      <c r="G35" s="31">
        <v>33.43</v>
      </c>
      <c r="H35" s="22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hidden="1" customHeight="1">
      <c r="A36" s="9"/>
      <c r="B36" s="23"/>
      <c r="C36" s="23"/>
      <c r="D36" s="23"/>
      <c r="E36" s="24" t="s">
        <v>35</v>
      </c>
      <c r="F36" s="24"/>
      <c r="G36" s="25"/>
      <c r="H36" s="16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hidden="1" customHeight="1">
      <c r="A37" s="9"/>
      <c r="B37" s="11">
        <v>45659</v>
      </c>
      <c r="C37" s="12">
        <v>0</v>
      </c>
      <c r="D37" s="12">
        <v>13105</v>
      </c>
      <c r="E37" s="26" t="s">
        <v>31</v>
      </c>
      <c r="F37" s="27">
        <v>10216</v>
      </c>
      <c r="G37" s="28">
        <v>383.86</v>
      </c>
      <c r="H37" s="22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28.5" hidden="1" customHeight="1">
      <c r="A38" s="9"/>
      <c r="B38" s="29"/>
      <c r="C38" s="29"/>
      <c r="D38" s="29"/>
      <c r="E38" s="13" t="s">
        <v>45</v>
      </c>
      <c r="F38" s="13"/>
      <c r="G38" s="30"/>
      <c r="H38" s="16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hidden="1" customHeight="1">
      <c r="A39" s="9"/>
      <c r="B39" s="17">
        <v>45659</v>
      </c>
      <c r="C39" s="18">
        <v>0</v>
      </c>
      <c r="D39" s="18">
        <v>13105</v>
      </c>
      <c r="E39" s="19" t="s">
        <v>31</v>
      </c>
      <c r="F39" s="20">
        <v>10217</v>
      </c>
      <c r="G39" s="31">
        <v>1553.15</v>
      </c>
      <c r="H39" s="2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hidden="1" customHeight="1">
      <c r="A40" s="9"/>
      <c r="B40" s="23"/>
      <c r="C40" s="23"/>
      <c r="D40" s="23"/>
      <c r="E40" s="24" t="s">
        <v>46</v>
      </c>
      <c r="F40" s="24"/>
      <c r="G40" s="25"/>
      <c r="H40" s="16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hidden="1" customHeight="1">
      <c r="A41" s="9"/>
      <c r="B41" s="11">
        <v>45659</v>
      </c>
      <c r="C41" s="12">
        <v>0</v>
      </c>
      <c r="D41" s="12">
        <v>13105</v>
      </c>
      <c r="E41" s="26" t="s">
        <v>31</v>
      </c>
      <c r="F41" s="27">
        <v>10218</v>
      </c>
      <c r="G41" s="28">
        <v>1877.81</v>
      </c>
      <c r="H41" s="22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hidden="1" customHeight="1">
      <c r="A42" s="9"/>
      <c r="B42" s="29"/>
      <c r="C42" s="29"/>
      <c r="D42" s="29"/>
      <c r="E42" s="13" t="s">
        <v>46</v>
      </c>
      <c r="F42" s="13"/>
      <c r="G42" s="30"/>
      <c r="H42" s="16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hidden="1" customHeight="1">
      <c r="A43" s="9"/>
      <c r="B43" s="17">
        <v>45659</v>
      </c>
      <c r="C43" s="18">
        <v>0</v>
      </c>
      <c r="D43" s="18">
        <v>13105</v>
      </c>
      <c r="E43" s="19" t="s">
        <v>31</v>
      </c>
      <c r="F43" s="20">
        <v>10219</v>
      </c>
      <c r="G43" s="31">
        <v>292.17</v>
      </c>
      <c r="H43" s="22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 hidden="1" customHeight="1">
      <c r="A44" s="9"/>
      <c r="B44" s="23"/>
      <c r="C44" s="23"/>
      <c r="D44" s="23"/>
      <c r="E44" s="24" t="s">
        <v>46</v>
      </c>
      <c r="F44" s="24"/>
      <c r="G44" s="25"/>
      <c r="H44" s="16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hidden="1" customHeight="1">
      <c r="A45" s="9"/>
      <c r="B45" s="11">
        <v>45659</v>
      </c>
      <c r="C45" s="12">
        <v>0</v>
      </c>
      <c r="D45" s="12">
        <v>13105</v>
      </c>
      <c r="E45" s="26" t="s">
        <v>31</v>
      </c>
      <c r="F45" s="27">
        <v>10220</v>
      </c>
      <c r="G45" s="28">
        <v>160.03</v>
      </c>
      <c r="H45" s="22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hidden="1" customHeight="1">
      <c r="A46" s="9"/>
      <c r="B46" s="29"/>
      <c r="C46" s="29"/>
      <c r="D46" s="29"/>
      <c r="E46" s="13" t="s">
        <v>46</v>
      </c>
      <c r="F46" s="13"/>
      <c r="G46" s="30"/>
      <c r="H46" s="16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hidden="1" customHeight="1">
      <c r="A47" s="9"/>
      <c r="B47" s="17">
        <v>45659</v>
      </c>
      <c r="C47" s="18">
        <v>0</v>
      </c>
      <c r="D47" s="18">
        <v>13105</v>
      </c>
      <c r="E47" s="19" t="s">
        <v>31</v>
      </c>
      <c r="F47" s="20">
        <v>10221</v>
      </c>
      <c r="G47" s="31">
        <v>92.53</v>
      </c>
      <c r="H47" s="22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hidden="1" customHeight="1">
      <c r="A48" s="9"/>
      <c r="B48" s="23"/>
      <c r="C48" s="23"/>
      <c r="D48" s="23"/>
      <c r="E48" s="24" t="s">
        <v>46</v>
      </c>
      <c r="F48" s="24"/>
      <c r="G48" s="25"/>
      <c r="H48" s="16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hidden="1" customHeight="1">
      <c r="A49" s="9"/>
      <c r="B49" s="11">
        <v>45659</v>
      </c>
      <c r="C49" s="12">
        <v>0</v>
      </c>
      <c r="D49" s="12">
        <v>13105</v>
      </c>
      <c r="E49" s="26" t="s">
        <v>31</v>
      </c>
      <c r="F49" s="27">
        <v>10222</v>
      </c>
      <c r="G49" s="28">
        <v>244.52</v>
      </c>
      <c r="H49" s="22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hidden="1" customHeight="1">
      <c r="A50" s="9"/>
      <c r="B50" s="29"/>
      <c r="C50" s="29"/>
      <c r="D50" s="29"/>
      <c r="E50" s="13" t="s">
        <v>47</v>
      </c>
      <c r="F50" s="13"/>
      <c r="G50" s="30"/>
      <c r="H50" s="16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hidden="1" customHeight="1">
      <c r="A51" s="9"/>
      <c r="B51" s="17">
        <v>45659</v>
      </c>
      <c r="C51" s="18">
        <v>0</v>
      </c>
      <c r="D51" s="18">
        <v>13105</v>
      </c>
      <c r="E51" s="19" t="s">
        <v>31</v>
      </c>
      <c r="F51" s="20">
        <v>10223</v>
      </c>
      <c r="G51" s="31">
        <v>550.70000000000005</v>
      </c>
      <c r="H51" s="22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28.5" hidden="1" customHeight="1">
      <c r="A52" s="9"/>
      <c r="B52" s="23"/>
      <c r="C52" s="23"/>
      <c r="D52" s="23"/>
      <c r="E52" s="24" t="s">
        <v>45</v>
      </c>
      <c r="F52" s="24"/>
      <c r="G52" s="25"/>
      <c r="H52" s="16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hidden="1" customHeight="1">
      <c r="A53" s="9"/>
      <c r="B53" s="11">
        <v>45659</v>
      </c>
      <c r="C53" s="12">
        <v>0</v>
      </c>
      <c r="D53" s="12">
        <v>13105</v>
      </c>
      <c r="E53" s="26" t="s">
        <v>31</v>
      </c>
      <c r="F53" s="27">
        <v>10224</v>
      </c>
      <c r="G53" s="28">
        <v>375.64</v>
      </c>
      <c r="H53" s="22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28.5" hidden="1" customHeight="1">
      <c r="A54" s="9"/>
      <c r="B54" s="29"/>
      <c r="C54" s="29"/>
      <c r="D54" s="29"/>
      <c r="E54" s="13" t="s">
        <v>45</v>
      </c>
      <c r="F54" s="13"/>
      <c r="G54" s="30"/>
      <c r="H54" s="16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hidden="1" customHeight="1">
      <c r="A55" s="9"/>
      <c r="B55" s="17">
        <v>45659</v>
      </c>
      <c r="C55" s="18">
        <v>0</v>
      </c>
      <c r="D55" s="18">
        <v>13105</v>
      </c>
      <c r="E55" s="19" t="s">
        <v>31</v>
      </c>
      <c r="F55" s="20">
        <v>10225</v>
      </c>
      <c r="G55" s="31">
        <v>290.13</v>
      </c>
      <c r="H55" s="22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28.5" hidden="1" customHeight="1">
      <c r="A56" s="9"/>
      <c r="B56" s="23"/>
      <c r="C56" s="23"/>
      <c r="D56" s="23"/>
      <c r="E56" s="24" t="s">
        <v>45</v>
      </c>
      <c r="F56" s="24"/>
      <c r="G56" s="25"/>
      <c r="H56" s="16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hidden="1" customHeight="1">
      <c r="A57" s="9"/>
      <c r="B57" s="11">
        <v>45659</v>
      </c>
      <c r="C57" s="12">
        <v>0</v>
      </c>
      <c r="D57" s="12">
        <v>13105</v>
      </c>
      <c r="E57" s="26" t="s">
        <v>31</v>
      </c>
      <c r="F57" s="27">
        <v>10226</v>
      </c>
      <c r="G57" s="28">
        <v>265.79000000000002</v>
      </c>
      <c r="H57" s="22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hidden="1" customHeight="1">
      <c r="A58" s="9"/>
      <c r="B58" s="29"/>
      <c r="C58" s="29"/>
      <c r="D58" s="29"/>
      <c r="E58" s="13" t="s">
        <v>48</v>
      </c>
      <c r="F58" s="13"/>
      <c r="G58" s="30"/>
      <c r="H58" s="16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75" hidden="1" customHeight="1">
      <c r="A59" s="9"/>
      <c r="B59" s="17">
        <v>45659</v>
      </c>
      <c r="C59" s="18">
        <v>0</v>
      </c>
      <c r="D59" s="18">
        <v>13105</v>
      </c>
      <c r="E59" s="19" t="s">
        <v>31</v>
      </c>
      <c r="F59" s="20">
        <v>10227</v>
      </c>
      <c r="G59" s="31">
        <v>284.04000000000002</v>
      </c>
      <c r="H59" s="22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hidden="1" customHeight="1">
      <c r="A60" s="9"/>
      <c r="B60" s="23"/>
      <c r="C60" s="23"/>
      <c r="D60" s="23"/>
      <c r="E60" s="24" t="s">
        <v>49</v>
      </c>
      <c r="F60" s="24"/>
      <c r="G60" s="25"/>
      <c r="H60" s="16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hidden="1" customHeight="1">
      <c r="A61" s="9"/>
      <c r="B61" s="11">
        <v>45659</v>
      </c>
      <c r="C61" s="12">
        <v>0</v>
      </c>
      <c r="D61" s="12">
        <v>13105</v>
      </c>
      <c r="E61" s="26" t="s">
        <v>31</v>
      </c>
      <c r="F61" s="27">
        <v>10228</v>
      </c>
      <c r="G61" s="28">
        <v>632.92999999999995</v>
      </c>
      <c r="H61" s="22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28.5" hidden="1" customHeight="1">
      <c r="A62" s="9"/>
      <c r="B62" s="29"/>
      <c r="C62" s="29"/>
      <c r="D62" s="29"/>
      <c r="E62" s="13" t="s">
        <v>50</v>
      </c>
      <c r="F62" s="13"/>
      <c r="G62" s="30"/>
      <c r="H62" s="16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hidden="1" customHeight="1">
      <c r="A63" s="9"/>
      <c r="B63" s="17">
        <v>45659</v>
      </c>
      <c r="C63" s="18">
        <v>0</v>
      </c>
      <c r="D63" s="18">
        <v>13105</v>
      </c>
      <c r="E63" s="19" t="s">
        <v>31</v>
      </c>
      <c r="F63" s="20">
        <v>10229</v>
      </c>
      <c r="G63" s="31">
        <v>481.7</v>
      </c>
      <c r="H63" s="22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hidden="1" customHeight="1">
      <c r="A64" s="9"/>
      <c r="B64" s="23"/>
      <c r="C64" s="23"/>
      <c r="D64" s="23"/>
      <c r="E64" s="24" t="s">
        <v>51</v>
      </c>
      <c r="F64" s="24"/>
      <c r="G64" s="25"/>
      <c r="H64" s="16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hidden="1" customHeight="1">
      <c r="A65" s="9"/>
      <c r="B65" s="11">
        <v>45659</v>
      </c>
      <c r="C65" s="12">
        <v>0</v>
      </c>
      <c r="D65" s="12">
        <v>0</v>
      </c>
      <c r="E65" s="26" t="s">
        <v>52</v>
      </c>
      <c r="F65" s="27">
        <v>9903</v>
      </c>
      <c r="G65" s="15">
        <v>30110.55</v>
      </c>
      <c r="H65" s="22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hidden="1" customHeight="1">
      <c r="A66" s="9"/>
      <c r="B66" s="29"/>
      <c r="C66" s="29"/>
      <c r="D66" s="29"/>
      <c r="E66" s="13" t="s">
        <v>53</v>
      </c>
      <c r="F66" s="13"/>
      <c r="G66" s="30"/>
      <c r="H66" s="16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hidden="1" customHeight="1">
      <c r="A67" s="9"/>
      <c r="B67" s="17">
        <v>45660</v>
      </c>
      <c r="C67" s="18">
        <v>1533</v>
      </c>
      <c r="D67" s="18">
        <v>99008</v>
      </c>
      <c r="E67" s="19" t="s">
        <v>29</v>
      </c>
      <c r="F67" s="20">
        <v>757720</v>
      </c>
      <c r="G67" s="31">
        <v>92.6</v>
      </c>
      <c r="H67" s="22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hidden="1" customHeight="1">
      <c r="A68" s="9"/>
      <c r="B68" s="23"/>
      <c r="C68" s="23"/>
      <c r="D68" s="23"/>
      <c r="E68" s="24" t="s">
        <v>54</v>
      </c>
      <c r="F68" s="24"/>
      <c r="G68" s="25"/>
      <c r="H68" s="16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hidden="1" customHeight="1">
      <c r="A69" s="9"/>
      <c r="B69" s="11">
        <v>45660</v>
      </c>
      <c r="C69" s="12">
        <v>0</v>
      </c>
      <c r="D69" s="12">
        <v>13105</v>
      </c>
      <c r="E69" s="26" t="s">
        <v>31</v>
      </c>
      <c r="F69" s="27">
        <v>10301</v>
      </c>
      <c r="G69" s="28">
        <v>3290.33</v>
      </c>
      <c r="H69" s="22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hidden="1" customHeight="1">
      <c r="A70" s="9"/>
      <c r="B70" s="29"/>
      <c r="C70" s="29"/>
      <c r="D70" s="29"/>
      <c r="E70" s="13" t="s">
        <v>55</v>
      </c>
      <c r="F70" s="13"/>
      <c r="G70" s="30"/>
      <c r="H70" s="16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hidden="1" customHeight="1">
      <c r="A71" s="9"/>
      <c r="B71" s="17">
        <v>45660</v>
      </c>
      <c r="C71" s="18">
        <v>0</v>
      </c>
      <c r="D71" s="18">
        <v>13105</v>
      </c>
      <c r="E71" s="19" t="s">
        <v>31</v>
      </c>
      <c r="F71" s="20">
        <v>10302</v>
      </c>
      <c r="G71" s="31">
        <v>615.35</v>
      </c>
      <c r="H71" s="22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hidden="1" customHeight="1">
      <c r="A72" s="9"/>
      <c r="B72" s="23"/>
      <c r="C72" s="23"/>
      <c r="D72" s="23"/>
      <c r="E72" s="24" t="s">
        <v>46</v>
      </c>
      <c r="F72" s="24"/>
      <c r="G72" s="25"/>
      <c r="H72" s="16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hidden="1" customHeight="1">
      <c r="A73" s="9"/>
      <c r="B73" s="11">
        <v>45660</v>
      </c>
      <c r="C73" s="12">
        <v>0</v>
      </c>
      <c r="D73" s="12">
        <v>13105</v>
      </c>
      <c r="E73" s="26" t="s">
        <v>31</v>
      </c>
      <c r="F73" s="27">
        <v>10303</v>
      </c>
      <c r="G73" s="28">
        <v>284.35000000000002</v>
      </c>
      <c r="H73" s="22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28.5" hidden="1" customHeight="1">
      <c r="A74" s="9"/>
      <c r="B74" s="29"/>
      <c r="C74" s="29"/>
      <c r="D74" s="29"/>
      <c r="E74" s="13" t="s">
        <v>45</v>
      </c>
      <c r="F74" s="13"/>
      <c r="G74" s="30"/>
      <c r="H74" s="16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hidden="1" customHeight="1">
      <c r="A75" s="9"/>
      <c r="B75" s="17">
        <v>45660</v>
      </c>
      <c r="C75" s="18">
        <v>0</v>
      </c>
      <c r="D75" s="18">
        <v>13105</v>
      </c>
      <c r="E75" s="19" t="s">
        <v>31</v>
      </c>
      <c r="F75" s="20">
        <v>10304</v>
      </c>
      <c r="G75" s="31">
        <v>33.200000000000003</v>
      </c>
      <c r="H75" s="22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hidden="1" customHeight="1">
      <c r="A76" s="9"/>
      <c r="B76" s="23"/>
      <c r="C76" s="23"/>
      <c r="D76" s="23"/>
      <c r="E76" s="24" t="s">
        <v>56</v>
      </c>
      <c r="F76" s="24"/>
      <c r="G76" s="25"/>
      <c r="H76" s="16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hidden="1" customHeight="1">
      <c r="A77" s="9"/>
      <c r="B77" s="11">
        <v>45660</v>
      </c>
      <c r="C77" s="12">
        <v>0</v>
      </c>
      <c r="D77" s="12">
        <v>13105</v>
      </c>
      <c r="E77" s="26" t="s">
        <v>31</v>
      </c>
      <c r="F77" s="27">
        <v>10305</v>
      </c>
      <c r="G77" s="28">
        <v>108.5</v>
      </c>
      <c r="H77" s="22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hidden="1" customHeight="1">
      <c r="A78" s="9"/>
      <c r="B78" s="29"/>
      <c r="C78" s="29"/>
      <c r="D78" s="29"/>
      <c r="E78" s="13" t="s">
        <v>56</v>
      </c>
      <c r="F78" s="13"/>
      <c r="G78" s="30"/>
      <c r="H78" s="16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hidden="1" customHeight="1">
      <c r="A79" s="9"/>
      <c r="B79" s="17">
        <v>45660</v>
      </c>
      <c r="C79" s="18">
        <v>0</v>
      </c>
      <c r="D79" s="18">
        <v>0</v>
      </c>
      <c r="E79" s="19" t="s">
        <v>52</v>
      </c>
      <c r="F79" s="20">
        <v>9903</v>
      </c>
      <c r="G79" s="21">
        <v>4424.33</v>
      </c>
      <c r="H79" s="22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hidden="1" customHeight="1">
      <c r="A80" s="9"/>
      <c r="B80" s="23"/>
      <c r="C80" s="23"/>
      <c r="D80" s="23"/>
      <c r="E80" s="24" t="s">
        <v>53</v>
      </c>
      <c r="F80" s="24"/>
      <c r="G80" s="25"/>
      <c r="H80" s="16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hidden="1" customHeight="1">
      <c r="A81" s="9"/>
      <c r="B81" s="11">
        <v>45663</v>
      </c>
      <c r="C81" s="12">
        <v>0</v>
      </c>
      <c r="D81" s="12">
        <v>14397</v>
      </c>
      <c r="E81" s="26" t="s">
        <v>57</v>
      </c>
      <c r="F81" s="27">
        <v>361651242544011</v>
      </c>
      <c r="G81" s="15">
        <v>335.07</v>
      </c>
      <c r="H81" s="22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28.5" hidden="1" customHeight="1">
      <c r="A82" s="9"/>
      <c r="B82" s="29"/>
      <c r="C82" s="29"/>
      <c r="D82" s="29"/>
      <c r="E82" s="13" t="s">
        <v>58</v>
      </c>
      <c r="F82" s="13"/>
      <c r="G82" s="30"/>
      <c r="H82" s="16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hidden="1" customHeight="1">
      <c r="A83" s="9"/>
      <c r="B83" s="17">
        <v>45663</v>
      </c>
      <c r="C83" s="18">
        <v>0</v>
      </c>
      <c r="D83" s="18">
        <v>0</v>
      </c>
      <c r="E83" s="19" t="s">
        <v>59</v>
      </c>
      <c r="F83" s="20">
        <v>9903</v>
      </c>
      <c r="G83" s="31">
        <v>335.07</v>
      </c>
      <c r="H83" s="22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hidden="1" customHeight="1">
      <c r="A84" s="9"/>
      <c r="B84" s="23"/>
      <c r="C84" s="23"/>
      <c r="D84" s="23"/>
      <c r="E84" s="24" t="s">
        <v>53</v>
      </c>
      <c r="F84" s="24"/>
      <c r="G84" s="25"/>
      <c r="H84" s="16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hidden="1" customHeight="1">
      <c r="A85" s="9"/>
      <c r="B85" s="11">
        <v>45664</v>
      </c>
      <c r="C85" s="12">
        <v>1369</v>
      </c>
      <c r="D85" s="12">
        <v>99015</v>
      </c>
      <c r="E85" s="26" t="s">
        <v>27</v>
      </c>
      <c r="F85" s="27">
        <v>551369000138968</v>
      </c>
      <c r="G85" s="15">
        <v>13</v>
      </c>
      <c r="H85" s="22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28.5" hidden="1" customHeight="1">
      <c r="A86" s="9"/>
      <c r="B86" s="29"/>
      <c r="C86" s="29"/>
      <c r="D86" s="29"/>
      <c r="E86" s="13" t="s">
        <v>60</v>
      </c>
      <c r="F86" s="13"/>
      <c r="G86" s="30">
        <v>0</v>
      </c>
      <c r="H86" s="16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hidden="1" customHeight="1">
      <c r="A87" s="9"/>
      <c r="B87" s="17">
        <v>45664</v>
      </c>
      <c r="C87" s="18">
        <v>5072</v>
      </c>
      <c r="D87" s="18">
        <v>99021</v>
      </c>
      <c r="E87" s="19" t="s">
        <v>27</v>
      </c>
      <c r="F87" s="20">
        <v>615072000004700</v>
      </c>
      <c r="G87" s="21">
        <v>185.72</v>
      </c>
      <c r="H87" s="22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hidden="1" customHeight="1">
      <c r="A88" s="9"/>
      <c r="B88" s="23"/>
      <c r="C88" s="23"/>
      <c r="D88" s="23"/>
      <c r="E88" s="24" t="s">
        <v>61</v>
      </c>
      <c r="F88" s="24"/>
      <c r="G88" s="25"/>
      <c r="H88" s="16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hidden="1" customHeight="1">
      <c r="A89" s="9"/>
      <c r="B89" s="11">
        <v>45664</v>
      </c>
      <c r="C89" s="12">
        <v>0</v>
      </c>
      <c r="D89" s="12">
        <v>14175</v>
      </c>
      <c r="E89" s="26" t="s">
        <v>62</v>
      </c>
      <c r="F89" s="27">
        <v>365430067</v>
      </c>
      <c r="G89" s="15">
        <v>8900</v>
      </c>
      <c r="H89" s="22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hidden="1" customHeight="1">
      <c r="A90" s="9"/>
      <c r="B90" s="17">
        <v>45664</v>
      </c>
      <c r="C90" s="18">
        <v>0</v>
      </c>
      <c r="D90" s="18">
        <v>14397</v>
      </c>
      <c r="E90" s="19" t="s">
        <v>57</v>
      </c>
      <c r="F90" s="20">
        <v>71557296985222</v>
      </c>
      <c r="G90" s="21">
        <v>2870</v>
      </c>
      <c r="H90" s="22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hidden="1" customHeight="1">
      <c r="A91" s="9"/>
      <c r="B91" s="11">
        <v>45664</v>
      </c>
      <c r="C91" s="12">
        <v>0</v>
      </c>
      <c r="D91" s="12">
        <v>14397</v>
      </c>
      <c r="E91" s="26" t="s">
        <v>57</v>
      </c>
      <c r="F91" s="27">
        <v>362553708446841</v>
      </c>
      <c r="G91" s="15">
        <v>957.97</v>
      </c>
      <c r="H91" s="22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28.5" hidden="1" customHeight="1">
      <c r="A92" s="9"/>
      <c r="B92" s="29"/>
      <c r="C92" s="29"/>
      <c r="D92" s="29"/>
      <c r="E92" s="13" t="s">
        <v>63</v>
      </c>
      <c r="F92" s="13"/>
      <c r="G92" s="30">
        <v>0</v>
      </c>
      <c r="H92" s="16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hidden="1" customHeight="1">
      <c r="A93" s="9"/>
      <c r="B93" s="17">
        <v>45664</v>
      </c>
      <c r="C93" s="18">
        <v>1533</v>
      </c>
      <c r="D93" s="18">
        <v>99008</v>
      </c>
      <c r="E93" s="19" t="s">
        <v>29</v>
      </c>
      <c r="F93" s="20">
        <v>234224</v>
      </c>
      <c r="G93" s="31">
        <v>274.06</v>
      </c>
      <c r="H93" s="22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hidden="1" customHeight="1">
      <c r="A94" s="9"/>
      <c r="B94" s="23"/>
      <c r="C94" s="23"/>
      <c r="D94" s="23"/>
      <c r="E94" s="24" t="s">
        <v>64</v>
      </c>
      <c r="F94" s="24"/>
      <c r="G94" s="25">
        <v>0</v>
      </c>
      <c r="H94" s="16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hidden="1" customHeight="1">
      <c r="A95" s="9"/>
      <c r="B95" s="11">
        <v>45664</v>
      </c>
      <c r="C95" s="12">
        <v>0</v>
      </c>
      <c r="D95" s="12">
        <v>13105</v>
      </c>
      <c r="E95" s="26" t="s">
        <v>31</v>
      </c>
      <c r="F95" s="27">
        <v>10701</v>
      </c>
      <c r="G95" s="28">
        <v>40.700000000000003</v>
      </c>
      <c r="H95" s="22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hidden="1" customHeight="1">
      <c r="A96" s="9"/>
      <c r="B96" s="29"/>
      <c r="C96" s="29"/>
      <c r="D96" s="29"/>
      <c r="E96" s="13" t="s">
        <v>51</v>
      </c>
      <c r="F96" s="13"/>
      <c r="G96" s="30">
        <v>0</v>
      </c>
      <c r="H96" s="16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hidden="1" customHeight="1">
      <c r="A97" s="9"/>
      <c r="B97" s="17">
        <v>45664</v>
      </c>
      <c r="C97" s="18">
        <v>0</v>
      </c>
      <c r="D97" s="18">
        <v>13105</v>
      </c>
      <c r="E97" s="19" t="s">
        <v>31</v>
      </c>
      <c r="F97" s="20">
        <v>10702</v>
      </c>
      <c r="G97" s="31">
        <v>3439.38</v>
      </c>
      <c r="H97" s="22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28.5" hidden="1" customHeight="1">
      <c r="A98" s="9"/>
      <c r="B98" s="23"/>
      <c r="C98" s="23"/>
      <c r="D98" s="23"/>
      <c r="E98" s="24" t="s">
        <v>65</v>
      </c>
      <c r="F98" s="24"/>
      <c r="G98" s="25">
        <v>0</v>
      </c>
      <c r="H98" s="16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hidden="1" customHeight="1">
      <c r="A99" s="9"/>
      <c r="B99" s="11">
        <v>45664</v>
      </c>
      <c r="C99" s="12">
        <v>0</v>
      </c>
      <c r="D99" s="12">
        <v>13105</v>
      </c>
      <c r="E99" s="26" t="s">
        <v>31</v>
      </c>
      <c r="F99" s="27">
        <v>10703</v>
      </c>
      <c r="G99" s="28">
        <v>3248</v>
      </c>
      <c r="H99" s="22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28.5" hidden="1" customHeight="1">
      <c r="A100" s="9"/>
      <c r="B100" s="29"/>
      <c r="C100" s="29"/>
      <c r="D100" s="29"/>
      <c r="E100" s="13" t="s">
        <v>32</v>
      </c>
      <c r="F100" s="13"/>
      <c r="G100" s="30">
        <v>0</v>
      </c>
      <c r="H100" s="16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hidden="1" customHeight="1">
      <c r="A101" s="9"/>
      <c r="B101" s="17">
        <v>45664</v>
      </c>
      <c r="C101" s="18">
        <v>0</v>
      </c>
      <c r="D101" s="18">
        <v>13105</v>
      </c>
      <c r="E101" s="19" t="s">
        <v>31</v>
      </c>
      <c r="F101" s="20">
        <v>10704</v>
      </c>
      <c r="G101" s="31">
        <v>1110</v>
      </c>
      <c r="H101" s="22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hidden="1" customHeight="1">
      <c r="A102" s="9"/>
      <c r="B102" s="23"/>
      <c r="C102" s="23"/>
      <c r="D102" s="23"/>
      <c r="E102" s="24" t="s">
        <v>66</v>
      </c>
      <c r="F102" s="24"/>
      <c r="G102" s="25">
        <v>0</v>
      </c>
      <c r="H102" s="16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hidden="1" customHeight="1">
      <c r="A103" s="9"/>
      <c r="B103" s="11">
        <v>45664</v>
      </c>
      <c r="C103" s="12">
        <v>0</v>
      </c>
      <c r="D103" s="12">
        <v>13105</v>
      </c>
      <c r="E103" s="26" t="s">
        <v>31</v>
      </c>
      <c r="F103" s="27">
        <v>10705</v>
      </c>
      <c r="G103" s="28">
        <v>285</v>
      </c>
      <c r="H103" s="22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hidden="1" customHeight="1">
      <c r="A104" s="9"/>
      <c r="B104" s="29"/>
      <c r="C104" s="29"/>
      <c r="D104" s="29"/>
      <c r="E104" s="13" t="s">
        <v>67</v>
      </c>
      <c r="F104" s="13"/>
      <c r="G104" s="30">
        <v>0</v>
      </c>
      <c r="H104" s="16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hidden="1" customHeight="1">
      <c r="A105" s="9"/>
      <c r="B105" s="17">
        <v>45664</v>
      </c>
      <c r="C105" s="18">
        <v>0</v>
      </c>
      <c r="D105" s="18">
        <v>13105</v>
      </c>
      <c r="E105" s="19" t="s">
        <v>31</v>
      </c>
      <c r="F105" s="20">
        <v>10706</v>
      </c>
      <c r="G105" s="31">
        <v>249.25</v>
      </c>
      <c r="H105" s="22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28.5" hidden="1" customHeight="1">
      <c r="A106" s="9"/>
      <c r="B106" s="23"/>
      <c r="C106" s="23"/>
      <c r="D106" s="23"/>
      <c r="E106" s="24" t="s">
        <v>41</v>
      </c>
      <c r="F106" s="24"/>
      <c r="G106" s="25">
        <v>0</v>
      </c>
      <c r="H106" s="16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hidden="1" customHeight="1">
      <c r="A107" s="9"/>
      <c r="B107" s="11">
        <v>45664</v>
      </c>
      <c r="C107" s="12">
        <v>0</v>
      </c>
      <c r="D107" s="12">
        <v>13105</v>
      </c>
      <c r="E107" s="26" t="s">
        <v>31</v>
      </c>
      <c r="F107" s="27">
        <v>10707</v>
      </c>
      <c r="G107" s="28">
        <v>1412</v>
      </c>
      <c r="H107" s="22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28.5" hidden="1" customHeight="1">
      <c r="A108" s="9"/>
      <c r="B108" s="29"/>
      <c r="C108" s="29"/>
      <c r="D108" s="29"/>
      <c r="E108" s="13" t="s">
        <v>68</v>
      </c>
      <c r="F108" s="13"/>
      <c r="G108" s="30">
        <v>0</v>
      </c>
      <c r="H108" s="16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hidden="1" customHeight="1">
      <c r="A109" s="9"/>
      <c r="B109" s="17">
        <v>45664</v>
      </c>
      <c r="C109" s="18">
        <v>0</v>
      </c>
      <c r="D109" s="18">
        <v>13105</v>
      </c>
      <c r="E109" s="19" t="s">
        <v>31</v>
      </c>
      <c r="F109" s="20">
        <v>10708</v>
      </c>
      <c r="G109" s="31">
        <v>111.27</v>
      </c>
      <c r="H109" s="22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hidden="1" customHeight="1">
      <c r="A110" s="9"/>
      <c r="B110" s="23"/>
      <c r="C110" s="23"/>
      <c r="D110" s="23"/>
      <c r="E110" s="24" t="s">
        <v>56</v>
      </c>
      <c r="F110" s="24"/>
      <c r="G110" s="25">
        <v>0</v>
      </c>
      <c r="H110" s="16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hidden="1" customHeight="1">
      <c r="A111" s="9"/>
      <c r="B111" s="11">
        <v>45664</v>
      </c>
      <c r="C111" s="12">
        <v>0</v>
      </c>
      <c r="D111" s="12">
        <v>13105</v>
      </c>
      <c r="E111" s="26" t="s">
        <v>31</v>
      </c>
      <c r="F111" s="27">
        <v>10709</v>
      </c>
      <c r="G111" s="28">
        <v>246.78</v>
      </c>
      <c r="H111" s="22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28.5" hidden="1" customHeight="1">
      <c r="A112" s="9"/>
      <c r="B112" s="29"/>
      <c r="C112" s="29"/>
      <c r="D112" s="29"/>
      <c r="E112" s="13" t="s">
        <v>69</v>
      </c>
      <c r="F112" s="13"/>
      <c r="G112" s="30">
        <v>0</v>
      </c>
      <c r="H112" s="16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hidden="1" customHeight="1">
      <c r="A113" s="9"/>
      <c r="B113" s="17">
        <v>45664</v>
      </c>
      <c r="C113" s="18">
        <v>0</v>
      </c>
      <c r="D113" s="18">
        <v>13105</v>
      </c>
      <c r="E113" s="19" t="s">
        <v>31</v>
      </c>
      <c r="F113" s="20">
        <v>10710</v>
      </c>
      <c r="G113" s="31">
        <v>189.9</v>
      </c>
      <c r="H113" s="22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28.5" hidden="1" customHeight="1">
      <c r="A114" s="9"/>
      <c r="B114" s="23"/>
      <c r="C114" s="23"/>
      <c r="D114" s="23"/>
      <c r="E114" s="24" t="s">
        <v>70</v>
      </c>
      <c r="F114" s="24"/>
      <c r="G114" s="25">
        <v>0</v>
      </c>
      <c r="H114" s="16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hidden="1" customHeight="1">
      <c r="A115" s="9"/>
      <c r="B115" s="11">
        <v>45664</v>
      </c>
      <c r="C115" s="12">
        <v>0</v>
      </c>
      <c r="D115" s="12">
        <v>13105</v>
      </c>
      <c r="E115" s="26" t="s">
        <v>31</v>
      </c>
      <c r="F115" s="27">
        <v>10711</v>
      </c>
      <c r="G115" s="28">
        <v>1753.25</v>
      </c>
      <c r="H115" s="22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hidden="1" customHeight="1">
      <c r="A116" s="9"/>
      <c r="B116" s="29"/>
      <c r="C116" s="29"/>
      <c r="D116" s="29"/>
      <c r="E116" s="13" t="s">
        <v>71</v>
      </c>
      <c r="F116" s="13"/>
      <c r="G116" s="30">
        <v>0</v>
      </c>
      <c r="H116" s="16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hidden="1" customHeight="1">
      <c r="A117" s="9"/>
      <c r="B117" s="17">
        <v>45664</v>
      </c>
      <c r="C117" s="18">
        <v>0</v>
      </c>
      <c r="D117" s="18">
        <v>13105</v>
      </c>
      <c r="E117" s="19" t="s">
        <v>31</v>
      </c>
      <c r="F117" s="20">
        <v>10712</v>
      </c>
      <c r="G117" s="31">
        <v>531.33000000000004</v>
      </c>
      <c r="H117" s="22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28.5" hidden="1" customHeight="1">
      <c r="A118" s="9"/>
      <c r="B118" s="23"/>
      <c r="C118" s="23"/>
      <c r="D118" s="23"/>
      <c r="E118" s="24" t="s">
        <v>45</v>
      </c>
      <c r="F118" s="24"/>
      <c r="G118" s="25">
        <v>0</v>
      </c>
      <c r="H118" s="16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hidden="1" customHeight="1">
      <c r="A119" s="9"/>
      <c r="B119" s="11">
        <v>45664</v>
      </c>
      <c r="C119" s="12">
        <v>0</v>
      </c>
      <c r="D119" s="12">
        <v>13105</v>
      </c>
      <c r="E119" s="26" t="s">
        <v>31</v>
      </c>
      <c r="F119" s="27">
        <v>10713</v>
      </c>
      <c r="G119" s="28">
        <v>167.36</v>
      </c>
      <c r="H119" s="22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hidden="1" customHeight="1">
      <c r="A120" s="9"/>
      <c r="B120" s="29"/>
      <c r="C120" s="29"/>
      <c r="D120" s="29"/>
      <c r="E120" s="13" t="s">
        <v>38</v>
      </c>
      <c r="F120" s="13"/>
      <c r="G120" s="30">
        <v>0</v>
      </c>
      <c r="H120" s="16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hidden="1" customHeight="1">
      <c r="A121" s="9"/>
      <c r="B121" s="17">
        <v>45664</v>
      </c>
      <c r="C121" s="18">
        <v>0</v>
      </c>
      <c r="D121" s="18">
        <v>13113</v>
      </c>
      <c r="E121" s="19" t="s">
        <v>72</v>
      </c>
      <c r="F121" s="20">
        <v>890071200717149</v>
      </c>
      <c r="G121" s="31">
        <v>73.8</v>
      </c>
      <c r="H121" s="22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hidden="1" customHeight="1">
      <c r="A122" s="9"/>
      <c r="B122" s="23"/>
      <c r="C122" s="23"/>
      <c r="D122" s="23"/>
      <c r="E122" s="24" t="s">
        <v>73</v>
      </c>
      <c r="F122" s="24"/>
      <c r="G122" s="25">
        <v>0</v>
      </c>
      <c r="H122" s="16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hidden="1" customHeight="1">
      <c r="A123" s="9"/>
      <c r="B123" s="11">
        <v>45664</v>
      </c>
      <c r="C123" s="12">
        <v>0</v>
      </c>
      <c r="D123" s="12">
        <v>0</v>
      </c>
      <c r="E123" s="26" t="s">
        <v>52</v>
      </c>
      <c r="F123" s="27">
        <v>9903</v>
      </c>
      <c r="G123" s="15">
        <v>205.39</v>
      </c>
      <c r="H123" s="22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hidden="1" customHeight="1">
      <c r="A124" s="9"/>
      <c r="B124" s="29"/>
      <c r="C124" s="29"/>
      <c r="D124" s="29"/>
      <c r="E124" s="13" t="s">
        <v>53</v>
      </c>
      <c r="F124" s="13"/>
      <c r="G124" s="30">
        <v>0</v>
      </c>
      <c r="H124" s="16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hidden="1" customHeight="1">
      <c r="A125" s="9"/>
      <c r="B125" s="17">
        <v>45665</v>
      </c>
      <c r="C125" s="18">
        <v>0</v>
      </c>
      <c r="D125" s="18">
        <v>14397</v>
      </c>
      <c r="E125" s="19" t="s">
        <v>57</v>
      </c>
      <c r="F125" s="20">
        <v>81159448042942</v>
      </c>
      <c r="G125" s="21">
        <v>600</v>
      </c>
      <c r="H125" s="22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28.5" hidden="1" customHeight="1">
      <c r="A126" s="9"/>
      <c r="B126" s="23"/>
      <c r="C126" s="23"/>
      <c r="D126" s="23"/>
      <c r="E126" s="24" t="s">
        <v>74</v>
      </c>
      <c r="F126" s="24"/>
      <c r="G126" s="25">
        <v>0</v>
      </c>
      <c r="H126" s="16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hidden="1" customHeight="1">
      <c r="A127" s="9"/>
      <c r="B127" s="11">
        <v>45665</v>
      </c>
      <c r="C127" s="12">
        <v>0</v>
      </c>
      <c r="D127" s="12">
        <v>14397</v>
      </c>
      <c r="E127" s="26" t="s">
        <v>57</v>
      </c>
      <c r="F127" s="27">
        <v>363365623207621</v>
      </c>
      <c r="G127" s="15">
        <v>20</v>
      </c>
      <c r="H127" s="22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28.5" hidden="1" customHeight="1">
      <c r="A128" s="9"/>
      <c r="B128" s="29"/>
      <c r="C128" s="29"/>
      <c r="D128" s="29"/>
      <c r="E128" s="13" t="s">
        <v>75</v>
      </c>
      <c r="F128" s="13"/>
      <c r="G128" s="30">
        <v>0</v>
      </c>
      <c r="H128" s="16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hidden="1" customHeight="1">
      <c r="A129" s="9"/>
      <c r="B129" s="17">
        <v>45665</v>
      </c>
      <c r="C129" s="18">
        <v>0</v>
      </c>
      <c r="D129" s="18">
        <v>14397</v>
      </c>
      <c r="E129" s="19" t="s">
        <v>57</v>
      </c>
      <c r="F129" s="20">
        <v>363469253106271</v>
      </c>
      <c r="G129" s="21">
        <v>211</v>
      </c>
      <c r="H129" s="22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28.5" hidden="1" customHeight="1">
      <c r="A130" s="9"/>
      <c r="B130" s="23"/>
      <c r="C130" s="23"/>
      <c r="D130" s="23"/>
      <c r="E130" s="24" t="s">
        <v>76</v>
      </c>
      <c r="F130" s="24"/>
      <c r="G130" s="25">
        <v>0</v>
      </c>
      <c r="H130" s="16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hidden="1" customHeight="1">
      <c r="A131" s="9"/>
      <c r="B131" s="11">
        <v>45665</v>
      </c>
      <c r="C131" s="12">
        <v>0</v>
      </c>
      <c r="D131" s="12">
        <v>14397</v>
      </c>
      <c r="E131" s="26" t="s">
        <v>57</v>
      </c>
      <c r="F131" s="27">
        <v>363626331661471</v>
      </c>
      <c r="G131" s="15">
        <v>152</v>
      </c>
      <c r="H131" s="22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28.5" hidden="1" customHeight="1">
      <c r="A132" s="9"/>
      <c r="B132" s="29"/>
      <c r="C132" s="29"/>
      <c r="D132" s="29"/>
      <c r="E132" s="13" t="s">
        <v>77</v>
      </c>
      <c r="F132" s="13"/>
      <c r="G132" s="30">
        <v>0</v>
      </c>
      <c r="H132" s="16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hidden="1" customHeight="1">
      <c r="A133" s="9"/>
      <c r="B133" s="17">
        <v>45665</v>
      </c>
      <c r="C133" s="18">
        <v>0</v>
      </c>
      <c r="D133" s="18">
        <v>13105</v>
      </c>
      <c r="E133" s="19" t="s">
        <v>31</v>
      </c>
      <c r="F133" s="20">
        <v>10801</v>
      </c>
      <c r="G133" s="31">
        <v>781.15</v>
      </c>
      <c r="H133" s="22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hidden="1" customHeight="1">
      <c r="A134" s="9"/>
      <c r="B134" s="23"/>
      <c r="C134" s="23"/>
      <c r="D134" s="23"/>
      <c r="E134" s="24" t="s">
        <v>78</v>
      </c>
      <c r="F134" s="24"/>
      <c r="G134" s="25">
        <v>0</v>
      </c>
      <c r="H134" s="16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hidden="1" customHeight="1">
      <c r="A135" s="9"/>
      <c r="B135" s="11">
        <v>45665</v>
      </c>
      <c r="C135" s="12">
        <v>0</v>
      </c>
      <c r="D135" s="12">
        <v>0</v>
      </c>
      <c r="E135" s="26" t="s">
        <v>59</v>
      </c>
      <c r="F135" s="27">
        <v>9903</v>
      </c>
      <c r="G135" s="28">
        <v>201.85</v>
      </c>
      <c r="H135" s="22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 hidden="1" customHeight="1">
      <c r="A136" s="9"/>
      <c r="B136" s="29"/>
      <c r="C136" s="29"/>
      <c r="D136" s="29"/>
      <c r="E136" s="13" t="s">
        <v>53</v>
      </c>
      <c r="F136" s="13"/>
      <c r="G136" s="30">
        <v>0</v>
      </c>
      <c r="H136" s="16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75" hidden="1" customHeight="1">
      <c r="A137" s="9"/>
      <c r="B137" s="17">
        <v>45666</v>
      </c>
      <c r="C137" s="18">
        <v>0</v>
      </c>
      <c r="D137" s="18">
        <v>14397</v>
      </c>
      <c r="E137" s="19" t="s">
        <v>57</v>
      </c>
      <c r="F137" s="20">
        <v>364430231011141</v>
      </c>
      <c r="G137" s="21">
        <v>309.56</v>
      </c>
      <c r="H137" s="22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28.5" hidden="1" customHeight="1">
      <c r="A138" s="9"/>
      <c r="B138" s="23"/>
      <c r="C138" s="23"/>
      <c r="D138" s="23"/>
      <c r="E138" s="24" t="s">
        <v>79</v>
      </c>
      <c r="F138" s="24"/>
      <c r="G138" s="25">
        <v>0</v>
      </c>
      <c r="H138" s="16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75" hidden="1" customHeight="1">
      <c r="A139" s="9"/>
      <c r="B139" s="11">
        <v>45666</v>
      </c>
      <c r="C139" s="12">
        <v>0</v>
      </c>
      <c r="D139" s="12">
        <v>13105</v>
      </c>
      <c r="E139" s="26" t="s">
        <v>80</v>
      </c>
      <c r="F139" s="27">
        <v>10901</v>
      </c>
      <c r="G139" s="28">
        <v>172.48</v>
      </c>
      <c r="H139" s="22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 hidden="1" customHeight="1">
      <c r="A140" s="9"/>
      <c r="B140" s="29"/>
      <c r="C140" s="29"/>
      <c r="D140" s="29"/>
      <c r="E140" s="13" t="s">
        <v>81</v>
      </c>
      <c r="F140" s="13"/>
      <c r="G140" s="30">
        <v>0</v>
      </c>
      <c r="H140" s="16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75" hidden="1" customHeight="1">
      <c r="A141" s="9"/>
      <c r="B141" s="17">
        <v>45666</v>
      </c>
      <c r="C141" s="18">
        <v>0</v>
      </c>
      <c r="D141" s="18">
        <v>0</v>
      </c>
      <c r="E141" s="19" t="s">
        <v>59</v>
      </c>
      <c r="F141" s="20">
        <v>9903</v>
      </c>
      <c r="G141" s="31">
        <v>137.08000000000001</v>
      </c>
      <c r="H141" s="22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75" hidden="1" customHeight="1">
      <c r="A142" s="9"/>
      <c r="B142" s="23"/>
      <c r="C142" s="23"/>
      <c r="D142" s="23"/>
      <c r="E142" s="24" t="s">
        <v>53</v>
      </c>
      <c r="F142" s="24"/>
      <c r="G142" s="25">
        <v>0</v>
      </c>
      <c r="H142" s="16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75" hidden="1" customHeight="1">
      <c r="A143" s="9"/>
      <c r="B143" s="11">
        <v>45667</v>
      </c>
      <c r="C143" s="12">
        <v>0</v>
      </c>
      <c r="D143" s="12">
        <v>14397</v>
      </c>
      <c r="E143" s="26" t="s">
        <v>57</v>
      </c>
      <c r="F143" s="27">
        <v>101932549757332</v>
      </c>
      <c r="G143" s="15">
        <v>1808</v>
      </c>
      <c r="H143" s="22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28.5" hidden="1" customHeight="1">
      <c r="A144" s="9"/>
      <c r="B144" s="29"/>
      <c r="C144" s="29"/>
      <c r="D144" s="29"/>
      <c r="E144" s="13" t="s">
        <v>82</v>
      </c>
      <c r="F144" s="13"/>
      <c r="G144" s="30">
        <v>0</v>
      </c>
      <c r="H144" s="16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.75" hidden="1" customHeight="1">
      <c r="A145" s="9"/>
      <c r="B145" s="17">
        <v>45667</v>
      </c>
      <c r="C145" s="18">
        <v>0</v>
      </c>
      <c r="D145" s="18">
        <v>14397</v>
      </c>
      <c r="E145" s="19" t="s">
        <v>57</v>
      </c>
      <c r="F145" s="20">
        <v>365186250653561</v>
      </c>
      <c r="G145" s="21">
        <v>4500</v>
      </c>
      <c r="H145" s="22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28.5" hidden="1" customHeight="1">
      <c r="A146" s="9"/>
      <c r="B146" s="23"/>
      <c r="C146" s="23"/>
      <c r="D146" s="23"/>
      <c r="E146" s="24" t="s">
        <v>83</v>
      </c>
      <c r="F146" s="24"/>
      <c r="G146" s="25">
        <v>0</v>
      </c>
      <c r="H146" s="16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75" hidden="1" customHeight="1">
      <c r="A147" s="9"/>
      <c r="B147" s="11">
        <v>45667</v>
      </c>
      <c r="C147" s="12">
        <v>0</v>
      </c>
      <c r="D147" s="12">
        <v>13105</v>
      </c>
      <c r="E147" s="26" t="s">
        <v>80</v>
      </c>
      <c r="F147" s="27">
        <v>11001</v>
      </c>
      <c r="G147" s="28">
        <v>1157.4000000000001</v>
      </c>
      <c r="H147" s="22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75" hidden="1" customHeight="1">
      <c r="A148" s="9"/>
      <c r="B148" s="29"/>
      <c r="C148" s="29"/>
      <c r="D148" s="29"/>
      <c r="E148" s="13" t="s">
        <v>81</v>
      </c>
      <c r="F148" s="13"/>
      <c r="G148" s="30">
        <v>0</v>
      </c>
      <c r="H148" s="16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75" hidden="1" customHeight="1">
      <c r="A149" s="9"/>
      <c r="B149" s="17">
        <v>45667</v>
      </c>
      <c r="C149" s="18">
        <v>0</v>
      </c>
      <c r="D149" s="18">
        <v>13105</v>
      </c>
      <c r="E149" s="19" t="s">
        <v>80</v>
      </c>
      <c r="F149" s="20">
        <v>11002</v>
      </c>
      <c r="G149" s="31">
        <v>770</v>
      </c>
      <c r="H149" s="22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75" hidden="1" customHeight="1">
      <c r="A150" s="9"/>
      <c r="B150" s="23"/>
      <c r="C150" s="23"/>
      <c r="D150" s="23"/>
      <c r="E150" s="24" t="s">
        <v>84</v>
      </c>
      <c r="F150" s="24"/>
      <c r="G150" s="25">
        <v>0</v>
      </c>
      <c r="H150" s="16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75" hidden="1" customHeight="1">
      <c r="A151" s="9"/>
      <c r="B151" s="11">
        <v>45667</v>
      </c>
      <c r="C151" s="12">
        <v>0</v>
      </c>
      <c r="D151" s="12">
        <v>13105</v>
      </c>
      <c r="E151" s="26" t="s">
        <v>31</v>
      </c>
      <c r="F151" s="27">
        <v>11003</v>
      </c>
      <c r="G151" s="28">
        <v>960</v>
      </c>
      <c r="H151" s="22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75" hidden="1" customHeight="1">
      <c r="A152" s="9"/>
      <c r="B152" s="29"/>
      <c r="C152" s="29"/>
      <c r="D152" s="29"/>
      <c r="E152" s="13" t="s">
        <v>85</v>
      </c>
      <c r="F152" s="13"/>
      <c r="G152" s="30">
        <v>0</v>
      </c>
      <c r="H152" s="16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75" hidden="1" customHeight="1">
      <c r="A153" s="9"/>
      <c r="B153" s="17">
        <v>45667</v>
      </c>
      <c r="C153" s="18">
        <v>0</v>
      </c>
      <c r="D153" s="18">
        <v>13105</v>
      </c>
      <c r="E153" s="19" t="s">
        <v>31</v>
      </c>
      <c r="F153" s="20">
        <v>11004</v>
      </c>
      <c r="G153" s="31">
        <v>300</v>
      </c>
      <c r="H153" s="22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75" hidden="1" customHeight="1">
      <c r="A154" s="9"/>
      <c r="B154" s="23"/>
      <c r="C154" s="23"/>
      <c r="D154" s="23"/>
      <c r="E154" s="24" t="s">
        <v>86</v>
      </c>
      <c r="F154" s="24"/>
      <c r="G154" s="25">
        <v>0</v>
      </c>
      <c r="H154" s="16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75" hidden="1" customHeight="1">
      <c r="A155" s="9"/>
      <c r="B155" s="11">
        <v>45667</v>
      </c>
      <c r="C155" s="12">
        <v>0</v>
      </c>
      <c r="D155" s="12">
        <v>13105</v>
      </c>
      <c r="E155" s="26" t="s">
        <v>31</v>
      </c>
      <c r="F155" s="27">
        <v>11005</v>
      </c>
      <c r="G155" s="28">
        <v>1534.46</v>
      </c>
      <c r="H155" s="22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75" hidden="1" customHeight="1">
      <c r="A156" s="9"/>
      <c r="B156" s="29"/>
      <c r="C156" s="29"/>
      <c r="D156" s="29"/>
      <c r="E156" s="13" t="s">
        <v>39</v>
      </c>
      <c r="F156" s="13"/>
      <c r="G156" s="30">
        <v>0</v>
      </c>
      <c r="H156" s="16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.75" hidden="1" customHeight="1">
      <c r="A157" s="9"/>
      <c r="B157" s="17">
        <v>45667</v>
      </c>
      <c r="C157" s="18">
        <v>0</v>
      </c>
      <c r="D157" s="18">
        <v>13013</v>
      </c>
      <c r="E157" s="19" t="s">
        <v>87</v>
      </c>
      <c r="F157" s="20">
        <v>46301</v>
      </c>
      <c r="G157" s="31">
        <v>54.12</v>
      </c>
      <c r="H157" s="22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75" hidden="1" customHeight="1">
      <c r="A158" s="9"/>
      <c r="B158" s="23"/>
      <c r="C158" s="23"/>
      <c r="D158" s="23"/>
      <c r="E158" s="24" t="s">
        <v>88</v>
      </c>
      <c r="F158" s="24"/>
      <c r="G158" s="25">
        <v>0</v>
      </c>
      <c r="H158" s="16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75" hidden="1" customHeight="1">
      <c r="A159" s="9"/>
      <c r="B159" s="11">
        <v>45667</v>
      </c>
      <c r="C159" s="12">
        <v>0</v>
      </c>
      <c r="D159" s="12">
        <v>0</v>
      </c>
      <c r="E159" s="26" t="s">
        <v>59</v>
      </c>
      <c r="F159" s="27">
        <v>9903</v>
      </c>
      <c r="G159" s="28">
        <v>1532.02</v>
      </c>
      <c r="H159" s="22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 hidden="1" customHeight="1">
      <c r="A160" s="9"/>
      <c r="B160" s="29"/>
      <c r="C160" s="29"/>
      <c r="D160" s="29"/>
      <c r="E160" s="13" t="s">
        <v>53</v>
      </c>
      <c r="F160" s="13"/>
      <c r="G160" s="30">
        <v>0</v>
      </c>
      <c r="H160" s="16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.75" hidden="1" customHeight="1">
      <c r="A161" s="9"/>
      <c r="B161" s="17">
        <v>45670</v>
      </c>
      <c r="C161" s="18">
        <v>984</v>
      </c>
      <c r="D161" s="18">
        <v>99015</v>
      </c>
      <c r="E161" s="19" t="s">
        <v>27</v>
      </c>
      <c r="F161" s="20">
        <v>550984000024887</v>
      </c>
      <c r="G161" s="21">
        <v>2665.6</v>
      </c>
      <c r="H161" s="22" t="s">
        <v>89</v>
      </c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28.5" hidden="1" customHeight="1">
      <c r="A162" s="9"/>
      <c r="B162" s="23"/>
      <c r="C162" s="23"/>
      <c r="D162" s="23"/>
      <c r="E162" s="24" t="s">
        <v>90</v>
      </c>
      <c r="F162" s="24"/>
      <c r="G162" s="25">
        <v>0</v>
      </c>
      <c r="H162" s="16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.75" hidden="1" customHeight="1">
      <c r="A163" s="9"/>
      <c r="B163" s="11">
        <v>45670</v>
      </c>
      <c r="C163" s="12">
        <v>0</v>
      </c>
      <c r="D163" s="12">
        <v>14397</v>
      </c>
      <c r="E163" s="26" t="s">
        <v>57</v>
      </c>
      <c r="F163" s="27">
        <v>131001573602462</v>
      </c>
      <c r="G163" s="15">
        <v>302.42</v>
      </c>
      <c r="H163" s="22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28.5" hidden="1" customHeight="1">
      <c r="A164" s="9"/>
      <c r="B164" s="29"/>
      <c r="C164" s="29"/>
      <c r="D164" s="29"/>
      <c r="E164" s="13" t="s">
        <v>91</v>
      </c>
      <c r="F164" s="13"/>
      <c r="G164" s="30">
        <v>0</v>
      </c>
      <c r="H164" s="16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.75" hidden="1" customHeight="1">
      <c r="A165" s="9"/>
      <c r="B165" s="17">
        <v>45670</v>
      </c>
      <c r="C165" s="18">
        <v>0</v>
      </c>
      <c r="D165" s="18">
        <v>14397</v>
      </c>
      <c r="E165" s="19" t="s">
        <v>57</v>
      </c>
      <c r="F165" s="20">
        <v>131145413277542</v>
      </c>
      <c r="G165" s="21">
        <v>1600</v>
      </c>
      <c r="H165" s="22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28.5" hidden="1" customHeight="1">
      <c r="A166" s="9"/>
      <c r="B166" s="23"/>
      <c r="C166" s="23"/>
      <c r="D166" s="23"/>
      <c r="E166" s="24" t="s">
        <v>92</v>
      </c>
      <c r="F166" s="24"/>
      <c r="G166" s="25">
        <v>0</v>
      </c>
      <c r="H166" s="16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.75" hidden="1" customHeight="1">
      <c r="A167" s="9"/>
      <c r="B167" s="11">
        <v>45670</v>
      </c>
      <c r="C167" s="12">
        <v>0</v>
      </c>
      <c r="D167" s="12">
        <v>14397</v>
      </c>
      <c r="E167" s="26" t="s">
        <v>57</v>
      </c>
      <c r="F167" s="27">
        <v>367734156967281</v>
      </c>
      <c r="G167" s="15">
        <v>2067</v>
      </c>
      <c r="H167" s="22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28.5" hidden="1" customHeight="1">
      <c r="A168" s="9"/>
      <c r="B168" s="29"/>
      <c r="C168" s="29"/>
      <c r="D168" s="29"/>
      <c r="E168" s="13" t="s">
        <v>93</v>
      </c>
      <c r="F168" s="13"/>
      <c r="G168" s="30">
        <v>0</v>
      </c>
      <c r="H168" s="16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.75" hidden="1" customHeight="1">
      <c r="A169" s="9"/>
      <c r="B169" s="17">
        <v>45670</v>
      </c>
      <c r="C169" s="18">
        <v>1533</v>
      </c>
      <c r="D169" s="18">
        <v>99008</v>
      </c>
      <c r="E169" s="19" t="s">
        <v>29</v>
      </c>
      <c r="F169" s="20">
        <v>401481</v>
      </c>
      <c r="G169" s="31">
        <v>308.19</v>
      </c>
      <c r="H169" s="22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.75" hidden="1" customHeight="1">
      <c r="A170" s="9"/>
      <c r="B170" s="23"/>
      <c r="C170" s="23"/>
      <c r="D170" s="23"/>
      <c r="E170" s="24" t="s">
        <v>94</v>
      </c>
      <c r="F170" s="24"/>
      <c r="G170" s="25">
        <v>0</v>
      </c>
      <c r="H170" s="16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75" hidden="1" customHeight="1">
      <c r="A171" s="9"/>
      <c r="B171" s="11">
        <v>45670</v>
      </c>
      <c r="C171" s="12">
        <v>0</v>
      </c>
      <c r="D171" s="12">
        <v>13105</v>
      </c>
      <c r="E171" s="26" t="s">
        <v>31</v>
      </c>
      <c r="F171" s="27">
        <v>11301</v>
      </c>
      <c r="G171" s="28">
        <v>3191.09</v>
      </c>
      <c r="H171" s="22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28.5" hidden="1" customHeight="1">
      <c r="A172" s="9"/>
      <c r="B172" s="29"/>
      <c r="C172" s="29"/>
      <c r="D172" s="29"/>
      <c r="E172" s="13" t="s">
        <v>95</v>
      </c>
      <c r="F172" s="13"/>
      <c r="G172" s="30">
        <v>0</v>
      </c>
      <c r="H172" s="16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.75" hidden="1" customHeight="1">
      <c r="A173" s="9"/>
      <c r="B173" s="17">
        <v>45670</v>
      </c>
      <c r="C173" s="18">
        <v>0</v>
      </c>
      <c r="D173" s="18">
        <v>13105</v>
      </c>
      <c r="E173" s="19" t="s">
        <v>31</v>
      </c>
      <c r="F173" s="20">
        <v>11302</v>
      </c>
      <c r="G173" s="31">
        <v>997.5</v>
      </c>
      <c r="H173" s="22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28.5" hidden="1" customHeight="1">
      <c r="A174" s="9"/>
      <c r="B174" s="23"/>
      <c r="C174" s="23"/>
      <c r="D174" s="23"/>
      <c r="E174" s="24" t="s">
        <v>40</v>
      </c>
      <c r="F174" s="24"/>
      <c r="G174" s="25">
        <v>0</v>
      </c>
      <c r="H174" s="16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.75" hidden="1" customHeight="1">
      <c r="A175" s="9"/>
      <c r="B175" s="11">
        <v>45670</v>
      </c>
      <c r="C175" s="12">
        <v>0</v>
      </c>
      <c r="D175" s="12">
        <v>13105</v>
      </c>
      <c r="E175" s="26" t="s">
        <v>31</v>
      </c>
      <c r="F175" s="27">
        <v>11303</v>
      </c>
      <c r="G175" s="28">
        <v>359.78</v>
      </c>
      <c r="H175" s="22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28.5" hidden="1" customHeight="1">
      <c r="A176" s="9"/>
      <c r="B176" s="29"/>
      <c r="C176" s="29"/>
      <c r="D176" s="29"/>
      <c r="E176" s="13" t="s">
        <v>45</v>
      </c>
      <c r="F176" s="13"/>
      <c r="G176" s="30">
        <v>0</v>
      </c>
      <c r="H176" s="16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.75" hidden="1" customHeight="1">
      <c r="A177" s="9"/>
      <c r="B177" s="17">
        <v>45670</v>
      </c>
      <c r="C177" s="18">
        <v>0</v>
      </c>
      <c r="D177" s="18">
        <v>13105</v>
      </c>
      <c r="E177" s="19" t="s">
        <v>31</v>
      </c>
      <c r="F177" s="20">
        <v>11304</v>
      </c>
      <c r="G177" s="31">
        <v>324.56</v>
      </c>
      <c r="H177" s="22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28.5" hidden="1" customHeight="1">
      <c r="A178" s="9"/>
      <c r="B178" s="23"/>
      <c r="C178" s="23"/>
      <c r="D178" s="23"/>
      <c r="E178" s="24" t="s">
        <v>45</v>
      </c>
      <c r="F178" s="24"/>
      <c r="G178" s="25">
        <v>0</v>
      </c>
      <c r="H178" s="16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.75" hidden="1" customHeight="1">
      <c r="A179" s="9"/>
      <c r="B179" s="11">
        <v>45670</v>
      </c>
      <c r="C179" s="12">
        <v>0</v>
      </c>
      <c r="D179" s="12">
        <v>13105</v>
      </c>
      <c r="E179" s="26" t="s">
        <v>31</v>
      </c>
      <c r="F179" s="27">
        <v>11305</v>
      </c>
      <c r="G179" s="28">
        <v>272.45999999999998</v>
      </c>
      <c r="H179" s="22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28.5" hidden="1" customHeight="1">
      <c r="A180" s="9"/>
      <c r="B180" s="29"/>
      <c r="C180" s="29"/>
      <c r="D180" s="29"/>
      <c r="E180" s="13" t="s">
        <v>45</v>
      </c>
      <c r="F180" s="13"/>
      <c r="G180" s="30">
        <v>0</v>
      </c>
      <c r="H180" s="16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.75" hidden="1" customHeight="1">
      <c r="A181" s="9"/>
      <c r="B181" s="17">
        <v>45670</v>
      </c>
      <c r="C181" s="18">
        <v>0</v>
      </c>
      <c r="D181" s="18">
        <v>13105</v>
      </c>
      <c r="E181" s="19" t="s">
        <v>31</v>
      </c>
      <c r="F181" s="20">
        <v>11306</v>
      </c>
      <c r="G181" s="31">
        <v>233.2</v>
      </c>
      <c r="H181" s="22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28.5" hidden="1" customHeight="1">
      <c r="A182" s="9"/>
      <c r="B182" s="23"/>
      <c r="C182" s="23"/>
      <c r="D182" s="23"/>
      <c r="E182" s="24" t="s">
        <v>45</v>
      </c>
      <c r="F182" s="24"/>
      <c r="G182" s="25">
        <v>0</v>
      </c>
      <c r="H182" s="16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.75" hidden="1" customHeight="1">
      <c r="A183" s="9"/>
      <c r="B183" s="11">
        <v>45670</v>
      </c>
      <c r="C183" s="12">
        <v>0</v>
      </c>
      <c r="D183" s="12">
        <v>13105</v>
      </c>
      <c r="E183" s="26" t="s">
        <v>31</v>
      </c>
      <c r="F183" s="27">
        <v>11307</v>
      </c>
      <c r="G183" s="28">
        <v>418.62</v>
      </c>
      <c r="H183" s="22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28.5" hidden="1" customHeight="1">
      <c r="A184" s="9"/>
      <c r="B184" s="29"/>
      <c r="C184" s="29"/>
      <c r="D184" s="29"/>
      <c r="E184" s="13" t="s">
        <v>45</v>
      </c>
      <c r="F184" s="13"/>
      <c r="G184" s="30">
        <v>0</v>
      </c>
      <c r="H184" s="16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.75" hidden="1" customHeight="1">
      <c r="A185" s="9"/>
      <c r="B185" s="17">
        <v>45670</v>
      </c>
      <c r="C185" s="18">
        <v>0</v>
      </c>
      <c r="D185" s="18">
        <v>13105</v>
      </c>
      <c r="E185" s="19" t="s">
        <v>31</v>
      </c>
      <c r="F185" s="20">
        <v>11308</v>
      </c>
      <c r="G185" s="31">
        <v>418.62</v>
      </c>
      <c r="H185" s="22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28.5" hidden="1" customHeight="1">
      <c r="A186" s="9"/>
      <c r="B186" s="23"/>
      <c r="C186" s="23"/>
      <c r="D186" s="23"/>
      <c r="E186" s="24" t="s">
        <v>45</v>
      </c>
      <c r="F186" s="24"/>
      <c r="G186" s="25">
        <v>0</v>
      </c>
      <c r="H186" s="16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.75" hidden="1" customHeight="1">
      <c r="A187" s="9"/>
      <c r="B187" s="11">
        <v>45670</v>
      </c>
      <c r="C187" s="12">
        <v>0</v>
      </c>
      <c r="D187" s="12">
        <v>13105</v>
      </c>
      <c r="E187" s="26" t="s">
        <v>31</v>
      </c>
      <c r="F187" s="27">
        <v>11309</v>
      </c>
      <c r="G187" s="28">
        <v>447.67</v>
      </c>
      <c r="H187" s="22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28.5" hidden="1" customHeight="1">
      <c r="A188" s="9"/>
      <c r="B188" s="29"/>
      <c r="C188" s="29"/>
      <c r="D188" s="29"/>
      <c r="E188" s="13" t="s">
        <v>45</v>
      </c>
      <c r="F188" s="13"/>
      <c r="G188" s="30">
        <v>0</v>
      </c>
      <c r="H188" s="16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.75" hidden="1" customHeight="1">
      <c r="A189" s="9"/>
      <c r="B189" s="17">
        <v>45670</v>
      </c>
      <c r="C189" s="18">
        <v>0</v>
      </c>
      <c r="D189" s="18">
        <v>13105</v>
      </c>
      <c r="E189" s="19" t="s">
        <v>31</v>
      </c>
      <c r="F189" s="20">
        <v>11310</v>
      </c>
      <c r="G189" s="31">
        <v>337.89</v>
      </c>
      <c r="H189" s="22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28.5" hidden="1" customHeight="1">
      <c r="A190" s="9"/>
      <c r="B190" s="23"/>
      <c r="C190" s="23"/>
      <c r="D190" s="23"/>
      <c r="E190" s="24" t="s">
        <v>45</v>
      </c>
      <c r="F190" s="24"/>
      <c r="G190" s="25">
        <v>0</v>
      </c>
      <c r="H190" s="16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75" hidden="1" customHeight="1">
      <c r="A191" s="9"/>
      <c r="B191" s="11">
        <v>45670</v>
      </c>
      <c r="C191" s="12">
        <v>0</v>
      </c>
      <c r="D191" s="12">
        <v>13105</v>
      </c>
      <c r="E191" s="26" t="s">
        <v>31</v>
      </c>
      <c r="F191" s="27">
        <v>11311</v>
      </c>
      <c r="G191" s="28">
        <v>358.2</v>
      </c>
      <c r="H191" s="22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 hidden="1" customHeight="1">
      <c r="A192" s="9"/>
      <c r="B192" s="29"/>
      <c r="C192" s="29"/>
      <c r="D192" s="29"/>
      <c r="E192" s="13" t="s">
        <v>96</v>
      </c>
      <c r="F192" s="13"/>
      <c r="G192" s="30">
        <v>0</v>
      </c>
      <c r="H192" s="16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75" hidden="1" customHeight="1">
      <c r="A193" s="9"/>
      <c r="B193" s="17">
        <v>45670</v>
      </c>
      <c r="C193" s="18">
        <v>0</v>
      </c>
      <c r="D193" s="18">
        <v>13105</v>
      </c>
      <c r="E193" s="19" t="s">
        <v>31</v>
      </c>
      <c r="F193" s="20">
        <v>11312</v>
      </c>
      <c r="G193" s="31">
        <v>72.22</v>
      </c>
      <c r="H193" s="22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75" hidden="1" customHeight="1">
      <c r="A194" s="9"/>
      <c r="B194" s="23"/>
      <c r="C194" s="23"/>
      <c r="D194" s="23"/>
      <c r="E194" s="24" t="s">
        <v>46</v>
      </c>
      <c r="F194" s="24"/>
      <c r="G194" s="25">
        <v>0</v>
      </c>
      <c r="H194" s="16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75" hidden="1" customHeight="1">
      <c r="A195" s="9"/>
      <c r="B195" s="11">
        <v>45670</v>
      </c>
      <c r="C195" s="12">
        <v>0</v>
      </c>
      <c r="D195" s="12">
        <v>13105</v>
      </c>
      <c r="E195" s="26" t="s">
        <v>31</v>
      </c>
      <c r="F195" s="27">
        <v>11313</v>
      </c>
      <c r="G195" s="28">
        <v>333.13</v>
      </c>
      <c r="H195" s="22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28.5" hidden="1" customHeight="1">
      <c r="A196" s="9"/>
      <c r="B196" s="29"/>
      <c r="C196" s="29"/>
      <c r="D196" s="29"/>
      <c r="E196" s="13" t="s">
        <v>69</v>
      </c>
      <c r="F196" s="13"/>
      <c r="G196" s="30">
        <v>0</v>
      </c>
      <c r="H196" s="16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75" hidden="1" customHeight="1">
      <c r="A197" s="9"/>
      <c r="B197" s="17">
        <v>45670</v>
      </c>
      <c r="C197" s="18">
        <v>0</v>
      </c>
      <c r="D197" s="18">
        <v>13105</v>
      </c>
      <c r="E197" s="19" t="s">
        <v>31</v>
      </c>
      <c r="F197" s="20">
        <v>11314</v>
      </c>
      <c r="G197" s="31">
        <v>523.48</v>
      </c>
      <c r="H197" s="22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 hidden="1" customHeight="1">
      <c r="A198" s="9"/>
      <c r="B198" s="23"/>
      <c r="C198" s="23"/>
      <c r="D198" s="23"/>
      <c r="E198" s="24" t="s">
        <v>66</v>
      </c>
      <c r="F198" s="24"/>
      <c r="G198" s="25">
        <v>0</v>
      </c>
      <c r="H198" s="16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75" hidden="1" customHeight="1">
      <c r="A199" s="9"/>
      <c r="B199" s="11">
        <v>45670</v>
      </c>
      <c r="C199" s="12">
        <v>0</v>
      </c>
      <c r="D199" s="12">
        <v>13105</v>
      </c>
      <c r="E199" s="26" t="s">
        <v>31</v>
      </c>
      <c r="F199" s="27">
        <v>11315</v>
      </c>
      <c r="G199" s="28">
        <v>383.7</v>
      </c>
      <c r="H199" s="22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hidden="1" customHeight="1">
      <c r="A200" s="9"/>
      <c r="B200" s="29"/>
      <c r="C200" s="29"/>
      <c r="D200" s="29"/>
      <c r="E200" s="13" t="s">
        <v>51</v>
      </c>
      <c r="F200" s="13"/>
      <c r="G200" s="30">
        <v>0</v>
      </c>
      <c r="H200" s="16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.75" hidden="1" customHeight="1">
      <c r="A201" s="9"/>
      <c r="B201" s="17">
        <v>45670</v>
      </c>
      <c r="C201" s="18">
        <v>0</v>
      </c>
      <c r="D201" s="18">
        <v>0</v>
      </c>
      <c r="E201" s="19" t="s">
        <v>52</v>
      </c>
      <c r="F201" s="20">
        <v>9903</v>
      </c>
      <c r="G201" s="21">
        <v>2345.29</v>
      </c>
      <c r="H201" s="22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75" hidden="1" customHeight="1">
      <c r="A202" s="9"/>
      <c r="B202" s="23"/>
      <c r="C202" s="23"/>
      <c r="D202" s="23"/>
      <c r="E202" s="24" t="s">
        <v>53</v>
      </c>
      <c r="F202" s="24"/>
      <c r="G202" s="25">
        <v>0</v>
      </c>
      <c r="H202" s="16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.75" hidden="1" customHeight="1">
      <c r="A203" s="9"/>
      <c r="B203" s="11">
        <v>45671</v>
      </c>
      <c r="C203" s="12">
        <v>0</v>
      </c>
      <c r="D203" s="12">
        <v>14175</v>
      </c>
      <c r="E203" s="26" t="s">
        <v>62</v>
      </c>
      <c r="F203" s="27">
        <v>366206496</v>
      </c>
      <c r="G203" s="15">
        <v>1820</v>
      </c>
      <c r="H203" s="22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28.5" hidden="1" customHeight="1">
      <c r="A204" s="9"/>
      <c r="B204" s="29"/>
      <c r="C204" s="29"/>
      <c r="D204" s="29"/>
      <c r="E204" s="13" t="s">
        <v>97</v>
      </c>
      <c r="F204" s="13"/>
      <c r="G204" s="30">
        <v>0</v>
      </c>
      <c r="H204" s="16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.75" hidden="1" customHeight="1">
      <c r="A205" s="9"/>
      <c r="B205" s="17">
        <v>45671</v>
      </c>
      <c r="C205" s="18">
        <v>0</v>
      </c>
      <c r="D205" s="18">
        <v>14397</v>
      </c>
      <c r="E205" s="19" t="s">
        <v>57</v>
      </c>
      <c r="F205" s="20">
        <v>141015421760642</v>
      </c>
      <c r="G205" s="21">
        <v>289.97000000000003</v>
      </c>
      <c r="H205" s="22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28.5" hidden="1" customHeight="1">
      <c r="A206" s="9"/>
      <c r="B206" s="23"/>
      <c r="C206" s="23"/>
      <c r="D206" s="23"/>
      <c r="E206" s="24" t="s">
        <v>98</v>
      </c>
      <c r="F206" s="24"/>
      <c r="G206" s="25">
        <v>0</v>
      </c>
      <c r="H206" s="16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.75" hidden="1" customHeight="1">
      <c r="A207" s="9"/>
      <c r="B207" s="11">
        <v>45671</v>
      </c>
      <c r="C207" s="12">
        <v>0</v>
      </c>
      <c r="D207" s="12">
        <v>14397</v>
      </c>
      <c r="E207" s="26" t="s">
        <v>57</v>
      </c>
      <c r="F207" s="27">
        <v>368670903089141</v>
      </c>
      <c r="G207" s="15">
        <v>2600</v>
      </c>
      <c r="H207" s="22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28.5" hidden="1" customHeight="1">
      <c r="A208" s="9"/>
      <c r="B208" s="29"/>
      <c r="C208" s="29"/>
      <c r="D208" s="29"/>
      <c r="E208" s="13" t="s">
        <v>99</v>
      </c>
      <c r="F208" s="13"/>
      <c r="G208" s="30">
        <v>0</v>
      </c>
      <c r="H208" s="16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75" hidden="1" customHeight="1">
      <c r="A209" s="9"/>
      <c r="B209" s="17">
        <v>45671</v>
      </c>
      <c r="C209" s="18">
        <v>0</v>
      </c>
      <c r="D209" s="18">
        <v>14397</v>
      </c>
      <c r="E209" s="19" t="s">
        <v>57</v>
      </c>
      <c r="F209" s="20">
        <v>368763436661871</v>
      </c>
      <c r="G209" s="21">
        <v>127.82</v>
      </c>
      <c r="H209" s="22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28.5" hidden="1" customHeight="1">
      <c r="A210" s="9"/>
      <c r="B210" s="23"/>
      <c r="C210" s="23"/>
      <c r="D210" s="23"/>
      <c r="E210" s="24" t="s">
        <v>100</v>
      </c>
      <c r="F210" s="24"/>
      <c r="G210" s="25">
        <v>0</v>
      </c>
      <c r="H210" s="16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.75" hidden="1" customHeight="1">
      <c r="A211" s="9"/>
      <c r="B211" s="11">
        <v>45671</v>
      </c>
      <c r="C211" s="12">
        <v>1533</v>
      </c>
      <c r="D211" s="12">
        <v>99008</v>
      </c>
      <c r="E211" s="26" t="s">
        <v>29</v>
      </c>
      <c r="F211" s="27">
        <v>393275</v>
      </c>
      <c r="G211" s="28">
        <v>180.52</v>
      </c>
      <c r="H211" s="22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.75" hidden="1" customHeight="1">
      <c r="A212" s="9"/>
      <c r="B212" s="29"/>
      <c r="C212" s="29"/>
      <c r="D212" s="29"/>
      <c r="E212" s="13" t="s">
        <v>101</v>
      </c>
      <c r="F212" s="13"/>
      <c r="G212" s="30">
        <v>0</v>
      </c>
      <c r="H212" s="16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.75" hidden="1" customHeight="1">
      <c r="A213" s="9"/>
      <c r="B213" s="17">
        <v>45671</v>
      </c>
      <c r="C213" s="18">
        <v>0</v>
      </c>
      <c r="D213" s="18">
        <v>13105</v>
      </c>
      <c r="E213" s="19" t="s">
        <v>31</v>
      </c>
      <c r="F213" s="20">
        <v>11401</v>
      </c>
      <c r="G213" s="31">
        <v>42.08</v>
      </c>
      <c r="H213" s="22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75" hidden="1" customHeight="1">
      <c r="A214" s="9"/>
      <c r="B214" s="23"/>
      <c r="C214" s="23"/>
      <c r="D214" s="23"/>
      <c r="E214" s="24" t="s">
        <v>51</v>
      </c>
      <c r="F214" s="24"/>
      <c r="G214" s="25">
        <v>0</v>
      </c>
      <c r="H214" s="16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.75" hidden="1" customHeight="1">
      <c r="A215" s="9"/>
      <c r="B215" s="11">
        <v>45671</v>
      </c>
      <c r="C215" s="12">
        <v>0</v>
      </c>
      <c r="D215" s="12">
        <v>13105</v>
      </c>
      <c r="E215" s="26" t="s">
        <v>80</v>
      </c>
      <c r="F215" s="27">
        <v>11402</v>
      </c>
      <c r="G215" s="28">
        <v>968.73</v>
      </c>
      <c r="H215" s="22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75" hidden="1" customHeight="1">
      <c r="A216" s="9"/>
      <c r="B216" s="29"/>
      <c r="C216" s="29"/>
      <c r="D216" s="29"/>
      <c r="E216" s="13" t="s">
        <v>81</v>
      </c>
      <c r="F216" s="13"/>
      <c r="G216" s="30">
        <v>0</v>
      </c>
      <c r="H216" s="16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.75" hidden="1" customHeight="1">
      <c r="A217" s="9"/>
      <c r="B217" s="17">
        <v>45671</v>
      </c>
      <c r="C217" s="18">
        <v>0</v>
      </c>
      <c r="D217" s="18">
        <v>0</v>
      </c>
      <c r="E217" s="19" t="s">
        <v>59</v>
      </c>
      <c r="F217" s="20">
        <v>9903</v>
      </c>
      <c r="G217" s="31">
        <v>3646.46</v>
      </c>
      <c r="H217" s="22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 hidden="1" customHeight="1">
      <c r="A218" s="9"/>
      <c r="B218" s="23"/>
      <c r="C218" s="23"/>
      <c r="D218" s="23"/>
      <c r="E218" s="24" t="s">
        <v>53</v>
      </c>
      <c r="F218" s="24"/>
      <c r="G218" s="25">
        <v>0</v>
      </c>
      <c r="H218" s="16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.75" hidden="1" customHeight="1">
      <c r="A219" s="9"/>
      <c r="B219" s="11">
        <v>45672</v>
      </c>
      <c r="C219" s="12">
        <v>984</v>
      </c>
      <c r="D219" s="12">
        <v>99015</v>
      </c>
      <c r="E219" s="26" t="s">
        <v>27</v>
      </c>
      <c r="F219" s="27">
        <v>550984000036971</v>
      </c>
      <c r="G219" s="15">
        <v>11424</v>
      </c>
      <c r="H219" s="22" t="s">
        <v>102</v>
      </c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28.5" hidden="1" customHeight="1">
      <c r="A220" s="9"/>
      <c r="B220" s="29"/>
      <c r="C220" s="29"/>
      <c r="D220" s="29"/>
      <c r="E220" s="13" t="s">
        <v>103</v>
      </c>
      <c r="F220" s="13"/>
      <c r="G220" s="30">
        <v>0</v>
      </c>
      <c r="H220" s="16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hidden="1" customHeight="1">
      <c r="A221" s="9"/>
      <c r="B221" s="17">
        <v>45672</v>
      </c>
      <c r="C221" s="18">
        <v>0</v>
      </c>
      <c r="D221" s="18">
        <v>14397</v>
      </c>
      <c r="E221" s="19" t="s">
        <v>57</v>
      </c>
      <c r="F221" s="20">
        <v>369604701436391</v>
      </c>
      <c r="G221" s="21">
        <v>2000</v>
      </c>
      <c r="H221" s="22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28.5" hidden="1" customHeight="1">
      <c r="A222" s="9"/>
      <c r="B222" s="23"/>
      <c r="C222" s="23"/>
      <c r="D222" s="23"/>
      <c r="E222" s="24" t="s">
        <v>104</v>
      </c>
      <c r="F222" s="24"/>
      <c r="G222" s="25">
        <v>0</v>
      </c>
      <c r="H222" s="16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5.75" hidden="1" customHeight="1">
      <c r="A223" s="9"/>
      <c r="B223" s="11">
        <v>45672</v>
      </c>
      <c r="C223" s="12">
        <v>0</v>
      </c>
      <c r="D223" s="12">
        <v>14397</v>
      </c>
      <c r="E223" s="26" t="s">
        <v>57</v>
      </c>
      <c r="F223" s="27">
        <v>369690534136651</v>
      </c>
      <c r="G223" s="15">
        <v>178</v>
      </c>
      <c r="H223" s="22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28.5" hidden="1" customHeight="1">
      <c r="A224" s="9"/>
      <c r="B224" s="29"/>
      <c r="C224" s="29"/>
      <c r="D224" s="29"/>
      <c r="E224" s="13" t="s">
        <v>105</v>
      </c>
      <c r="F224" s="13"/>
      <c r="G224" s="30">
        <v>0</v>
      </c>
      <c r="H224" s="16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5.75" hidden="1" customHeight="1">
      <c r="A225" s="9"/>
      <c r="B225" s="17">
        <v>45672</v>
      </c>
      <c r="C225" s="18">
        <v>1533</v>
      </c>
      <c r="D225" s="18">
        <v>99008</v>
      </c>
      <c r="E225" s="19" t="s">
        <v>29</v>
      </c>
      <c r="F225" s="20">
        <v>681210</v>
      </c>
      <c r="G225" s="31">
        <v>181.53</v>
      </c>
      <c r="H225" s="22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5.75" hidden="1" customHeight="1">
      <c r="A226" s="9"/>
      <c r="B226" s="23"/>
      <c r="C226" s="23"/>
      <c r="D226" s="23"/>
      <c r="E226" s="24" t="s">
        <v>106</v>
      </c>
      <c r="F226" s="24"/>
      <c r="G226" s="25">
        <v>0</v>
      </c>
      <c r="H226" s="16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5.75" hidden="1" customHeight="1">
      <c r="A227" s="9"/>
      <c r="B227" s="11">
        <v>45672</v>
      </c>
      <c r="C227" s="12">
        <v>1533</v>
      </c>
      <c r="D227" s="12">
        <v>99008</v>
      </c>
      <c r="E227" s="26" t="s">
        <v>29</v>
      </c>
      <c r="F227" s="27">
        <v>810222</v>
      </c>
      <c r="G227" s="28">
        <v>172.83</v>
      </c>
      <c r="H227" s="22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5.75" hidden="1" customHeight="1">
      <c r="A228" s="9"/>
      <c r="B228" s="29"/>
      <c r="C228" s="29"/>
      <c r="D228" s="29"/>
      <c r="E228" s="13" t="s">
        <v>107</v>
      </c>
      <c r="F228" s="13"/>
      <c r="G228" s="30">
        <v>0</v>
      </c>
      <c r="H228" s="16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5.75" hidden="1" customHeight="1">
      <c r="A229" s="9"/>
      <c r="B229" s="17">
        <v>45672</v>
      </c>
      <c r="C229" s="18">
        <v>0</v>
      </c>
      <c r="D229" s="18">
        <v>13105</v>
      </c>
      <c r="E229" s="19" t="s">
        <v>34</v>
      </c>
      <c r="F229" s="20">
        <v>11501</v>
      </c>
      <c r="G229" s="31">
        <v>155.22</v>
      </c>
      <c r="H229" s="22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.75" hidden="1" customHeight="1">
      <c r="A230" s="9"/>
      <c r="B230" s="23"/>
      <c r="C230" s="23"/>
      <c r="D230" s="23"/>
      <c r="E230" s="24" t="s">
        <v>108</v>
      </c>
      <c r="F230" s="24"/>
      <c r="G230" s="25">
        <v>0</v>
      </c>
      <c r="H230" s="16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5.75" hidden="1" customHeight="1">
      <c r="A231" s="9"/>
      <c r="B231" s="11">
        <v>45672</v>
      </c>
      <c r="C231" s="12">
        <v>0</v>
      </c>
      <c r="D231" s="12">
        <v>13105</v>
      </c>
      <c r="E231" s="26" t="s">
        <v>31</v>
      </c>
      <c r="F231" s="27">
        <v>11502</v>
      </c>
      <c r="G231" s="28">
        <v>189.9</v>
      </c>
      <c r="H231" s="22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28.5" hidden="1" customHeight="1">
      <c r="A232" s="9"/>
      <c r="B232" s="29"/>
      <c r="C232" s="29"/>
      <c r="D232" s="29"/>
      <c r="E232" s="13" t="s">
        <v>70</v>
      </c>
      <c r="F232" s="13"/>
      <c r="G232" s="30">
        <v>0</v>
      </c>
      <c r="H232" s="16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5.75" hidden="1" customHeight="1">
      <c r="A233" s="9"/>
      <c r="B233" s="17">
        <v>45672</v>
      </c>
      <c r="C233" s="18">
        <v>0</v>
      </c>
      <c r="D233" s="18">
        <v>13105</v>
      </c>
      <c r="E233" s="19" t="s">
        <v>31</v>
      </c>
      <c r="F233" s="20">
        <v>11503</v>
      </c>
      <c r="G233" s="31">
        <v>692.36</v>
      </c>
      <c r="H233" s="22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5.75" hidden="1" customHeight="1">
      <c r="A234" s="9"/>
      <c r="B234" s="23"/>
      <c r="C234" s="23"/>
      <c r="D234" s="23"/>
      <c r="E234" s="24" t="s">
        <v>109</v>
      </c>
      <c r="F234" s="24"/>
      <c r="G234" s="25">
        <v>0</v>
      </c>
      <c r="H234" s="16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5.75" hidden="1" customHeight="1">
      <c r="A235" s="9"/>
      <c r="B235" s="11">
        <v>45672</v>
      </c>
      <c r="C235" s="12">
        <v>0</v>
      </c>
      <c r="D235" s="12">
        <v>13105</v>
      </c>
      <c r="E235" s="26" t="s">
        <v>31</v>
      </c>
      <c r="F235" s="27">
        <v>11504</v>
      </c>
      <c r="G235" s="28">
        <v>550.4</v>
      </c>
      <c r="H235" s="22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5.75" hidden="1" customHeight="1">
      <c r="A236" s="9"/>
      <c r="B236" s="29"/>
      <c r="C236" s="29"/>
      <c r="D236" s="29"/>
      <c r="E236" s="13" t="s">
        <v>44</v>
      </c>
      <c r="F236" s="13"/>
      <c r="G236" s="30">
        <v>0</v>
      </c>
      <c r="H236" s="16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5.75" hidden="1" customHeight="1">
      <c r="A237" s="9"/>
      <c r="B237" s="17">
        <v>45672</v>
      </c>
      <c r="C237" s="18">
        <v>0</v>
      </c>
      <c r="D237" s="18">
        <v>13105</v>
      </c>
      <c r="E237" s="19" t="s">
        <v>31</v>
      </c>
      <c r="F237" s="20">
        <v>11505</v>
      </c>
      <c r="G237" s="31">
        <v>364.18</v>
      </c>
      <c r="H237" s="22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28.5" hidden="1" customHeight="1">
      <c r="A238" s="9"/>
      <c r="B238" s="23"/>
      <c r="C238" s="23"/>
      <c r="D238" s="23"/>
      <c r="E238" s="24" t="s">
        <v>110</v>
      </c>
      <c r="F238" s="24"/>
      <c r="G238" s="25">
        <v>0</v>
      </c>
      <c r="H238" s="16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5.75" hidden="1" customHeight="1">
      <c r="A239" s="9"/>
      <c r="B239" s="11">
        <v>45672</v>
      </c>
      <c r="C239" s="12">
        <v>0</v>
      </c>
      <c r="D239" s="12">
        <v>13105</v>
      </c>
      <c r="E239" s="26" t="s">
        <v>31</v>
      </c>
      <c r="F239" s="27">
        <v>11506</v>
      </c>
      <c r="G239" s="28">
        <v>222.36</v>
      </c>
      <c r="H239" s="22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5.75" hidden="1" customHeight="1">
      <c r="A240" s="9"/>
      <c r="B240" s="29"/>
      <c r="C240" s="29"/>
      <c r="D240" s="29"/>
      <c r="E240" s="13" t="s">
        <v>111</v>
      </c>
      <c r="F240" s="13"/>
      <c r="G240" s="30">
        <v>0</v>
      </c>
      <c r="H240" s="16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5.75" hidden="1" customHeight="1">
      <c r="A241" s="9"/>
      <c r="B241" s="17">
        <v>45672</v>
      </c>
      <c r="C241" s="18">
        <v>0</v>
      </c>
      <c r="D241" s="18">
        <v>0</v>
      </c>
      <c r="E241" s="19" t="s">
        <v>59</v>
      </c>
      <c r="F241" s="20">
        <v>9903</v>
      </c>
      <c r="G241" s="31">
        <v>11073.22</v>
      </c>
      <c r="H241" s="22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5.75" hidden="1" customHeight="1">
      <c r="A242" s="9"/>
      <c r="B242" s="23"/>
      <c r="C242" s="23"/>
      <c r="D242" s="23"/>
      <c r="E242" s="24" t="s">
        <v>53</v>
      </c>
      <c r="F242" s="24"/>
      <c r="G242" s="25">
        <v>0</v>
      </c>
      <c r="H242" s="16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5.75" hidden="1" customHeight="1">
      <c r="A243" s="9"/>
      <c r="B243" s="11">
        <v>45673</v>
      </c>
      <c r="C243" s="12">
        <v>3525</v>
      </c>
      <c r="D243" s="12">
        <v>99021</v>
      </c>
      <c r="E243" s="26" t="s">
        <v>27</v>
      </c>
      <c r="F243" s="27">
        <v>613525000032047</v>
      </c>
      <c r="G243" s="15">
        <v>116.82</v>
      </c>
      <c r="H243" s="22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28.5" hidden="1" customHeight="1">
      <c r="A244" s="9"/>
      <c r="B244" s="29"/>
      <c r="C244" s="29"/>
      <c r="D244" s="29"/>
      <c r="E244" s="13" t="s">
        <v>112</v>
      </c>
      <c r="F244" s="13"/>
      <c r="G244" s="30">
        <v>0</v>
      </c>
      <c r="H244" s="16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5.75" hidden="1" customHeight="1">
      <c r="A245" s="9"/>
      <c r="B245" s="17">
        <v>45673</v>
      </c>
      <c r="C245" s="18">
        <v>0</v>
      </c>
      <c r="D245" s="18">
        <v>14397</v>
      </c>
      <c r="E245" s="19" t="s">
        <v>57</v>
      </c>
      <c r="F245" s="20">
        <v>370230727174591</v>
      </c>
      <c r="G245" s="21">
        <v>415.17</v>
      </c>
      <c r="H245" s="22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28.5" hidden="1" customHeight="1">
      <c r="A246" s="9"/>
      <c r="B246" s="23"/>
      <c r="C246" s="23"/>
      <c r="D246" s="23"/>
      <c r="E246" s="24" t="s">
        <v>113</v>
      </c>
      <c r="F246" s="24"/>
      <c r="G246" s="25">
        <v>0</v>
      </c>
      <c r="H246" s="16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5.75" hidden="1" customHeight="1">
      <c r="A247" s="9"/>
      <c r="B247" s="11">
        <v>45673</v>
      </c>
      <c r="C247" s="12">
        <v>0</v>
      </c>
      <c r="D247" s="12">
        <v>14397</v>
      </c>
      <c r="E247" s="26" t="s">
        <v>57</v>
      </c>
      <c r="F247" s="27">
        <v>370495141845511</v>
      </c>
      <c r="G247" s="15">
        <v>637.55999999999995</v>
      </c>
      <c r="H247" s="22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28.5" hidden="1" customHeight="1">
      <c r="A248" s="9"/>
      <c r="B248" s="29"/>
      <c r="C248" s="29"/>
      <c r="D248" s="29"/>
      <c r="E248" s="13" t="s">
        <v>114</v>
      </c>
      <c r="F248" s="13"/>
      <c r="G248" s="30">
        <v>0</v>
      </c>
      <c r="H248" s="16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.75" hidden="1" customHeight="1">
      <c r="A249" s="9"/>
      <c r="B249" s="17">
        <v>45673</v>
      </c>
      <c r="C249" s="18">
        <v>0</v>
      </c>
      <c r="D249" s="18">
        <v>13105</v>
      </c>
      <c r="E249" s="19" t="s">
        <v>80</v>
      </c>
      <c r="F249" s="20">
        <v>11601</v>
      </c>
      <c r="G249" s="31">
        <v>2147.9699999999998</v>
      </c>
      <c r="H249" s="22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5.75" hidden="1" customHeight="1">
      <c r="A250" s="9"/>
      <c r="B250" s="23"/>
      <c r="C250" s="23"/>
      <c r="D250" s="23"/>
      <c r="E250" s="24" t="s">
        <v>81</v>
      </c>
      <c r="F250" s="24"/>
      <c r="G250" s="25">
        <v>0</v>
      </c>
      <c r="H250" s="16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5.75" hidden="1" customHeight="1">
      <c r="A251" s="9"/>
      <c r="B251" s="11">
        <v>45673</v>
      </c>
      <c r="C251" s="12">
        <v>0</v>
      </c>
      <c r="D251" s="12">
        <v>13105</v>
      </c>
      <c r="E251" s="26" t="s">
        <v>80</v>
      </c>
      <c r="F251" s="27">
        <v>11602</v>
      </c>
      <c r="G251" s="28">
        <v>23.03</v>
      </c>
      <c r="H251" s="22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5.75" hidden="1" customHeight="1">
      <c r="A252" s="9"/>
      <c r="B252" s="29"/>
      <c r="C252" s="29"/>
      <c r="D252" s="29"/>
      <c r="E252" s="13" t="s">
        <v>81</v>
      </c>
      <c r="F252" s="13"/>
      <c r="G252" s="30">
        <v>0</v>
      </c>
      <c r="H252" s="16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5.75" hidden="1" customHeight="1">
      <c r="A253" s="9"/>
      <c r="B253" s="17">
        <v>45673</v>
      </c>
      <c r="C253" s="18">
        <v>0</v>
      </c>
      <c r="D253" s="18">
        <v>13105</v>
      </c>
      <c r="E253" s="19" t="s">
        <v>80</v>
      </c>
      <c r="F253" s="20">
        <v>11603</v>
      </c>
      <c r="G253" s="31">
        <v>57.1</v>
      </c>
      <c r="H253" s="22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5.75" hidden="1" customHeight="1">
      <c r="A254" s="9"/>
      <c r="B254" s="23"/>
      <c r="C254" s="23"/>
      <c r="D254" s="23"/>
      <c r="E254" s="24" t="s">
        <v>81</v>
      </c>
      <c r="F254" s="24"/>
      <c r="G254" s="25">
        <v>0</v>
      </c>
      <c r="H254" s="16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5.75" hidden="1" customHeight="1">
      <c r="A255" s="9"/>
      <c r="B255" s="11">
        <v>45673</v>
      </c>
      <c r="C255" s="12">
        <v>0</v>
      </c>
      <c r="D255" s="12">
        <v>13105</v>
      </c>
      <c r="E255" s="26" t="s">
        <v>80</v>
      </c>
      <c r="F255" s="27">
        <v>11604</v>
      </c>
      <c r="G255" s="28">
        <v>100.22</v>
      </c>
      <c r="H255" s="22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5.75" hidden="1" customHeight="1">
      <c r="A256" s="9"/>
      <c r="B256" s="29"/>
      <c r="C256" s="29"/>
      <c r="D256" s="29"/>
      <c r="E256" s="13" t="s">
        <v>81</v>
      </c>
      <c r="F256" s="13"/>
      <c r="G256" s="30">
        <v>0</v>
      </c>
      <c r="H256" s="16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.75" hidden="1" customHeight="1">
      <c r="A257" s="9"/>
      <c r="B257" s="17">
        <v>45673</v>
      </c>
      <c r="C257" s="18">
        <v>0</v>
      </c>
      <c r="D257" s="18">
        <v>13105</v>
      </c>
      <c r="E257" s="19" t="s">
        <v>80</v>
      </c>
      <c r="F257" s="20">
        <v>11605</v>
      </c>
      <c r="G257" s="31">
        <v>671.58</v>
      </c>
      <c r="H257" s="22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.75" hidden="1" customHeight="1">
      <c r="A258" s="9"/>
      <c r="B258" s="23"/>
      <c r="C258" s="23"/>
      <c r="D258" s="23"/>
      <c r="E258" s="24" t="s">
        <v>81</v>
      </c>
      <c r="F258" s="24"/>
      <c r="G258" s="25">
        <v>0</v>
      </c>
      <c r="H258" s="16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.75" hidden="1" customHeight="1">
      <c r="A259" s="9"/>
      <c r="B259" s="11">
        <v>45673</v>
      </c>
      <c r="C259" s="12">
        <v>0</v>
      </c>
      <c r="D259" s="12">
        <v>13105</v>
      </c>
      <c r="E259" s="26" t="s">
        <v>80</v>
      </c>
      <c r="F259" s="27">
        <v>11606</v>
      </c>
      <c r="G259" s="28">
        <v>1340.09</v>
      </c>
      <c r="H259" s="22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.75" hidden="1" customHeight="1">
      <c r="A260" s="9"/>
      <c r="B260" s="29"/>
      <c r="C260" s="29"/>
      <c r="D260" s="29"/>
      <c r="E260" s="13" t="s">
        <v>81</v>
      </c>
      <c r="F260" s="13"/>
      <c r="G260" s="30">
        <v>0</v>
      </c>
      <c r="H260" s="16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.75" hidden="1" customHeight="1">
      <c r="A261" s="9"/>
      <c r="B261" s="17">
        <v>45673</v>
      </c>
      <c r="C261" s="18">
        <v>0</v>
      </c>
      <c r="D261" s="18">
        <v>13105</v>
      </c>
      <c r="E261" s="19" t="s">
        <v>31</v>
      </c>
      <c r="F261" s="20">
        <v>11607</v>
      </c>
      <c r="G261" s="31">
        <v>112.89</v>
      </c>
      <c r="H261" s="22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.75" hidden="1" customHeight="1">
      <c r="A262" s="9"/>
      <c r="B262" s="23"/>
      <c r="C262" s="23"/>
      <c r="D262" s="23"/>
      <c r="E262" s="24" t="s">
        <v>109</v>
      </c>
      <c r="F262" s="24"/>
      <c r="G262" s="25">
        <v>0</v>
      </c>
      <c r="H262" s="16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.75" hidden="1" customHeight="1">
      <c r="A263" s="9"/>
      <c r="B263" s="11">
        <v>45673</v>
      </c>
      <c r="C263" s="12">
        <v>0</v>
      </c>
      <c r="D263" s="12">
        <v>13105</v>
      </c>
      <c r="E263" s="26" t="s">
        <v>31</v>
      </c>
      <c r="F263" s="27">
        <v>11608</v>
      </c>
      <c r="G263" s="28">
        <v>422.42</v>
      </c>
      <c r="H263" s="22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.75" hidden="1" customHeight="1">
      <c r="A264" s="9"/>
      <c r="B264" s="29"/>
      <c r="C264" s="29"/>
      <c r="D264" s="29"/>
      <c r="E264" s="13" t="s">
        <v>48</v>
      </c>
      <c r="F264" s="13"/>
      <c r="G264" s="30">
        <v>0</v>
      </c>
      <c r="H264" s="16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.75" hidden="1" customHeight="1">
      <c r="A265" s="9"/>
      <c r="B265" s="17">
        <v>45673</v>
      </c>
      <c r="C265" s="18">
        <v>0</v>
      </c>
      <c r="D265" s="18">
        <v>13105</v>
      </c>
      <c r="E265" s="19" t="s">
        <v>31</v>
      </c>
      <c r="F265" s="20">
        <v>11609</v>
      </c>
      <c r="G265" s="31">
        <v>207.3</v>
      </c>
      <c r="H265" s="22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.75" hidden="1" customHeight="1">
      <c r="A266" s="9"/>
      <c r="B266" s="23"/>
      <c r="C266" s="23"/>
      <c r="D266" s="23"/>
      <c r="E266" s="24" t="s">
        <v>51</v>
      </c>
      <c r="F266" s="24"/>
      <c r="G266" s="25">
        <v>0</v>
      </c>
      <c r="H266" s="16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.75" hidden="1" customHeight="1">
      <c r="A267" s="9"/>
      <c r="B267" s="11">
        <v>45673</v>
      </c>
      <c r="C267" s="12">
        <v>0</v>
      </c>
      <c r="D267" s="12">
        <v>13105</v>
      </c>
      <c r="E267" s="26" t="s">
        <v>80</v>
      </c>
      <c r="F267" s="27">
        <v>11610</v>
      </c>
      <c r="G267" s="28">
        <v>166.98</v>
      </c>
      <c r="H267" s="22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.75" hidden="1" customHeight="1">
      <c r="A268" s="9"/>
      <c r="B268" s="29"/>
      <c r="C268" s="29"/>
      <c r="D268" s="29"/>
      <c r="E268" s="13" t="s">
        <v>81</v>
      </c>
      <c r="F268" s="13"/>
      <c r="G268" s="30">
        <v>0</v>
      </c>
      <c r="H268" s="16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.75" hidden="1" customHeight="1">
      <c r="A269" s="9"/>
      <c r="B269" s="17">
        <v>45673</v>
      </c>
      <c r="C269" s="18">
        <v>0</v>
      </c>
      <c r="D269" s="18">
        <v>0</v>
      </c>
      <c r="E269" s="19" t="s">
        <v>52</v>
      </c>
      <c r="F269" s="20">
        <v>9903</v>
      </c>
      <c r="G269" s="21">
        <v>4080.03</v>
      </c>
      <c r="H269" s="22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.75" hidden="1" customHeight="1">
      <c r="A270" s="9"/>
      <c r="B270" s="23"/>
      <c r="C270" s="23"/>
      <c r="D270" s="23"/>
      <c r="E270" s="24" t="s">
        <v>53</v>
      </c>
      <c r="F270" s="24"/>
      <c r="G270" s="25">
        <v>0</v>
      </c>
      <c r="H270" s="16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.75" hidden="1" customHeight="1">
      <c r="A271" s="9"/>
      <c r="B271" s="11">
        <v>45674</v>
      </c>
      <c r="C271" s="12">
        <v>0</v>
      </c>
      <c r="D271" s="12">
        <v>14397</v>
      </c>
      <c r="E271" s="26" t="s">
        <v>57</v>
      </c>
      <c r="F271" s="27">
        <v>371429190089531</v>
      </c>
      <c r="G271" s="15">
        <v>150</v>
      </c>
      <c r="H271" s="22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28.5" hidden="1" customHeight="1">
      <c r="A272" s="9"/>
      <c r="B272" s="29"/>
      <c r="C272" s="29"/>
      <c r="D272" s="29"/>
      <c r="E272" s="13" t="s">
        <v>115</v>
      </c>
      <c r="F272" s="13"/>
      <c r="G272" s="30">
        <v>0</v>
      </c>
      <c r="H272" s="16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5.75" hidden="1" customHeight="1">
      <c r="A273" s="9"/>
      <c r="B273" s="17">
        <v>45674</v>
      </c>
      <c r="C273" s="18">
        <v>0</v>
      </c>
      <c r="D273" s="18">
        <v>13105</v>
      </c>
      <c r="E273" s="19" t="s">
        <v>31</v>
      </c>
      <c r="F273" s="20">
        <v>11701</v>
      </c>
      <c r="G273" s="31">
        <v>3216.46</v>
      </c>
      <c r="H273" s="22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28.5" hidden="1" customHeight="1">
      <c r="A274" s="9"/>
      <c r="B274" s="23"/>
      <c r="C274" s="23"/>
      <c r="D274" s="23"/>
      <c r="E274" s="24" t="s">
        <v>65</v>
      </c>
      <c r="F274" s="24"/>
      <c r="G274" s="25">
        <v>0</v>
      </c>
      <c r="H274" s="16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.75" hidden="1" customHeight="1">
      <c r="A275" s="9"/>
      <c r="B275" s="11">
        <v>45674</v>
      </c>
      <c r="C275" s="12">
        <v>0</v>
      </c>
      <c r="D275" s="12">
        <v>13105</v>
      </c>
      <c r="E275" s="26" t="s">
        <v>31</v>
      </c>
      <c r="F275" s="27">
        <v>11702</v>
      </c>
      <c r="G275" s="28">
        <v>2196.6999999999998</v>
      </c>
      <c r="H275" s="22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28.5" hidden="1" customHeight="1">
      <c r="A276" s="9"/>
      <c r="B276" s="29"/>
      <c r="C276" s="29"/>
      <c r="D276" s="29"/>
      <c r="E276" s="13" t="s">
        <v>65</v>
      </c>
      <c r="F276" s="13"/>
      <c r="G276" s="30">
        <v>0</v>
      </c>
      <c r="H276" s="16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.75" hidden="1" customHeight="1">
      <c r="A277" s="9"/>
      <c r="B277" s="17">
        <v>45674</v>
      </c>
      <c r="C277" s="18">
        <v>0</v>
      </c>
      <c r="D277" s="18">
        <v>13105</v>
      </c>
      <c r="E277" s="19" t="s">
        <v>31</v>
      </c>
      <c r="F277" s="20">
        <v>11703</v>
      </c>
      <c r="G277" s="31">
        <v>531.33000000000004</v>
      </c>
      <c r="H277" s="22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28.5" hidden="1" customHeight="1">
      <c r="A278" s="9"/>
      <c r="B278" s="23"/>
      <c r="C278" s="23"/>
      <c r="D278" s="23"/>
      <c r="E278" s="24" t="s">
        <v>45</v>
      </c>
      <c r="F278" s="24"/>
      <c r="G278" s="25">
        <v>0</v>
      </c>
      <c r="H278" s="16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5.75" hidden="1" customHeight="1">
      <c r="A279" s="9"/>
      <c r="B279" s="11">
        <v>45674</v>
      </c>
      <c r="C279" s="12">
        <v>0</v>
      </c>
      <c r="D279" s="12">
        <v>13105</v>
      </c>
      <c r="E279" s="26" t="s">
        <v>31</v>
      </c>
      <c r="F279" s="27">
        <v>11704</v>
      </c>
      <c r="G279" s="28">
        <v>134.22</v>
      </c>
      <c r="H279" s="22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.75" hidden="1" customHeight="1">
      <c r="A280" s="9"/>
      <c r="B280" s="29"/>
      <c r="C280" s="29"/>
      <c r="D280" s="29"/>
      <c r="E280" s="13" t="s">
        <v>38</v>
      </c>
      <c r="F280" s="13"/>
      <c r="G280" s="30">
        <v>0</v>
      </c>
      <c r="H280" s="16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5.75" hidden="1" customHeight="1">
      <c r="A281" s="9"/>
      <c r="B281" s="17">
        <v>45674</v>
      </c>
      <c r="C281" s="18">
        <v>0</v>
      </c>
      <c r="D281" s="18">
        <v>13105</v>
      </c>
      <c r="E281" s="19" t="s">
        <v>31</v>
      </c>
      <c r="F281" s="20">
        <v>11705</v>
      </c>
      <c r="G281" s="31">
        <v>446.22</v>
      </c>
      <c r="H281" s="22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.75" hidden="1" customHeight="1">
      <c r="A282" s="9"/>
      <c r="B282" s="23"/>
      <c r="C282" s="23"/>
      <c r="D282" s="23"/>
      <c r="E282" s="24" t="s">
        <v>109</v>
      </c>
      <c r="F282" s="24"/>
      <c r="G282" s="25">
        <v>0</v>
      </c>
      <c r="H282" s="16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.75" hidden="1" customHeight="1">
      <c r="A283" s="9"/>
      <c r="B283" s="11">
        <v>45674</v>
      </c>
      <c r="C283" s="12">
        <v>0</v>
      </c>
      <c r="D283" s="12">
        <v>0</v>
      </c>
      <c r="E283" s="26" t="s">
        <v>52</v>
      </c>
      <c r="F283" s="27">
        <v>9903</v>
      </c>
      <c r="G283" s="15">
        <v>6374.93</v>
      </c>
      <c r="H283" s="22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.75" hidden="1" customHeight="1">
      <c r="A284" s="9"/>
      <c r="B284" s="29"/>
      <c r="C284" s="29"/>
      <c r="D284" s="29"/>
      <c r="E284" s="13" t="s">
        <v>53</v>
      </c>
      <c r="F284" s="13"/>
      <c r="G284" s="30">
        <v>0</v>
      </c>
      <c r="H284" s="16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5.75" hidden="1" customHeight="1">
      <c r="A285" s="9"/>
      <c r="B285" s="17">
        <v>45677</v>
      </c>
      <c r="C285" s="18">
        <v>3525</v>
      </c>
      <c r="D285" s="18">
        <v>99021</v>
      </c>
      <c r="E285" s="19" t="s">
        <v>27</v>
      </c>
      <c r="F285" s="20">
        <v>613525000032047</v>
      </c>
      <c r="G285" s="21">
        <v>219.93</v>
      </c>
      <c r="H285" s="22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28.5" hidden="1" customHeight="1">
      <c r="A286" s="9"/>
      <c r="B286" s="23"/>
      <c r="C286" s="23"/>
      <c r="D286" s="23"/>
      <c r="E286" s="24" t="s">
        <v>116</v>
      </c>
      <c r="F286" s="24"/>
      <c r="G286" s="25">
        <v>0</v>
      </c>
      <c r="H286" s="16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5.75" hidden="1" customHeight="1">
      <c r="A287" s="9"/>
      <c r="B287" s="11">
        <v>45677</v>
      </c>
      <c r="C287" s="12">
        <v>0</v>
      </c>
      <c r="D287" s="12">
        <v>14175</v>
      </c>
      <c r="E287" s="26" t="s">
        <v>62</v>
      </c>
      <c r="F287" s="27">
        <v>366881140</v>
      </c>
      <c r="G287" s="15">
        <v>6500</v>
      </c>
      <c r="H287" s="22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28.5" hidden="1" customHeight="1">
      <c r="A288" s="9"/>
      <c r="B288" s="29"/>
      <c r="C288" s="29"/>
      <c r="D288" s="29"/>
      <c r="E288" s="13" t="s">
        <v>97</v>
      </c>
      <c r="F288" s="13"/>
      <c r="G288" s="30">
        <v>0</v>
      </c>
      <c r="H288" s="16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5.75" hidden="1" customHeight="1">
      <c r="A289" s="9"/>
      <c r="B289" s="17">
        <v>45677</v>
      </c>
      <c r="C289" s="18">
        <v>1533</v>
      </c>
      <c r="D289" s="18">
        <v>99008</v>
      </c>
      <c r="E289" s="19" t="s">
        <v>29</v>
      </c>
      <c r="F289" s="20">
        <v>458127</v>
      </c>
      <c r="G289" s="31">
        <v>290.31</v>
      </c>
      <c r="H289" s="22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.75" hidden="1" customHeight="1">
      <c r="A290" s="9"/>
      <c r="B290" s="23"/>
      <c r="C290" s="23"/>
      <c r="D290" s="23"/>
      <c r="E290" s="24" t="s">
        <v>117</v>
      </c>
      <c r="F290" s="24"/>
      <c r="G290" s="25">
        <v>0</v>
      </c>
      <c r="H290" s="16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.75" hidden="1" customHeight="1">
      <c r="A291" s="9"/>
      <c r="B291" s="11">
        <v>45677</v>
      </c>
      <c r="C291" s="12">
        <v>0</v>
      </c>
      <c r="D291" s="12">
        <v>13105</v>
      </c>
      <c r="E291" s="26" t="s">
        <v>118</v>
      </c>
      <c r="F291" s="27">
        <v>12001</v>
      </c>
      <c r="G291" s="28">
        <v>993.23</v>
      </c>
      <c r="H291" s="22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28.5" hidden="1" customHeight="1">
      <c r="A292" s="9"/>
      <c r="B292" s="29"/>
      <c r="C292" s="29"/>
      <c r="D292" s="29"/>
      <c r="E292" s="13" t="s">
        <v>119</v>
      </c>
      <c r="F292" s="13"/>
      <c r="G292" s="30">
        <v>0</v>
      </c>
      <c r="H292" s="16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.75" hidden="1" customHeight="1">
      <c r="A293" s="9"/>
      <c r="B293" s="17">
        <v>45677</v>
      </c>
      <c r="C293" s="18">
        <v>0</v>
      </c>
      <c r="D293" s="18">
        <v>13105</v>
      </c>
      <c r="E293" s="19" t="s">
        <v>118</v>
      </c>
      <c r="F293" s="20">
        <v>12002</v>
      </c>
      <c r="G293" s="31">
        <v>518.41</v>
      </c>
      <c r="H293" s="22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28.5" hidden="1" customHeight="1">
      <c r="A294" s="9"/>
      <c r="B294" s="23"/>
      <c r="C294" s="23"/>
      <c r="D294" s="23"/>
      <c r="E294" s="24" t="s">
        <v>120</v>
      </c>
      <c r="F294" s="24"/>
      <c r="G294" s="25">
        <v>0</v>
      </c>
      <c r="H294" s="16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5.75" hidden="1" customHeight="1">
      <c r="A295" s="9"/>
      <c r="B295" s="11">
        <v>45677</v>
      </c>
      <c r="C295" s="12">
        <v>0</v>
      </c>
      <c r="D295" s="12">
        <v>13105</v>
      </c>
      <c r="E295" s="26" t="s">
        <v>80</v>
      </c>
      <c r="F295" s="27">
        <v>12003</v>
      </c>
      <c r="G295" s="28">
        <v>554.13</v>
      </c>
      <c r="H295" s="22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5.75" hidden="1" customHeight="1">
      <c r="A296" s="9"/>
      <c r="B296" s="29"/>
      <c r="C296" s="29"/>
      <c r="D296" s="29"/>
      <c r="E296" s="13" t="s">
        <v>84</v>
      </c>
      <c r="F296" s="13"/>
      <c r="G296" s="30">
        <v>0</v>
      </c>
      <c r="H296" s="16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5.75" hidden="1" customHeight="1">
      <c r="A297" s="9"/>
      <c r="B297" s="17">
        <v>45677</v>
      </c>
      <c r="C297" s="18">
        <v>0</v>
      </c>
      <c r="D297" s="18">
        <v>13105</v>
      </c>
      <c r="E297" s="19" t="s">
        <v>80</v>
      </c>
      <c r="F297" s="20">
        <v>12004</v>
      </c>
      <c r="G297" s="31">
        <v>569.26</v>
      </c>
      <c r="H297" s="22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5.75" hidden="1" customHeight="1">
      <c r="A298" s="9"/>
      <c r="B298" s="23"/>
      <c r="C298" s="23"/>
      <c r="D298" s="23"/>
      <c r="E298" s="24" t="s">
        <v>81</v>
      </c>
      <c r="F298" s="24"/>
      <c r="G298" s="25">
        <v>0</v>
      </c>
      <c r="H298" s="16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5.75" hidden="1" customHeight="1">
      <c r="A299" s="9"/>
      <c r="B299" s="11">
        <v>45677</v>
      </c>
      <c r="C299" s="12">
        <v>0</v>
      </c>
      <c r="D299" s="12">
        <v>13105</v>
      </c>
      <c r="E299" s="26" t="s">
        <v>31</v>
      </c>
      <c r="F299" s="27">
        <v>12005</v>
      </c>
      <c r="G299" s="28">
        <v>364.31</v>
      </c>
      <c r="H299" s="22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5.75" hidden="1" customHeight="1">
      <c r="A300" s="9"/>
      <c r="B300" s="29"/>
      <c r="C300" s="29"/>
      <c r="D300" s="29"/>
      <c r="E300" s="13" t="s">
        <v>43</v>
      </c>
      <c r="F300" s="13"/>
      <c r="G300" s="30">
        <v>0</v>
      </c>
      <c r="H300" s="16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5.75" hidden="1" customHeight="1">
      <c r="A301" s="9"/>
      <c r="B301" s="17">
        <v>45677</v>
      </c>
      <c r="C301" s="18">
        <v>0</v>
      </c>
      <c r="D301" s="18">
        <v>13105</v>
      </c>
      <c r="E301" s="19" t="s">
        <v>31</v>
      </c>
      <c r="F301" s="20">
        <v>12006</v>
      </c>
      <c r="G301" s="31">
        <v>259.33999999999997</v>
      </c>
      <c r="H301" s="22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28.5" hidden="1" customHeight="1">
      <c r="A302" s="9"/>
      <c r="B302" s="23"/>
      <c r="C302" s="23"/>
      <c r="D302" s="23"/>
      <c r="E302" s="24" t="s">
        <v>45</v>
      </c>
      <c r="F302" s="24"/>
      <c r="G302" s="25">
        <v>0</v>
      </c>
      <c r="H302" s="16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.75" hidden="1" customHeight="1">
      <c r="A303" s="9"/>
      <c r="B303" s="11">
        <v>45677</v>
      </c>
      <c r="C303" s="12">
        <v>0</v>
      </c>
      <c r="D303" s="12">
        <v>13105</v>
      </c>
      <c r="E303" s="26" t="s">
        <v>31</v>
      </c>
      <c r="F303" s="27">
        <v>12007</v>
      </c>
      <c r="G303" s="28">
        <v>347.08</v>
      </c>
      <c r="H303" s="22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28.5" hidden="1" customHeight="1">
      <c r="A304" s="9"/>
      <c r="B304" s="29"/>
      <c r="C304" s="29"/>
      <c r="D304" s="29"/>
      <c r="E304" s="13" t="s">
        <v>45</v>
      </c>
      <c r="F304" s="13"/>
      <c r="G304" s="30">
        <v>0</v>
      </c>
      <c r="H304" s="16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5.75" hidden="1" customHeight="1">
      <c r="A305" s="9"/>
      <c r="B305" s="17">
        <v>45677</v>
      </c>
      <c r="C305" s="18">
        <v>0</v>
      </c>
      <c r="D305" s="18">
        <v>13105</v>
      </c>
      <c r="E305" s="19" t="s">
        <v>31</v>
      </c>
      <c r="F305" s="20">
        <v>12008</v>
      </c>
      <c r="G305" s="31">
        <v>781.15</v>
      </c>
      <c r="H305" s="22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5.75" hidden="1" customHeight="1">
      <c r="A306" s="9"/>
      <c r="B306" s="23"/>
      <c r="C306" s="23"/>
      <c r="D306" s="23"/>
      <c r="E306" s="24" t="s">
        <v>78</v>
      </c>
      <c r="F306" s="24"/>
      <c r="G306" s="25">
        <v>0</v>
      </c>
      <c r="H306" s="16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5.75" hidden="1" customHeight="1">
      <c r="A307" s="9"/>
      <c r="B307" s="11">
        <v>45677</v>
      </c>
      <c r="C307" s="12">
        <v>0</v>
      </c>
      <c r="D307" s="12">
        <v>13105</v>
      </c>
      <c r="E307" s="26" t="s">
        <v>31</v>
      </c>
      <c r="F307" s="27">
        <v>12009</v>
      </c>
      <c r="G307" s="28">
        <v>657.4</v>
      </c>
      <c r="H307" s="22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5.75" hidden="1" customHeight="1">
      <c r="A308" s="9"/>
      <c r="B308" s="29"/>
      <c r="C308" s="29"/>
      <c r="D308" s="29"/>
      <c r="E308" s="13" t="s">
        <v>46</v>
      </c>
      <c r="F308" s="13"/>
      <c r="G308" s="30">
        <v>0</v>
      </c>
      <c r="H308" s="16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5.75" hidden="1" customHeight="1">
      <c r="A309" s="9"/>
      <c r="B309" s="17">
        <v>45677</v>
      </c>
      <c r="C309" s="18">
        <v>0</v>
      </c>
      <c r="D309" s="18">
        <v>13105</v>
      </c>
      <c r="E309" s="19" t="s">
        <v>31</v>
      </c>
      <c r="F309" s="20">
        <v>12010</v>
      </c>
      <c r="G309" s="31">
        <v>1882.9</v>
      </c>
      <c r="H309" s="22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5.75" hidden="1" customHeight="1">
      <c r="A310" s="9"/>
      <c r="B310" s="23"/>
      <c r="C310" s="23"/>
      <c r="D310" s="23"/>
      <c r="E310" s="24" t="s">
        <v>121</v>
      </c>
      <c r="F310" s="24"/>
      <c r="G310" s="25">
        <v>0</v>
      </c>
      <c r="H310" s="16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5.75" hidden="1" customHeight="1">
      <c r="A311" s="9"/>
      <c r="B311" s="11">
        <v>45677</v>
      </c>
      <c r="C311" s="12">
        <v>0</v>
      </c>
      <c r="D311" s="12">
        <v>13105</v>
      </c>
      <c r="E311" s="26" t="s">
        <v>31</v>
      </c>
      <c r="F311" s="27">
        <v>12011</v>
      </c>
      <c r="G311" s="28">
        <v>1532.34</v>
      </c>
      <c r="H311" s="22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28.5" hidden="1" customHeight="1">
      <c r="A312" s="9"/>
      <c r="B312" s="29"/>
      <c r="C312" s="29"/>
      <c r="D312" s="29"/>
      <c r="E312" s="13" t="s">
        <v>122</v>
      </c>
      <c r="F312" s="13"/>
      <c r="G312" s="30">
        <v>0</v>
      </c>
      <c r="H312" s="16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5.75" hidden="1" customHeight="1">
      <c r="A313" s="9"/>
      <c r="B313" s="17">
        <v>45677</v>
      </c>
      <c r="C313" s="18">
        <v>0</v>
      </c>
      <c r="D313" s="18">
        <v>13105</v>
      </c>
      <c r="E313" s="19" t="s">
        <v>31</v>
      </c>
      <c r="F313" s="20">
        <v>12012</v>
      </c>
      <c r="G313" s="31">
        <v>246.8</v>
      </c>
      <c r="H313" s="22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28.5" hidden="1" customHeight="1">
      <c r="A314" s="9"/>
      <c r="B314" s="23"/>
      <c r="C314" s="23"/>
      <c r="D314" s="23"/>
      <c r="E314" s="24" t="s">
        <v>69</v>
      </c>
      <c r="F314" s="24"/>
      <c r="G314" s="25">
        <v>0</v>
      </c>
      <c r="H314" s="16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5.75" hidden="1" customHeight="1">
      <c r="A315" s="9"/>
      <c r="B315" s="11">
        <v>45677</v>
      </c>
      <c r="C315" s="12">
        <v>0</v>
      </c>
      <c r="D315" s="12">
        <v>13105</v>
      </c>
      <c r="E315" s="26" t="s">
        <v>31</v>
      </c>
      <c r="F315" s="27">
        <v>12013</v>
      </c>
      <c r="G315" s="28">
        <v>329</v>
      </c>
      <c r="H315" s="22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28.5" hidden="1" customHeight="1">
      <c r="A316" s="9"/>
      <c r="B316" s="29"/>
      <c r="C316" s="29"/>
      <c r="D316" s="29"/>
      <c r="E316" s="13" t="s">
        <v>110</v>
      </c>
      <c r="F316" s="13"/>
      <c r="G316" s="30">
        <v>0</v>
      </c>
      <c r="H316" s="16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5.75" hidden="1" customHeight="1">
      <c r="A317" s="9"/>
      <c r="B317" s="17">
        <v>45677</v>
      </c>
      <c r="C317" s="18">
        <v>0</v>
      </c>
      <c r="D317" s="18">
        <v>13105</v>
      </c>
      <c r="E317" s="19" t="s">
        <v>31</v>
      </c>
      <c r="F317" s="20">
        <v>12014</v>
      </c>
      <c r="G317" s="31">
        <v>270.58999999999997</v>
      </c>
      <c r="H317" s="22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28.5" hidden="1" customHeight="1">
      <c r="A318" s="9"/>
      <c r="B318" s="23"/>
      <c r="C318" s="23"/>
      <c r="D318" s="23"/>
      <c r="E318" s="24" t="s">
        <v>110</v>
      </c>
      <c r="F318" s="24"/>
      <c r="G318" s="25">
        <v>0</v>
      </c>
      <c r="H318" s="16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5.75" hidden="1" customHeight="1">
      <c r="A319" s="9"/>
      <c r="B319" s="11">
        <v>45677</v>
      </c>
      <c r="C319" s="12">
        <v>0</v>
      </c>
      <c r="D319" s="12">
        <v>13105</v>
      </c>
      <c r="E319" s="26" t="s">
        <v>31</v>
      </c>
      <c r="F319" s="27">
        <v>12015</v>
      </c>
      <c r="G319" s="28">
        <v>234.98</v>
      </c>
      <c r="H319" s="22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5.75" hidden="1" customHeight="1">
      <c r="A320" s="9"/>
      <c r="B320" s="29"/>
      <c r="C320" s="29"/>
      <c r="D320" s="29"/>
      <c r="E320" s="13" t="s">
        <v>109</v>
      </c>
      <c r="F320" s="13"/>
      <c r="G320" s="30">
        <v>0</v>
      </c>
      <c r="H320" s="16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5.75" hidden="1" customHeight="1">
      <c r="A321" s="9"/>
      <c r="B321" s="17">
        <v>45677</v>
      </c>
      <c r="C321" s="18">
        <v>0</v>
      </c>
      <c r="D321" s="18">
        <v>13105</v>
      </c>
      <c r="E321" s="19" t="s">
        <v>31</v>
      </c>
      <c r="F321" s="20">
        <v>12016</v>
      </c>
      <c r="G321" s="31">
        <v>233.77</v>
      </c>
      <c r="H321" s="22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5.75" hidden="1" customHeight="1">
      <c r="A322" s="9"/>
      <c r="B322" s="23"/>
      <c r="C322" s="23"/>
      <c r="D322" s="23"/>
      <c r="E322" s="24" t="s">
        <v>109</v>
      </c>
      <c r="F322" s="24"/>
      <c r="G322" s="25">
        <v>0</v>
      </c>
      <c r="H322" s="16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5.75" hidden="1" customHeight="1">
      <c r="A323" s="9"/>
      <c r="B323" s="11">
        <v>45677</v>
      </c>
      <c r="C323" s="12">
        <v>0</v>
      </c>
      <c r="D323" s="12">
        <v>13105</v>
      </c>
      <c r="E323" s="26" t="s">
        <v>123</v>
      </c>
      <c r="F323" s="27">
        <v>12017</v>
      </c>
      <c r="G323" s="28">
        <v>124.68</v>
      </c>
      <c r="H323" s="22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5.75" hidden="1" customHeight="1">
      <c r="A324" s="9"/>
      <c r="B324" s="29"/>
      <c r="C324" s="29"/>
      <c r="D324" s="29"/>
      <c r="E324" s="13" t="s">
        <v>124</v>
      </c>
      <c r="F324" s="13"/>
      <c r="G324" s="30">
        <v>0</v>
      </c>
      <c r="H324" s="16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5.75" hidden="1" customHeight="1">
      <c r="A325" s="9"/>
      <c r="B325" s="17">
        <v>45677</v>
      </c>
      <c r="C325" s="18">
        <v>0</v>
      </c>
      <c r="D325" s="18">
        <v>13105</v>
      </c>
      <c r="E325" s="19" t="s">
        <v>31</v>
      </c>
      <c r="F325" s="20">
        <v>12018</v>
      </c>
      <c r="G325" s="31">
        <v>102.76</v>
      </c>
      <c r="H325" s="22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5.75" hidden="1" customHeight="1">
      <c r="A326" s="9"/>
      <c r="B326" s="23"/>
      <c r="C326" s="23"/>
      <c r="D326" s="23"/>
      <c r="E326" s="24" t="s">
        <v>125</v>
      </c>
      <c r="F326" s="24"/>
      <c r="G326" s="25">
        <v>0</v>
      </c>
      <c r="H326" s="16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5.75" hidden="1" customHeight="1">
      <c r="A327" s="9"/>
      <c r="B327" s="11">
        <v>45677</v>
      </c>
      <c r="C327" s="12">
        <v>0</v>
      </c>
      <c r="D327" s="12">
        <v>13105</v>
      </c>
      <c r="E327" s="26" t="s">
        <v>31</v>
      </c>
      <c r="F327" s="27">
        <v>12019</v>
      </c>
      <c r="G327" s="28">
        <v>106.15</v>
      </c>
      <c r="H327" s="22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28.5" hidden="1" customHeight="1">
      <c r="A328" s="9"/>
      <c r="B328" s="29"/>
      <c r="C328" s="29"/>
      <c r="D328" s="29"/>
      <c r="E328" s="13" t="s">
        <v>126</v>
      </c>
      <c r="F328" s="13"/>
      <c r="G328" s="30">
        <v>0</v>
      </c>
      <c r="H328" s="16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5.75" hidden="1" customHeight="1">
      <c r="A329" s="9"/>
      <c r="B329" s="17">
        <v>45677</v>
      </c>
      <c r="C329" s="18">
        <v>0</v>
      </c>
      <c r="D329" s="18">
        <v>0</v>
      </c>
      <c r="E329" s="19" t="s">
        <v>52</v>
      </c>
      <c r="F329" s="20">
        <v>9903</v>
      </c>
      <c r="G329" s="21">
        <v>3678.66</v>
      </c>
      <c r="H329" s="22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5.75" hidden="1" customHeight="1">
      <c r="A330" s="9"/>
      <c r="B330" s="23"/>
      <c r="C330" s="23"/>
      <c r="D330" s="23"/>
      <c r="E330" s="24" t="s">
        <v>53</v>
      </c>
      <c r="F330" s="24"/>
      <c r="G330" s="25">
        <v>0</v>
      </c>
      <c r="H330" s="16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5.75" hidden="1" customHeight="1">
      <c r="A331" s="9"/>
      <c r="B331" s="11">
        <v>45678</v>
      </c>
      <c r="C331" s="12">
        <v>5072</v>
      </c>
      <c r="D331" s="12">
        <v>99021</v>
      </c>
      <c r="E331" s="26" t="s">
        <v>27</v>
      </c>
      <c r="F331" s="27">
        <v>615072000004700</v>
      </c>
      <c r="G331" s="15">
        <v>1379.74</v>
      </c>
      <c r="H331" s="22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5.75" hidden="1" customHeight="1">
      <c r="A332" s="9"/>
      <c r="B332" s="29"/>
      <c r="C332" s="29"/>
      <c r="D332" s="29"/>
      <c r="E332" s="13" t="s">
        <v>127</v>
      </c>
      <c r="F332" s="13"/>
      <c r="G332" s="30">
        <v>0</v>
      </c>
      <c r="H332" s="16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5.75" hidden="1" customHeight="1">
      <c r="A333" s="9"/>
      <c r="B333" s="17">
        <v>45678</v>
      </c>
      <c r="C333" s="18">
        <v>0</v>
      </c>
      <c r="D333" s="18">
        <v>14397</v>
      </c>
      <c r="E333" s="19" t="s">
        <v>57</v>
      </c>
      <c r="F333" s="20">
        <v>211450209374112</v>
      </c>
      <c r="G333" s="21">
        <v>4000</v>
      </c>
      <c r="H333" s="22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28.5" hidden="1" customHeight="1">
      <c r="A334" s="9"/>
      <c r="B334" s="23"/>
      <c r="C334" s="23"/>
      <c r="D334" s="23"/>
      <c r="E334" s="24" t="s">
        <v>128</v>
      </c>
      <c r="F334" s="24"/>
      <c r="G334" s="25">
        <v>0</v>
      </c>
      <c r="H334" s="16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5.75" hidden="1" customHeight="1">
      <c r="A335" s="9"/>
      <c r="B335" s="11">
        <v>45678</v>
      </c>
      <c r="C335" s="12">
        <v>0</v>
      </c>
      <c r="D335" s="12">
        <v>14397</v>
      </c>
      <c r="E335" s="26" t="s">
        <v>57</v>
      </c>
      <c r="F335" s="27">
        <v>374761988840851</v>
      </c>
      <c r="G335" s="15">
        <v>31.35</v>
      </c>
      <c r="H335" s="22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28.5" hidden="1" customHeight="1">
      <c r="A336" s="9"/>
      <c r="B336" s="29"/>
      <c r="C336" s="29"/>
      <c r="D336" s="29"/>
      <c r="E336" s="13" t="s">
        <v>129</v>
      </c>
      <c r="F336" s="13"/>
      <c r="G336" s="30">
        <v>0</v>
      </c>
      <c r="H336" s="16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5.75" hidden="1" customHeight="1">
      <c r="A337" s="9"/>
      <c r="B337" s="17">
        <v>45678</v>
      </c>
      <c r="C337" s="18">
        <v>0</v>
      </c>
      <c r="D337" s="18">
        <v>13105</v>
      </c>
      <c r="E337" s="19" t="s">
        <v>31</v>
      </c>
      <c r="F337" s="20">
        <v>12102</v>
      </c>
      <c r="G337" s="31">
        <v>128.9</v>
      </c>
      <c r="H337" s="22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5.75" hidden="1" customHeight="1">
      <c r="A338" s="9"/>
      <c r="B338" s="23"/>
      <c r="C338" s="23"/>
      <c r="D338" s="23"/>
      <c r="E338" s="24" t="s">
        <v>51</v>
      </c>
      <c r="F338" s="24"/>
      <c r="G338" s="25">
        <v>0</v>
      </c>
      <c r="H338" s="16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5.75" hidden="1" customHeight="1">
      <c r="A339" s="9"/>
      <c r="B339" s="11">
        <v>45678</v>
      </c>
      <c r="C339" s="12">
        <v>0</v>
      </c>
      <c r="D339" s="12">
        <v>13105</v>
      </c>
      <c r="E339" s="26" t="s">
        <v>80</v>
      </c>
      <c r="F339" s="27">
        <v>12103</v>
      </c>
      <c r="G339" s="28">
        <v>353.08</v>
      </c>
      <c r="H339" s="22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5.75" hidden="1" customHeight="1">
      <c r="A340" s="9"/>
      <c r="B340" s="29"/>
      <c r="C340" s="29"/>
      <c r="D340" s="29"/>
      <c r="E340" s="13" t="s">
        <v>81</v>
      </c>
      <c r="F340" s="13"/>
      <c r="G340" s="30">
        <v>0</v>
      </c>
      <c r="H340" s="16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5.75" hidden="1" customHeight="1">
      <c r="A341" s="9"/>
      <c r="B341" s="17">
        <v>45678</v>
      </c>
      <c r="C341" s="18">
        <v>0</v>
      </c>
      <c r="D341" s="18">
        <v>13105</v>
      </c>
      <c r="E341" s="19" t="s">
        <v>31</v>
      </c>
      <c r="F341" s="20">
        <v>12104</v>
      </c>
      <c r="G341" s="31">
        <v>762.87</v>
      </c>
      <c r="H341" s="22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5.75" hidden="1" customHeight="1">
      <c r="A342" s="9"/>
      <c r="B342" s="23"/>
      <c r="C342" s="23"/>
      <c r="D342" s="23"/>
      <c r="E342" s="24" t="s">
        <v>46</v>
      </c>
      <c r="F342" s="24"/>
      <c r="G342" s="25">
        <v>0</v>
      </c>
      <c r="H342" s="16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5.75" hidden="1" customHeight="1">
      <c r="A343" s="9"/>
      <c r="B343" s="11">
        <v>45678</v>
      </c>
      <c r="C343" s="12">
        <v>0</v>
      </c>
      <c r="D343" s="12">
        <v>0</v>
      </c>
      <c r="E343" s="26" t="s">
        <v>59</v>
      </c>
      <c r="F343" s="27">
        <v>9903</v>
      </c>
      <c r="G343" s="28">
        <v>4166.24</v>
      </c>
      <c r="H343" s="22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5.75" hidden="1" customHeight="1">
      <c r="A344" s="9"/>
      <c r="B344" s="29"/>
      <c r="C344" s="29"/>
      <c r="D344" s="29"/>
      <c r="E344" s="13" t="s">
        <v>53</v>
      </c>
      <c r="F344" s="13"/>
      <c r="G344" s="30">
        <v>0</v>
      </c>
      <c r="H344" s="16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5.75" hidden="1" customHeight="1">
      <c r="A345" s="9"/>
      <c r="B345" s="17">
        <v>45679</v>
      </c>
      <c r="C345" s="18">
        <v>0</v>
      </c>
      <c r="D345" s="18">
        <v>14397</v>
      </c>
      <c r="E345" s="19" t="s">
        <v>57</v>
      </c>
      <c r="F345" s="20">
        <v>221128110306462</v>
      </c>
      <c r="G345" s="21">
        <v>190.1</v>
      </c>
      <c r="H345" s="22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28.5" hidden="1" customHeight="1">
      <c r="A346" s="9"/>
      <c r="B346" s="23"/>
      <c r="C346" s="23"/>
      <c r="D346" s="23"/>
      <c r="E346" s="24" t="s">
        <v>130</v>
      </c>
      <c r="F346" s="24"/>
      <c r="G346" s="25">
        <v>0</v>
      </c>
      <c r="H346" s="16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5.75" hidden="1" customHeight="1">
      <c r="A347" s="9"/>
      <c r="B347" s="11">
        <v>45679</v>
      </c>
      <c r="C347" s="12">
        <v>0</v>
      </c>
      <c r="D347" s="12">
        <v>14397</v>
      </c>
      <c r="E347" s="26" t="s">
        <v>57</v>
      </c>
      <c r="F347" s="27">
        <v>221557149385402</v>
      </c>
      <c r="G347" s="15">
        <v>406</v>
      </c>
      <c r="H347" s="22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28.5" hidden="1" customHeight="1">
      <c r="A348" s="9"/>
      <c r="B348" s="29"/>
      <c r="C348" s="29"/>
      <c r="D348" s="29"/>
      <c r="E348" s="13" t="s">
        <v>131</v>
      </c>
      <c r="F348" s="13"/>
      <c r="G348" s="30">
        <v>0</v>
      </c>
      <c r="H348" s="16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5.75" hidden="1" customHeight="1">
      <c r="A349" s="9"/>
      <c r="B349" s="17">
        <v>45679</v>
      </c>
      <c r="C349" s="18">
        <v>0</v>
      </c>
      <c r="D349" s="18">
        <v>14397</v>
      </c>
      <c r="E349" s="19" t="s">
        <v>57</v>
      </c>
      <c r="F349" s="20">
        <v>375537975543661</v>
      </c>
      <c r="G349" s="21">
        <v>2000</v>
      </c>
      <c r="H349" s="22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28.5" hidden="1" customHeight="1">
      <c r="A350" s="9"/>
      <c r="B350" s="23"/>
      <c r="C350" s="23"/>
      <c r="D350" s="23"/>
      <c r="E350" s="24" t="s">
        <v>132</v>
      </c>
      <c r="F350" s="24"/>
      <c r="G350" s="25">
        <v>0</v>
      </c>
      <c r="H350" s="16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5.75" hidden="1" customHeight="1">
      <c r="A351" s="9"/>
      <c r="B351" s="11">
        <v>45679</v>
      </c>
      <c r="C351" s="12">
        <v>0</v>
      </c>
      <c r="D351" s="12">
        <v>14397</v>
      </c>
      <c r="E351" s="26" t="s">
        <v>57</v>
      </c>
      <c r="F351" s="27">
        <v>375641632662051</v>
      </c>
      <c r="G351" s="15">
        <v>1100</v>
      </c>
      <c r="H351" s="22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5.75" hidden="1" customHeight="1">
      <c r="A352" s="9"/>
      <c r="B352" s="29"/>
      <c r="C352" s="29"/>
      <c r="D352" s="29"/>
      <c r="E352" s="13" t="s">
        <v>133</v>
      </c>
      <c r="F352" s="13"/>
      <c r="G352" s="30">
        <v>0</v>
      </c>
      <c r="H352" s="16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.75" hidden="1" customHeight="1">
      <c r="A353" s="9"/>
      <c r="B353" s="17">
        <v>45679</v>
      </c>
      <c r="C353" s="18">
        <v>0</v>
      </c>
      <c r="D353" s="18">
        <v>14397</v>
      </c>
      <c r="E353" s="19" t="s">
        <v>57</v>
      </c>
      <c r="F353" s="20">
        <v>375643582142371</v>
      </c>
      <c r="G353" s="21">
        <v>900</v>
      </c>
      <c r="H353" s="22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5.75" hidden="1" customHeight="1">
      <c r="A354" s="9"/>
      <c r="B354" s="23"/>
      <c r="C354" s="23"/>
      <c r="D354" s="23"/>
      <c r="E354" s="24" t="s">
        <v>134</v>
      </c>
      <c r="F354" s="24"/>
      <c r="G354" s="25">
        <v>0</v>
      </c>
      <c r="H354" s="16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5.75" hidden="1" customHeight="1">
      <c r="A355" s="9"/>
      <c r="B355" s="11">
        <v>45679</v>
      </c>
      <c r="C355" s="12">
        <v>1533</v>
      </c>
      <c r="D355" s="12">
        <v>99008</v>
      </c>
      <c r="E355" s="26" t="s">
        <v>29</v>
      </c>
      <c r="F355" s="27">
        <v>278517</v>
      </c>
      <c r="G355" s="28">
        <v>220.85</v>
      </c>
      <c r="H355" s="22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.75" hidden="1" customHeight="1">
      <c r="A356" s="9"/>
      <c r="B356" s="29"/>
      <c r="C356" s="29"/>
      <c r="D356" s="29"/>
      <c r="E356" s="13" t="s">
        <v>135</v>
      </c>
      <c r="F356" s="13"/>
      <c r="G356" s="30">
        <v>0</v>
      </c>
      <c r="H356" s="16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.75" hidden="1" customHeight="1">
      <c r="A357" s="9"/>
      <c r="B357" s="17">
        <v>45679</v>
      </c>
      <c r="C357" s="18">
        <v>1533</v>
      </c>
      <c r="D357" s="18">
        <v>99008</v>
      </c>
      <c r="E357" s="19" t="s">
        <v>29</v>
      </c>
      <c r="F357" s="20">
        <v>385421</v>
      </c>
      <c r="G357" s="31">
        <v>182.11</v>
      </c>
      <c r="H357" s="22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5.75" hidden="1" customHeight="1">
      <c r="A358" s="9"/>
      <c r="B358" s="23"/>
      <c r="C358" s="23"/>
      <c r="D358" s="23"/>
      <c r="E358" s="24" t="s">
        <v>136</v>
      </c>
      <c r="F358" s="24"/>
      <c r="G358" s="25">
        <v>0</v>
      </c>
      <c r="H358" s="16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5.75" hidden="1" customHeight="1">
      <c r="A359" s="9"/>
      <c r="B359" s="11">
        <v>45679</v>
      </c>
      <c r="C359" s="12">
        <v>0</v>
      </c>
      <c r="D359" s="12">
        <v>13105</v>
      </c>
      <c r="E359" s="26" t="s">
        <v>31</v>
      </c>
      <c r="F359" s="27">
        <v>12201</v>
      </c>
      <c r="G359" s="28">
        <v>6328.77</v>
      </c>
      <c r="H359" s="22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5.75" hidden="1" customHeight="1">
      <c r="A360" s="9"/>
      <c r="B360" s="29"/>
      <c r="C360" s="29"/>
      <c r="D360" s="29"/>
      <c r="E360" s="13" t="s">
        <v>95</v>
      </c>
      <c r="F360" s="13"/>
      <c r="G360" s="30">
        <v>0</v>
      </c>
      <c r="H360" s="16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.75" hidden="1" customHeight="1">
      <c r="A361" s="9"/>
      <c r="B361" s="17">
        <v>45679</v>
      </c>
      <c r="C361" s="18">
        <v>0</v>
      </c>
      <c r="D361" s="18">
        <v>13105</v>
      </c>
      <c r="E361" s="19" t="s">
        <v>31</v>
      </c>
      <c r="F361" s="20">
        <v>12202</v>
      </c>
      <c r="G361" s="31">
        <v>1174.03</v>
      </c>
      <c r="H361" s="22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.75" hidden="1" customHeight="1">
      <c r="A362" s="9"/>
      <c r="B362" s="23"/>
      <c r="C362" s="23"/>
      <c r="D362" s="23"/>
      <c r="E362" s="24" t="s">
        <v>46</v>
      </c>
      <c r="F362" s="24"/>
      <c r="G362" s="25">
        <v>0</v>
      </c>
      <c r="H362" s="16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5.75" hidden="1" customHeight="1">
      <c r="A363" s="9"/>
      <c r="B363" s="11">
        <v>45679</v>
      </c>
      <c r="C363" s="12">
        <v>0</v>
      </c>
      <c r="D363" s="12">
        <v>13105</v>
      </c>
      <c r="E363" s="26" t="s">
        <v>31</v>
      </c>
      <c r="F363" s="27">
        <v>12203</v>
      </c>
      <c r="G363" s="28">
        <v>236.76</v>
      </c>
      <c r="H363" s="22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.75" hidden="1" customHeight="1">
      <c r="A364" s="9"/>
      <c r="B364" s="29"/>
      <c r="C364" s="29"/>
      <c r="D364" s="29"/>
      <c r="E364" s="13" t="s">
        <v>45</v>
      </c>
      <c r="F364" s="13"/>
      <c r="G364" s="30">
        <v>0</v>
      </c>
      <c r="H364" s="16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.75" hidden="1" customHeight="1">
      <c r="A365" s="9"/>
      <c r="B365" s="17">
        <v>45679</v>
      </c>
      <c r="C365" s="18">
        <v>0</v>
      </c>
      <c r="D365" s="18">
        <v>13105</v>
      </c>
      <c r="E365" s="19" t="s">
        <v>31</v>
      </c>
      <c r="F365" s="20">
        <v>12204</v>
      </c>
      <c r="G365" s="31">
        <v>241.75</v>
      </c>
      <c r="H365" s="22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.75" hidden="1" customHeight="1">
      <c r="A366" s="9"/>
      <c r="B366" s="23"/>
      <c r="C366" s="23"/>
      <c r="D366" s="23"/>
      <c r="E366" s="24" t="s">
        <v>45</v>
      </c>
      <c r="F366" s="24"/>
      <c r="G366" s="25">
        <v>0</v>
      </c>
      <c r="H366" s="16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.75" hidden="1" customHeight="1">
      <c r="A367" s="9"/>
      <c r="B367" s="11">
        <v>45679</v>
      </c>
      <c r="C367" s="12">
        <v>0</v>
      </c>
      <c r="D367" s="12">
        <v>13105</v>
      </c>
      <c r="E367" s="26" t="s">
        <v>31</v>
      </c>
      <c r="F367" s="27">
        <v>12205</v>
      </c>
      <c r="G367" s="28">
        <v>327.68</v>
      </c>
      <c r="H367" s="22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.75" hidden="1" customHeight="1">
      <c r="A368" s="9"/>
      <c r="B368" s="29"/>
      <c r="C368" s="29"/>
      <c r="D368" s="29"/>
      <c r="E368" s="13" t="s">
        <v>69</v>
      </c>
      <c r="F368" s="13"/>
      <c r="G368" s="30">
        <v>0</v>
      </c>
      <c r="H368" s="16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5.75" hidden="1" customHeight="1">
      <c r="A369" s="9"/>
      <c r="B369" s="17">
        <v>45679</v>
      </c>
      <c r="C369" s="18">
        <v>0</v>
      </c>
      <c r="D369" s="18">
        <v>0</v>
      </c>
      <c r="E369" s="19" t="s">
        <v>52</v>
      </c>
      <c r="F369" s="20">
        <v>9903</v>
      </c>
      <c r="G369" s="21">
        <v>4115.8500000000004</v>
      </c>
      <c r="H369" s="22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.75" hidden="1" customHeight="1">
      <c r="A370" s="9"/>
      <c r="B370" s="23"/>
      <c r="C370" s="23"/>
      <c r="D370" s="23"/>
      <c r="E370" s="24" t="s">
        <v>53</v>
      </c>
      <c r="F370" s="24"/>
      <c r="G370" s="25">
        <v>0</v>
      </c>
      <c r="H370" s="16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5.75" hidden="1" customHeight="1">
      <c r="A371" s="9"/>
      <c r="B371" s="11">
        <v>45680</v>
      </c>
      <c r="C371" s="12">
        <v>0</v>
      </c>
      <c r="D371" s="12">
        <v>14397</v>
      </c>
      <c r="E371" s="26" t="s">
        <v>57</v>
      </c>
      <c r="F371" s="27">
        <v>230948493200852</v>
      </c>
      <c r="G371" s="15">
        <v>4025</v>
      </c>
      <c r="H371" s="22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.75" hidden="1" customHeight="1">
      <c r="A372" s="9"/>
      <c r="B372" s="29"/>
      <c r="C372" s="29"/>
      <c r="D372" s="29"/>
      <c r="E372" s="13" t="s">
        <v>137</v>
      </c>
      <c r="F372" s="13"/>
      <c r="G372" s="30">
        <v>0</v>
      </c>
      <c r="H372" s="16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5.75" hidden="1" customHeight="1">
      <c r="A373" s="9"/>
      <c r="B373" s="17">
        <v>45680</v>
      </c>
      <c r="C373" s="18">
        <v>1533</v>
      </c>
      <c r="D373" s="18">
        <v>99008</v>
      </c>
      <c r="E373" s="19" t="s">
        <v>29</v>
      </c>
      <c r="F373" s="20">
        <v>114409</v>
      </c>
      <c r="G373" s="31">
        <v>96.92</v>
      </c>
      <c r="H373" s="22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.75" hidden="1" customHeight="1">
      <c r="A374" s="9"/>
      <c r="B374" s="23"/>
      <c r="C374" s="23"/>
      <c r="D374" s="23"/>
      <c r="E374" s="24" t="s">
        <v>138</v>
      </c>
      <c r="F374" s="24"/>
      <c r="G374" s="25">
        <v>0</v>
      </c>
      <c r="H374" s="16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5.75" hidden="1" customHeight="1">
      <c r="A375" s="9"/>
      <c r="B375" s="11">
        <v>45680</v>
      </c>
      <c r="C375" s="12">
        <v>0</v>
      </c>
      <c r="D375" s="12">
        <v>13105</v>
      </c>
      <c r="E375" s="26" t="s">
        <v>31</v>
      </c>
      <c r="F375" s="27">
        <v>12301</v>
      </c>
      <c r="G375" s="28">
        <v>3773.29</v>
      </c>
      <c r="H375" s="22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.75" hidden="1" customHeight="1">
      <c r="A376" s="9"/>
      <c r="B376" s="29"/>
      <c r="C376" s="29"/>
      <c r="D376" s="29"/>
      <c r="E376" s="13" t="s">
        <v>139</v>
      </c>
      <c r="F376" s="13"/>
      <c r="G376" s="30">
        <v>0</v>
      </c>
      <c r="H376" s="16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5.75" hidden="1" customHeight="1">
      <c r="A377" s="9"/>
      <c r="B377" s="17">
        <v>45680</v>
      </c>
      <c r="C377" s="18">
        <v>0</v>
      </c>
      <c r="D377" s="18">
        <v>13105</v>
      </c>
      <c r="E377" s="19" t="s">
        <v>31</v>
      </c>
      <c r="F377" s="20">
        <v>12302</v>
      </c>
      <c r="G377" s="31">
        <v>388.75</v>
      </c>
      <c r="H377" s="22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.75" hidden="1" customHeight="1">
      <c r="A378" s="9"/>
      <c r="B378" s="23"/>
      <c r="C378" s="23"/>
      <c r="D378" s="23"/>
      <c r="E378" s="24" t="s">
        <v>45</v>
      </c>
      <c r="F378" s="24"/>
      <c r="G378" s="25">
        <v>0</v>
      </c>
      <c r="H378" s="16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5.75" hidden="1" customHeight="1">
      <c r="A379" s="9"/>
      <c r="B379" s="11">
        <v>45680</v>
      </c>
      <c r="C379" s="12">
        <v>0</v>
      </c>
      <c r="D379" s="12">
        <v>13105</v>
      </c>
      <c r="E379" s="26" t="s">
        <v>31</v>
      </c>
      <c r="F379" s="27">
        <v>12303</v>
      </c>
      <c r="G379" s="28">
        <v>311.27999999999997</v>
      </c>
      <c r="H379" s="22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.75" hidden="1" customHeight="1">
      <c r="A380" s="9"/>
      <c r="B380" s="29"/>
      <c r="C380" s="29"/>
      <c r="D380" s="29"/>
      <c r="E380" s="13" t="s">
        <v>69</v>
      </c>
      <c r="F380" s="13"/>
      <c r="G380" s="30">
        <v>0</v>
      </c>
      <c r="H380" s="16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.75" hidden="1" customHeight="1">
      <c r="A381" s="9"/>
      <c r="B381" s="17">
        <v>45680</v>
      </c>
      <c r="C381" s="18">
        <v>0</v>
      </c>
      <c r="D381" s="18">
        <v>0</v>
      </c>
      <c r="E381" s="19" t="s">
        <v>52</v>
      </c>
      <c r="F381" s="20">
        <v>9903</v>
      </c>
      <c r="G381" s="21">
        <v>545.24</v>
      </c>
      <c r="H381" s="22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.75" hidden="1" customHeight="1">
      <c r="A382" s="9"/>
      <c r="B382" s="23"/>
      <c r="C382" s="23"/>
      <c r="D382" s="23"/>
      <c r="E382" s="24" t="s">
        <v>53</v>
      </c>
      <c r="F382" s="24"/>
      <c r="G382" s="25">
        <v>0</v>
      </c>
      <c r="H382" s="32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.75" customHeight="1">
      <c r="A383" s="33" t="s">
        <v>140</v>
      </c>
      <c r="B383" s="34">
        <v>45681</v>
      </c>
      <c r="C383" s="35">
        <v>0</v>
      </c>
      <c r="D383" s="35">
        <v>14138</v>
      </c>
      <c r="E383" s="36" t="s">
        <v>141</v>
      </c>
      <c r="F383" s="37">
        <v>202501230005749</v>
      </c>
      <c r="G383" s="38">
        <v>716.28</v>
      </c>
      <c r="H383" s="39" t="s">
        <v>142</v>
      </c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" hidden="1" customHeight="1">
      <c r="A384" s="9"/>
      <c r="B384" s="29"/>
      <c r="C384" s="29"/>
      <c r="D384" s="29"/>
      <c r="E384" s="13" t="s">
        <v>143</v>
      </c>
      <c r="F384" s="13"/>
      <c r="G384" s="30">
        <v>0</v>
      </c>
      <c r="H384" s="40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5.75" customHeight="1">
      <c r="A385" s="33" t="s">
        <v>140</v>
      </c>
      <c r="B385" s="41">
        <v>45681</v>
      </c>
      <c r="C385" s="42">
        <v>0</v>
      </c>
      <c r="D385" s="42">
        <v>14138</v>
      </c>
      <c r="E385" s="43" t="s">
        <v>141</v>
      </c>
      <c r="F385" s="44">
        <v>202501230012057</v>
      </c>
      <c r="G385" s="45">
        <v>1668.08</v>
      </c>
      <c r="H385" s="39" t="s">
        <v>142</v>
      </c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.75" hidden="1" customHeight="1">
      <c r="A386" s="9"/>
      <c r="B386" s="23"/>
      <c r="C386" s="23"/>
      <c r="D386" s="23"/>
      <c r="E386" s="24" t="s">
        <v>143</v>
      </c>
      <c r="F386" s="24"/>
      <c r="G386" s="25">
        <v>0</v>
      </c>
      <c r="H386" s="40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5.75" customHeight="1">
      <c r="A387" s="33" t="s">
        <v>140</v>
      </c>
      <c r="B387" s="34">
        <v>45681</v>
      </c>
      <c r="C387" s="35">
        <v>0</v>
      </c>
      <c r="D387" s="35">
        <v>14138</v>
      </c>
      <c r="E387" s="36" t="s">
        <v>141</v>
      </c>
      <c r="F387" s="37">
        <v>202501230012059</v>
      </c>
      <c r="G387" s="38">
        <v>471.24</v>
      </c>
      <c r="H387" s="39" t="s">
        <v>142</v>
      </c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.75" hidden="1" customHeight="1">
      <c r="A388" s="9"/>
      <c r="B388" s="29"/>
      <c r="C388" s="29"/>
      <c r="D388" s="29"/>
      <c r="E388" s="13" t="s">
        <v>143</v>
      </c>
      <c r="F388" s="13"/>
      <c r="G388" s="30">
        <v>0</v>
      </c>
      <c r="H388" s="40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5.75" customHeight="1">
      <c r="A389" s="33" t="s">
        <v>140</v>
      </c>
      <c r="B389" s="41">
        <v>45681</v>
      </c>
      <c r="C389" s="42">
        <v>0</v>
      </c>
      <c r="D389" s="42">
        <v>14138</v>
      </c>
      <c r="E389" s="43" t="s">
        <v>141</v>
      </c>
      <c r="F389" s="44">
        <v>202501230012065</v>
      </c>
      <c r="G389" s="45">
        <v>1232.8399999999999</v>
      </c>
      <c r="H389" s="46" t="s">
        <v>142</v>
      </c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.75" hidden="1" customHeight="1">
      <c r="A390" s="9"/>
      <c r="B390" s="23"/>
      <c r="C390" s="23"/>
      <c r="D390" s="23"/>
      <c r="E390" s="24" t="s">
        <v>143</v>
      </c>
      <c r="F390" s="24"/>
      <c r="G390" s="25">
        <v>0</v>
      </c>
      <c r="H390" s="40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5.75" customHeight="1">
      <c r="A391" s="33" t="s">
        <v>140</v>
      </c>
      <c r="B391" s="34">
        <v>45681</v>
      </c>
      <c r="C391" s="35">
        <v>0</v>
      </c>
      <c r="D391" s="35">
        <v>14138</v>
      </c>
      <c r="E391" s="36" t="s">
        <v>141</v>
      </c>
      <c r="F391" s="37">
        <v>202501230012078</v>
      </c>
      <c r="G391" s="38">
        <v>1315.28</v>
      </c>
      <c r="H391" s="39" t="s">
        <v>144</v>
      </c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.75" hidden="1" customHeight="1">
      <c r="A392" s="9"/>
      <c r="B392" s="29"/>
      <c r="C392" s="29"/>
      <c r="D392" s="29"/>
      <c r="E392" s="13" t="s">
        <v>143</v>
      </c>
      <c r="F392" s="13"/>
      <c r="G392" s="30">
        <v>0</v>
      </c>
      <c r="H392" s="40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5.75" customHeight="1">
      <c r="A393" s="33" t="s">
        <v>140</v>
      </c>
      <c r="B393" s="41">
        <v>45681</v>
      </c>
      <c r="C393" s="42">
        <v>0</v>
      </c>
      <c r="D393" s="42">
        <v>14138</v>
      </c>
      <c r="E393" s="43" t="s">
        <v>141</v>
      </c>
      <c r="F393" s="44">
        <v>202501230012080</v>
      </c>
      <c r="G393" s="45">
        <v>1668.08</v>
      </c>
      <c r="H393" s="39" t="s">
        <v>145</v>
      </c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.75" hidden="1" customHeight="1">
      <c r="A394" s="9"/>
      <c r="B394" s="23"/>
      <c r="C394" s="23"/>
      <c r="D394" s="23"/>
      <c r="E394" s="24" t="s">
        <v>143</v>
      </c>
      <c r="F394" s="24"/>
      <c r="G394" s="25">
        <v>0</v>
      </c>
      <c r="H394" s="40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.75" customHeight="1">
      <c r="A395" s="33" t="s">
        <v>140</v>
      </c>
      <c r="B395" s="34">
        <v>45681</v>
      </c>
      <c r="C395" s="35">
        <v>0</v>
      </c>
      <c r="D395" s="35">
        <v>14138</v>
      </c>
      <c r="E395" s="36" t="s">
        <v>141</v>
      </c>
      <c r="F395" s="37">
        <v>202501230012082</v>
      </c>
      <c r="G395" s="38">
        <v>4593.0200000000004</v>
      </c>
      <c r="H395" s="39" t="s">
        <v>146</v>
      </c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.75" hidden="1" customHeight="1">
      <c r="A396" s="9"/>
      <c r="B396" s="29"/>
      <c r="C396" s="29"/>
      <c r="D396" s="29"/>
      <c r="E396" s="13" t="s">
        <v>143</v>
      </c>
      <c r="F396" s="13"/>
      <c r="G396" s="30">
        <v>0</v>
      </c>
      <c r="H396" s="40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5.75" customHeight="1">
      <c r="A397" s="33" t="s">
        <v>140</v>
      </c>
      <c r="B397" s="41">
        <v>45681</v>
      </c>
      <c r="C397" s="42">
        <v>0</v>
      </c>
      <c r="D397" s="42">
        <v>14138</v>
      </c>
      <c r="E397" s="43" t="s">
        <v>141</v>
      </c>
      <c r="F397" s="44">
        <v>202501230012084</v>
      </c>
      <c r="G397" s="45">
        <v>1668.08</v>
      </c>
      <c r="H397" s="47" t="s">
        <v>147</v>
      </c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.75" hidden="1" customHeight="1">
      <c r="A398" s="9"/>
      <c r="B398" s="23"/>
      <c r="C398" s="23"/>
      <c r="D398" s="23"/>
      <c r="E398" s="24" t="s">
        <v>143</v>
      </c>
      <c r="F398" s="24"/>
      <c r="G398" s="25">
        <v>0</v>
      </c>
      <c r="H398" s="48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5.75" hidden="1" customHeight="1">
      <c r="A399" s="9"/>
      <c r="B399" s="11">
        <v>45681</v>
      </c>
      <c r="C399" s="12">
        <v>0</v>
      </c>
      <c r="D399" s="12">
        <v>14397</v>
      </c>
      <c r="E399" s="26" t="s">
        <v>57</v>
      </c>
      <c r="F399" s="27">
        <v>241136561382172</v>
      </c>
      <c r="G399" s="15">
        <v>30000</v>
      </c>
      <c r="H399" s="22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28.5" hidden="1" customHeight="1">
      <c r="A400" s="9"/>
      <c r="B400" s="29"/>
      <c r="C400" s="29"/>
      <c r="D400" s="29"/>
      <c r="E400" s="13" t="s">
        <v>148</v>
      </c>
      <c r="F400" s="13"/>
      <c r="G400" s="30">
        <v>0</v>
      </c>
      <c r="H400" s="16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.75" hidden="1" customHeight="1">
      <c r="A401" s="9"/>
      <c r="B401" s="17">
        <v>45681</v>
      </c>
      <c r="C401" s="18">
        <v>0</v>
      </c>
      <c r="D401" s="18">
        <v>14397</v>
      </c>
      <c r="E401" s="19" t="s">
        <v>57</v>
      </c>
      <c r="F401" s="20">
        <v>241147215479602</v>
      </c>
      <c r="G401" s="21">
        <v>2000</v>
      </c>
      <c r="H401" s="22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28.5" hidden="1" customHeight="1">
      <c r="A402" s="9"/>
      <c r="B402" s="23"/>
      <c r="C402" s="23"/>
      <c r="D402" s="23"/>
      <c r="E402" s="24" t="s">
        <v>149</v>
      </c>
      <c r="F402" s="24"/>
      <c r="G402" s="25">
        <v>0</v>
      </c>
      <c r="H402" s="16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.75" hidden="1" customHeight="1">
      <c r="A403" s="9"/>
      <c r="B403" s="11">
        <v>45681</v>
      </c>
      <c r="C403" s="12">
        <v>0</v>
      </c>
      <c r="D403" s="12">
        <v>14397</v>
      </c>
      <c r="E403" s="26" t="s">
        <v>57</v>
      </c>
      <c r="F403" s="27">
        <v>242351397921542</v>
      </c>
      <c r="G403" s="15">
        <v>438.75</v>
      </c>
      <c r="H403" s="22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28.5" hidden="1" customHeight="1">
      <c r="A404" s="9"/>
      <c r="B404" s="29"/>
      <c r="C404" s="29"/>
      <c r="D404" s="29"/>
      <c r="E404" s="13" t="s">
        <v>150</v>
      </c>
      <c r="F404" s="13"/>
      <c r="G404" s="30">
        <v>0</v>
      </c>
      <c r="H404" s="16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5.75" hidden="1" customHeight="1">
      <c r="A405" s="9"/>
      <c r="B405" s="17">
        <v>45681</v>
      </c>
      <c r="C405" s="18">
        <v>0</v>
      </c>
      <c r="D405" s="18">
        <v>14397</v>
      </c>
      <c r="E405" s="19" t="s">
        <v>57</v>
      </c>
      <c r="F405" s="20">
        <v>377229792557591</v>
      </c>
      <c r="G405" s="21">
        <v>13500</v>
      </c>
      <c r="H405" s="22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28.5" hidden="1" customHeight="1">
      <c r="A406" s="9"/>
      <c r="B406" s="23"/>
      <c r="C406" s="23"/>
      <c r="D406" s="23"/>
      <c r="E406" s="24" t="s">
        <v>151</v>
      </c>
      <c r="F406" s="24"/>
      <c r="G406" s="25">
        <v>0</v>
      </c>
      <c r="H406" s="16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5.75" hidden="1" customHeight="1">
      <c r="A407" s="9"/>
      <c r="B407" s="11">
        <v>45681</v>
      </c>
      <c r="C407" s="12">
        <v>0</v>
      </c>
      <c r="D407" s="12">
        <v>14397</v>
      </c>
      <c r="E407" s="26" t="s">
        <v>57</v>
      </c>
      <c r="F407" s="27">
        <v>377243100344901</v>
      </c>
      <c r="G407" s="15">
        <v>51.53</v>
      </c>
      <c r="H407" s="22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28.5" hidden="1" customHeight="1">
      <c r="A408" s="9"/>
      <c r="B408" s="29"/>
      <c r="C408" s="29"/>
      <c r="D408" s="29"/>
      <c r="E408" s="13" t="s">
        <v>152</v>
      </c>
      <c r="F408" s="13"/>
      <c r="G408" s="30">
        <v>0</v>
      </c>
      <c r="H408" s="16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5.75" hidden="1" customHeight="1">
      <c r="A409" s="9"/>
      <c r="B409" s="17">
        <v>45681</v>
      </c>
      <c r="C409" s="18">
        <v>0</v>
      </c>
      <c r="D409" s="18">
        <v>14397</v>
      </c>
      <c r="E409" s="19" t="s">
        <v>57</v>
      </c>
      <c r="F409" s="20">
        <v>377288572821481</v>
      </c>
      <c r="G409" s="21">
        <v>295.75</v>
      </c>
      <c r="H409" s="22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28.5" hidden="1" customHeight="1">
      <c r="A410" s="9"/>
      <c r="B410" s="23"/>
      <c r="C410" s="23"/>
      <c r="D410" s="23"/>
      <c r="E410" s="24" t="s">
        <v>153</v>
      </c>
      <c r="F410" s="24"/>
      <c r="G410" s="25">
        <v>0</v>
      </c>
      <c r="H410" s="16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5.75" hidden="1" customHeight="1">
      <c r="A411" s="9"/>
      <c r="B411" s="11">
        <v>45681</v>
      </c>
      <c r="C411" s="12">
        <v>0</v>
      </c>
      <c r="D411" s="12">
        <v>13105</v>
      </c>
      <c r="E411" s="26" t="s">
        <v>80</v>
      </c>
      <c r="F411" s="27">
        <v>12401</v>
      </c>
      <c r="G411" s="28">
        <v>11260.07</v>
      </c>
      <c r="H411" s="22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.75" hidden="1" customHeight="1">
      <c r="A412" s="9"/>
      <c r="B412" s="29"/>
      <c r="C412" s="29"/>
      <c r="D412" s="29"/>
      <c r="E412" s="13" t="s">
        <v>154</v>
      </c>
      <c r="F412" s="13"/>
      <c r="G412" s="30">
        <v>0</v>
      </c>
      <c r="H412" s="16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5.75" hidden="1" customHeight="1">
      <c r="A413" s="9"/>
      <c r="B413" s="17">
        <v>45681</v>
      </c>
      <c r="C413" s="18">
        <v>0</v>
      </c>
      <c r="D413" s="18">
        <v>13105</v>
      </c>
      <c r="E413" s="19" t="s">
        <v>80</v>
      </c>
      <c r="F413" s="20">
        <v>12402</v>
      </c>
      <c r="G413" s="31">
        <v>223.86</v>
      </c>
      <c r="H413" s="22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.75" hidden="1" customHeight="1">
      <c r="A414" s="9"/>
      <c r="B414" s="23"/>
      <c r="C414" s="23"/>
      <c r="D414" s="23"/>
      <c r="E414" s="24" t="s">
        <v>81</v>
      </c>
      <c r="F414" s="24"/>
      <c r="G414" s="25">
        <v>0</v>
      </c>
      <c r="H414" s="16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5.75" hidden="1" customHeight="1">
      <c r="A415" s="9"/>
      <c r="B415" s="11">
        <v>45681</v>
      </c>
      <c r="C415" s="12">
        <v>0</v>
      </c>
      <c r="D415" s="12">
        <v>13105</v>
      </c>
      <c r="E415" s="26" t="s">
        <v>80</v>
      </c>
      <c r="F415" s="27">
        <v>12403</v>
      </c>
      <c r="G415" s="28">
        <v>7914.23</v>
      </c>
      <c r="H415" s="22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.75" hidden="1" customHeight="1">
      <c r="A416" s="9"/>
      <c r="B416" s="29"/>
      <c r="C416" s="29"/>
      <c r="D416" s="29"/>
      <c r="E416" s="13" t="s">
        <v>154</v>
      </c>
      <c r="F416" s="13"/>
      <c r="G416" s="30">
        <v>0</v>
      </c>
      <c r="H416" s="16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5.75" hidden="1" customHeight="1">
      <c r="A417" s="9"/>
      <c r="B417" s="17">
        <v>45681</v>
      </c>
      <c r="C417" s="18">
        <v>0</v>
      </c>
      <c r="D417" s="18">
        <v>13105</v>
      </c>
      <c r="E417" s="19" t="s">
        <v>80</v>
      </c>
      <c r="F417" s="20">
        <v>12404</v>
      </c>
      <c r="G417" s="31">
        <v>1714.75</v>
      </c>
      <c r="H417" s="22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.75" hidden="1" customHeight="1">
      <c r="A418" s="9"/>
      <c r="B418" s="23"/>
      <c r="C418" s="23"/>
      <c r="D418" s="23"/>
      <c r="E418" s="24" t="s">
        <v>154</v>
      </c>
      <c r="F418" s="24"/>
      <c r="G418" s="25">
        <v>0</v>
      </c>
      <c r="H418" s="16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5.75" hidden="1" customHeight="1">
      <c r="A419" s="9"/>
      <c r="B419" s="11">
        <v>45681</v>
      </c>
      <c r="C419" s="12">
        <v>0</v>
      </c>
      <c r="D419" s="12">
        <v>13105</v>
      </c>
      <c r="E419" s="26" t="s">
        <v>31</v>
      </c>
      <c r="F419" s="27">
        <v>12405</v>
      </c>
      <c r="G419" s="28">
        <v>666.72</v>
      </c>
      <c r="H419" s="22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.75" hidden="1" customHeight="1">
      <c r="A420" s="9"/>
      <c r="B420" s="29"/>
      <c r="C420" s="29"/>
      <c r="D420" s="29"/>
      <c r="E420" s="13" t="s">
        <v>36</v>
      </c>
      <c r="F420" s="13"/>
      <c r="G420" s="30">
        <v>0</v>
      </c>
      <c r="H420" s="16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5.75" hidden="1" customHeight="1">
      <c r="A421" s="9"/>
      <c r="B421" s="17">
        <v>45681</v>
      </c>
      <c r="C421" s="18">
        <v>0</v>
      </c>
      <c r="D421" s="18">
        <v>13105</v>
      </c>
      <c r="E421" s="19" t="s">
        <v>31</v>
      </c>
      <c r="F421" s="20">
        <v>12406</v>
      </c>
      <c r="G421" s="31">
        <v>2758.67</v>
      </c>
      <c r="H421" s="22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28.5" hidden="1" customHeight="1">
      <c r="A422" s="9"/>
      <c r="B422" s="23"/>
      <c r="C422" s="23"/>
      <c r="D422" s="23"/>
      <c r="E422" s="24" t="s">
        <v>32</v>
      </c>
      <c r="F422" s="24"/>
      <c r="G422" s="25">
        <v>0</v>
      </c>
      <c r="H422" s="16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5.75" hidden="1" customHeight="1">
      <c r="A423" s="9"/>
      <c r="B423" s="11">
        <v>45681</v>
      </c>
      <c r="C423" s="12">
        <v>0</v>
      </c>
      <c r="D423" s="12">
        <v>13105</v>
      </c>
      <c r="E423" s="26" t="s">
        <v>31</v>
      </c>
      <c r="F423" s="27">
        <v>12407</v>
      </c>
      <c r="G423" s="28">
        <v>1159.33</v>
      </c>
      <c r="H423" s="22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.75" hidden="1" customHeight="1">
      <c r="A424" s="9"/>
      <c r="B424" s="29"/>
      <c r="C424" s="29"/>
      <c r="D424" s="29"/>
      <c r="E424" s="13" t="s">
        <v>66</v>
      </c>
      <c r="F424" s="13"/>
      <c r="G424" s="30">
        <v>0</v>
      </c>
      <c r="H424" s="16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5.75" hidden="1" customHeight="1">
      <c r="A425" s="9"/>
      <c r="B425" s="17">
        <v>45681</v>
      </c>
      <c r="C425" s="18">
        <v>0</v>
      </c>
      <c r="D425" s="18">
        <v>13105</v>
      </c>
      <c r="E425" s="19" t="s">
        <v>31</v>
      </c>
      <c r="F425" s="20">
        <v>12408</v>
      </c>
      <c r="G425" s="31">
        <v>290.85000000000002</v>
      </c>
      <c r="H425" s="22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28.5" hidden="1" customHeight="1">
      <c r="A426" s="9"/>
      <c r="B426" s="23"/>
      <c r="C426" s="23"/>
      <c r="D426" s="23"/>
      <c r="E426" s="24" t="s">
        <v>45</v>
      </c>
      <c r="F426" s="24"/>
      <c r="G426" s="25">
        <v>0</v>
      </c>
      <c r="H426" s="16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5.75" hidden="1" customHeight="1">
      <c r="A427" s="9"/>
      <c r="B427" s="11">
        <v>45681</v>
      </c>
      <c r="C427" s="12">
        <v>0</v>
      </c>
      <c r="D427" s="12">
        <v>13105</v>
      </c>
      <c r="E427" s="26" t="s">
        <v>31</v>
      </c>
      <c r="F427" s="27">
        <v>12409</v>
      </c>
      <c r="G427" s="28">
        <v>263.70999999999998</v>
      </c>
      <c r="H427" s="22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28.5" hidden="1" customHeight="1">
      <c r="A428" s="9"/>
      <c r="B428" s="29"/>
      <c r="C428" s="29"/>
      <c r="D428" s="29"/>
      <c r="E428" s="13" t="s">
        <v>45</v>
      </c>
      <c r="F428" s="13"/>
      <c r="G428" s="30">
        <v>0</v>
      </c>
      <c r="H428" s="16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5.75" hidden="1" customHeight="1">
      <c r="A429" s="9"/>
      <c r="B429" s="17">
        <v>45681</v>
      </c>
      <c r="C429" s="18">
        <v>0</v>
      </c>
      <c r="D429" s="18">
        <v>13105</v>
      </c>
      <c r="E429" s="19" t="s">
        <v>31</v>
      </c>
      <c r="F429" s="20">
        <v>12410</v>
      </c>
      <c r="G429" s="31">
        <v>192.03</v>
      </c>
      <c r="H429" s="22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.75" hidden="1" customHeight="1">
      <c r="A430" s="9"/>
      <c r="B430" s="23"/>
      <c r="C430" s="23"/>
      <c r="D430" s="23"/>
      <c r="E430" s="24" t="s">
        <v>109</v>
      </c>
      <c r="F430" s="24"/>
      <c r="G430" s="25">
        <v>0</v>
      </c>
      <c r="H430" s="16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.75" hidden="1" customHeight="1">
      <c r="A431" s="9"/>
      <c r="B431" s="11">
        <v>45681</v>
      </c>
      <c r="C431" s="12">
        <v>0</v>
      </c>
      <c r="D431" s="12">
        <v>13105</v>
      </c>
      <c r="E431" s="26" t="s">
        <v>31</v>
      </c>
      <c r="F431" s="27">
        <v>12411</v>
      </c>
      <c r="G431" s="28">
        <v>237.41</v>
      </c>
      <c r="H431" s="22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.75" hidden="1" customHeight="1">
      <c r="A432" s="9"/>
      <c r="B432" s="29"/>
      <c r="C432" s="29"/>
      <c r="D432" s="29"/>
      <c r="E432" s="13" t="s">
        <v>109</v>
      </c>
      <c r="F432" s="13"/>
      <c r="G432" s="30">
        <v>0</v>
      </c>
      <c r="H432" s="16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5.75" hidden="1" customHeight="1">
      <c r="A433" s="9"/>
      <c r="B433" s="17">
        <v>45681</v>
      </c>
      <c r="C433" s="18">
        <v>0</v>
      </c>
      <c r="D433" s="18">
        <v>13105</v>
      </c>
      <c r="E433" s="19" t="s">
        <v>118</v>
      </c>
      <c r="F433" s="20">
        <v>12412</v>
      </c>
      <c r="G433" s="31">
        <v>32500</v>
      </c>
      <c r="H433" s="22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28.5" hidden="1" customHeight="1">
      <c r="A434" s="9"/>
      <c r="B434" s="23"/>
      <c r="C434" s="23"/>
      <c r="D434" s="23"/>
      <c r="E434" s="24" t="s">
        <v>155</v>
      </c>
      <c r="F434" s="24"/>
      <c r="G434" s="25">
        <v>0</v>
      </c>
      <c r="H434" s="16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5.75" hidden="1" customHeight="1">
      <c r="A435" s="9"/>
      <c r="B435" s="11">
        <v>45681</v>
      </c>
      <c r="C435" s="12">
        <v>0</v>
      </c>
      <c r="D435" s="12">
        <v>0</v>
      </c>
      <c r="E435" s="26" t="s">
        <v>59</v>
      </c>
      <c r="F435" s="27">
        <v>9903</v>
      </c>
      <c r="G435" s="28">
        <v>437.3</v>
      </c>
      <c r="H435" s="22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.75" hidden="1" customHeight="1">
      <c r="A436" s="9"/>
      <c r="B436" s="29"/>
      <c r="C436" s="29"/>
      <c r="D436" s="29"/>
      <c r="E436" s="13" t="s">
        <v>53</v>
      </c>
      <c r="F436" s="13"/>
      <c r="G436" s="30">
        <v>0</v>
      </c>
      <c r="H436" s="16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5.75" hidden="1" customHeight="1">
      <c r="A437" s="9"/>
      <c r="B437" s="17">
        <v>45684</v>
      </c>
      <c r="C437" s="18">
        <v>0</v>
      </c>
      <c r="D437" s="18">
        <v>14397</v>
      </c>
      <c r="E437" s="19" t="s">
        <v>57</v>
      </c>
      <c r="F437" s="20">
        <v>271141566414892</v>
      </c>
      <c r="G437" s="21">
        <v>5000</v>
      </c>
      <c r="H437" s="22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28.5" hidden="1" customHeight="1">
      <c r="A438" s="9"/>
      <c r="B438" s="23"/>
      <c r="C438" s="23"/>
      <c r="D438" s="23"/>
      <c r="E438" s="24" t="s">
        <v>156</v>
      </c>
      <c r="F438" s="24"/>
      <c r="G438" s="25">
        <v>0</v>
      </c>
      <c r="H438" s="16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5.75" hidden="1" customHeight="1">
      <c r="A439" s="9"/>
      <c r="B439" s="11">
        <v>45684</v>
      </c>
      <c r="C439" s="12">
        <v>0</v>
      </c>
      <c r="D439" s="12">
        <v>14397</v>
      </c>
      <c r="E439" s="26" t="s">
        <v>57</v>
      </c>
      <c r="F439" s="27">
        <v>379801103109761</v>
      </c>
      <c r="G439" s="15">
        <v>5000</v>
      </c>
      <c r="H439" s="22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28.5" hidden="1" customHeight="1">
      <c r="A440" s="9"/>
      <c r="B440" s="29"/>
      <c r="C440" s="29"/>
      <c r="D440" s="29"/>
      <c r="E440" s="13" t="s">
        <v>157</v>
      </c>
      <c r="F440" s="13"/>
      <c r="G440" s="30">
        <v>0</v>
      </c>
      <c r="H440" s="16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5.75" hidden="1" customHeight="1">
      <c r="A441" s="9"/>
      <c r="B441" s="17">
        <v>45684</v>
      </c>
      <c r="C441" s="18">
        <v>0</v>
      </c>
      <c r="D441" s="18">
        <v>14397</v>
      </c>
      <c r="E441" s="19" t="s">
        <v>57</v>
      </c>
      <c r="F441" s="20">
        <v>379802141488491</v>
      </c>
      <c r="G441" s="21">
        <v>5000</v>
      </c>
      <c r="H441" s="22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28.5" hidden="1" customHeight="1">
      <c r="A442" s="9"/>
      <c r="B442" s="23"/>
      <c r="C442" s="23"/>
      <c r="D442" s="23"/>
      <c r="E442" s="24" t="s">
        <v>158</v>
      </c>
      <c r="F442" s="24"/>
      <c r="G442" s="25">
        <v>0</v>
      </c>
      <c r="H442" s="16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5.75" hidden="1" customHeight="1">
      <c r="A443" s="9"/>
      <c r="B443" s="11">
        <v>45684</v>
      </c>
      <c r="C443" s="12">
        <v>0</v>
      </c>
      <c r="D443" s="12">
        <v>14397</v>
      </c>
      <c r="E443" s="26" t="s">
        <v>57</v>
      </c>
      <c r="F443" s="27">
        <v>379878165410061</v>
      </c>
      <c r="G443" s="15">
        <v>5000</v>
      </c>
      <c r="H443" s="22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28.5" hidden="1" customHeight="1">
      <c r="A444" s="9"/>
      <c r="B444" s="29"/>
      <c r="C444" s="29"/>
      <c r="D444" s="29"/>
      <c r="E444" s="13" t="s">
        <v>159</v>
      </c>
      <c r="F444" s="13"/>
      <c r="G444" s="30">
        <v>0</v>
      </c>
      <c r="H444" s="16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5.75" hidden="1" customHeight="1">
      <c r="A445" s="9"/>
      <c r="B445" s="17">
        <v>45684</v>
      </c>
      <c r="C445" s="18">
        <v>0</v>
      </c>
      <c r="D445" s="18">
        <v>14397</v>
      </c>
      <c r="E445" s="19" t="s">
        <v>57</v>
      </c>
      <c r="F445" s="20">
        <v>379887447611281</v>
      </c>
      <c r="G445" s="21">
        <v>62.65</v>
      </c>
      <c r="H445" s="22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28.5" hidden="1" customHeight="1">
      <c r="A446" s="9"/>
      <c r="B446" s="23"/>
      <c r="C446" s="23"/>
      <c r="D446" s="23"/>
      <c r="E446" s="24" t="s">
        <v>160</v>
      </c>
      <c r="F446" s="24"/>
      <c r="G446" s="25">
        <v>0</v>
      </c>
      <c r="H446" s="16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5.75" hidden="1" customHeight="1">
      <c r="A447" s="9"/>
      <c r="B447" s="11">
        <v>45684</v>
      </c>
      <c r="C447" s="12">
        <v>1533</v>
      </c>
      <c r="D447" s="12">
        <v>99008</v>
      </c>
      <c r="E447" s="26" t="s">
        <v>29</v>
      </c>
      <c r="F447" s="27">
        <v>369399</v>
      </c>
      <c r="G447" s="28">
        <v>289.92</v>
      </c>
      <c r="H447" s="22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.75" hidden="1" customHeight="1">
      <c r="A448" s="9"/>
      <c r="B448" s="29"/>
      <c r="C448" s="29"/>
      <c r="D448" s="29"/>
      <c r="E448" s="13" t="s">
        <v>161</v>
      </c>
      <c r="F448" s="13"/>
      <c r="G448" s="30">
        <v>0</v>
      </c>
      <c r="H448" s="16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5.75" hidden="1" customHeight="1">
      <c r="A449" s="9"/>
      <c r="B449" s="17">
        <v>45684</v>
      </c>
      <c r="C449" s="18">
        <v>0</v>
      </c>
      <c r="D449" s="18">
        <v>13105</v>
      </c>
      <c r="E449" s="19" t="s">
        <v>118</v>
      </c>
      <c r="F449" s="20">
        <v>12701</v>
      </c>
      <c r="G449" s="31">
        <v>7500</v>
      </c>
      <c r="H449" s="22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28.5" hidden="1" customHeight="1">
      <c r="A450" s="9"/>
      <c r="B450" s="23"/>
      <c r="C450" s="23"/>
      <c r="D450" s="23"/>
      <c r="E450" s="24" t="s">
        <v>162</v>
      </c>
      <c r="F450" s="24"/>
      <c r="G450" s="25">
        <v>0</v>
      </c>
      <c r="H450" s="16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5.75" hidden="1" customHeight="1">
      <c r="A451" s="9"/>
      <c r="B451" s="11">
        <v>45684</v>
      </c>
      <c r="C451" s="12">
        <v>0</v>
      </c>
      <c r="D451" s="12">
        <v>13105</v>
      </c>
      <c r="E451" s="26" t="s">
        <v>80</v>
      </c>
      <c r="F451" s="27">
        <v>12702</v>
      </c>
      <c r="G451" s="28">
        <v>165.74</v>
      </c>
      <c r="H451" s="22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.75" hidden="1" customHeight="1">
      <c r="A452" s="9"/>
      <c r="B452" s="29"/>
      <c r="C452" s="29"/>
      <c r="D452" s="29"/>
      <c r="E452" s="13" t="s">
        <v>81</v>
      </c>
      <c r="F452" s="13"/>
      <c r="G452" s="30">
        <v>0</v>
      </c>
      <c r="H452" s="16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5.75" hidden="1" customHeight="1">
      <c r="A453" s="9"/>
      <c r="B453" s="17">
        <v>45684</v>
      </c>
      <c r="C453" s="18">
        <v>0</v>
      </c>
      <c r="D453" s="18">
        <v>13105</v>
      </c>
      <c r="E453" s="19" t="s">
        <v>31</v>
      </c>
      <c r="F453" s="20">
        <v>12703</v>
      </c>
      <c r="G453" s="31">
        <v>199.8</v>
      </c>
      <c r="H453" s="22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.75" hidden="1" customHeight="1">
      <c r="A454" s="9"/>
      <c r="B454" s="23"/>
      <c r="C454" s="23"/>
      <c r="D454" s="23"/>
      <c r="E454" s="24" t="s">
        <v>163</v>
      </c>
      <c r="F454" s="24"/>
      <c r="G454" s="25">
        <v>0</v>
      </c>
      <c r="H454" s="16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5.75" hidden="1" customHeight="1">
      <c r="A455" s="9"/>
      <c r="B455" s="11">
        <v>45684</v>
      </c>
      <c r="C455" s="12">
        <v>0</v>
      </c>
      <c r="D455" s="12">
        <v>13105</v>
      </c>
      <c r="E455" s="26" t="s">
        <v>31</v>
      </c>
      <c r="F455" s="27">
        <v>12704</v>
      </c>
      <c r="G455" s="28">
        <v>140</v>
      </c>
      <c r="H455" s="22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28.5" hidden="1" customHeight="1">
      <c r="A456" s="9"/>
      <c r="B456" s="29"/>
      <c r="C456" s="29"/>
      <c r="D456" s="29"/>
      <c r="E456" s="13" t="s">
        <v>164</v>
      </c>
      <c r="F456" s="13"/>
      <c r="G456" s="30">
        <v>0</v>
      </c>
      <c r="H456" s="16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5.75" hidden="1" customHeight="1">
      <c r="A457" s="9"/>
      <c r="B457" s="17">
        <v>45684</v>
      </c>
      <c r="C457" s="18">
        <v>0</v>
      </c>
      <c r="D457" s="18">
        <v>13105</v>
      </c>
      <c r="E457" s="19" t="s">
        <v>31</v>
      </c>
      <c r="F457" s="20">
        <v>12705</v>
      </c>
      <c r="G457" s="31">
        <v>1200</v>
      </c>
      <c r="H457" s="22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.75" hidden="1" customHeight="1">
      <c r="A458" s="9"/>
      <c r="B458" s="23"/>
      <c r="C458" s="23"/>
      <c r="D458" s="23"/>
      <c r="E458" s="24" t="s">
        <v>85</v>
      </c>
      <c r="F458" s="24"/>
      <c r="G458" s="25">
        <v>0</v>
      </c>
      <c r="H458" s="16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5.75" hidden="1" customHeight="1">
      <c r="A459" s="9"/>
      <c r="B459" s="11">
        <v>45684</v>
      </c>
      <c r="C459" s="12">
        <v>0</v>
      </c>
      <c r="D459" s="12">
        <v>13105</v>
      </c>
      <c r="E459" s="26" t="s">
        <v>34</v>
      </c>
      <c r="F459" s="27">
        <v>12706</v>
      </c>
      <c r="G459" s="28">
        <v>133.75</v>
      </c>
      <c r="H459" s="22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.75" hidden="1" customHeight="1">
      <c r="A460" s="9"/>
      <c r="B460" s="29"/>
      <c r="C460" s="29"/>
      <c r="D460" s="29"/>
      <c r="E460" s="13" t="s">
        <v>35</v>
      </c>
      <c r="F460" s="13"/>
      <c r="G460" s="30">
        <v>0</v>
      </c>
      <c r="H460" s="16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5.75" hidden="1" customHeight="1">
      <c r="A461" s="9"/>
      <c r="B461" s="17">
        <v>45684</v>
      </c>
      <c r="C461" s="18">
        <v>0</v>
      </c>
      <c r="D461" s="18">
        <v>13105</v>
      </c>
      <c r="E461" s="19" t="s">
        <v>31</v>
      </c>
      <c r="F461" s="20">
        <v>12707</v>
      </c>
      <c r="G461" s="31">
        <v>213.06</v>
      </c>
      <c r="H461" s="22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28.5" hidden="1" customHeight="1">
      <c r="A462" s="9"/>
      <c r="B462" s="23"/>
      <c r="C462" s="23"/>
      <c r="D462" s="23"/>
      <c r="E462" s="24" t="s">
        <v>45</v>
      </c>
      <c r="F462" s="24"/>
      <c r="G462" s="25">
        <v>0</v>
      </c>
      <c r="H462" s="16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5.75" hidden="1" customHeight="1">
      <c r="A463" s="9"/>
      <c r="B463" s="11">
        <v>45684</v>
      </c>
      <c r="C463" s="12">
        <v>0</v>
      </c>
      <c r="D463" s="12">
        <v>13105</v>
      </c>
      <c r="E463" s="26" t="s">
        <v>34</v>
      </c>
      <c r="F463" s="27">
        <v>12708</v>
      </c>
      <c r="G463" s="28">
        <v>25.82</v>
      </c>
      <c r="H463" s="22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.75" hidden="1" customHeight="1">
      <c r="A464" s="9"/>
      <c r="B464" s="29"/>
      <c r="C464" s="29"/>
      <c r="D464" s="29"/>
      <c r="E464" s="13" t="s">
        <v>35</v>
      </c>
      <c r="F464" s="13"/>
      <c r="G464" s="30">
        <v>0</v>
      </c>
      <c r="H464" s="16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5.75" hidden="1" customHeight="1">
      <c r="A465" s="9"/>
      <c r="B465" s="17">
        <v>45684</v>
      </c>
      <c r="C465" s="18">
        <v>0</v>
      </c>
      <c r="D465" s="18">
        <v>13105</v>
      </c>
      <c r="E465" s="19" t="s">
        <v>31</v>
      </c>
      <c r="F465" s="20">
        <v>12709</v>
      </c>
      <c r="G465" s="31">
        <v>400.89</v>
      </c>
      <c r="H465" s="22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28.5" hidden="1" customHeight="1">
      <c r="A466" s="9"/>
      <c r="B466" s="23"/>
      <c r="C466" s="23"/>
      <c r="D466" s="23"/>
      <c r="E466" s="24" t="s">
        <v>45</v>
      </c>
      <c r="F466" s="24"/>
      <c r="G466" s="25">
        <v>0</v>
      </c>
      <c r="H466" s="16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5.75" hidden="1" customHeight="1">
      <c r="A467" s="9"/>
      <c r="B467" s="11">
        <v>45684</v>
      </c>
      <c r="C467" s="12">
        <v>0</v>
      </c>
      <c r="D467" s="12">
        <v>13105</v>
      </c>
      <c r="E467" s="26" t="s">
        <v>31</v>
      </c>
      <c r="F467" s="27">
        <v>12710</v>
      </c>
      <c r="G467" s="28">
        <v>817.82</v>
      </c>
      <c r="H467" s="22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.75" hidden="1" customHeight="1">
      <c r="A468" s="9"/>
      <c r="B468" s="29"/>
      <c r="C468" s="29"/>
      <c r="D468" s="29"/>
      <c r="E468" s="13" t="s">
        <v>165</v>
      </c>
      <c r="F468" s="13"/>
      <c r="G468" s="30">
        <v>0</v>
      </c>
      <c r="H468" s="16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5.75" hidden="1" customHeight="1">
      <c r="A469" s="9"/>
      <c r="B469" s="17">
        <v>45684</v>
      </c>
      <c r="C469" s="18">
        <v>0</v>
      </c>
      <c r="D469" s="18">
        <v>13105</v>
      </c>
      <c r="E469" s="19" t="s">
        <v>31</v>
      </c>
      <c r="F469" s="20">
        <v>12711</v>
      </c>
      <c r="G469" s="31">
        <v>324.89999999999998</v>
      </c>
      <c r="H469" s="22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.75" hidden="1" customHeight="1">
      <c r="A470" s="9"/>
      <c r="B470" s="23"/>
      <c r="C470" s="23"/>
      <c r="D470" s="23"/>
      <c r="E470" s="24" t="s">
        <v>51</v>
      </c>
      <c r="F470" s="24"/>
      <c r="G470" s="25">
        <v>0</v>
      </c>
      <c r="H470" s="16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5.75" hidden="1" customHeight="1">
      <c r="A471" s="9"/>
      <c r="B471" s="11">
        <v>45684</v>
      </c>
      <c r="C471" s="12">
        <v>0</v>
      </c>
      <c r="D471" s="12">
        <v>0</v>
      </c>
      <c r="E471" s="26" t="s">
        <v>59</v>
      </c>
      <c r="F471" s="27">
        <v>9903</v>
      </c>
      <c r="G471" s="28">
        <v>8650.9500000000007</v>
      </c>
      <c r="H471" s="22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.75" hidden="1" customHeight="1">
      <c r="A472" s="9"/>
      <c r="B472" s="29"/>
      <c r="C472" s="29"/>
      <c r="D472" s="29"/>
      <c r="E472" s="13" t="s">
        <v>53</v>
      </c>
      <c r="F472" s="13"/>
      <c r="G472" s="30">
        <v>0</v>
      </c>
      <c r="H472" s="16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5.75" hidden="1" customHeight="1">
      <c r="A473" s="9"/>
      <c r="B473" s="17">
        <v>45685</v>
      </c>
      <c r="C473" s="18">
        <v>0</v>
      </c>
      <c r="D473" s="18">
        <v>14175</v>
      </c>
      <c r="E473" s="19" t="s">
        <v>166</v>
      </c>
      <c r="F473" s="20">
        <v>33612484</v>
      </c>
      <c r="G473" s="21">
        <v>21760.7</v>
      </c>
      <c r="H473" s="22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28.5" hidden="1" customHeight="1">
      <c r="A474" s="9"/>
      <c r="B474" s="23"/>
      <c r="C474" s="23"/>
      <c r="D474" s="23"/>
      <c r="E474" s="24" t="s">
        <v>167</v>
      </c>
      <c r="F474" s="24"/>
      <c r="G474" s="25">
        <v>0</v>
      </c>
      <c r="H474" s="16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5.75" hidden="1" customHeight="1">
      <c r="A475" s="9"/>
      <c r="B475" s="11">
        <v>45685</v>
      </c>
      <c r="C475" s="12">
        <v>0</v>
      </c>
      <c r="D475" s="12">
        <v>14397</v>
      </c>
      <c r="E475" s="26" t="s">
        <v>57</v>
      </c>
      <c r="F475" s="27">
        <v>281110234748182</v>
      </c>
      <c r="G475" s="15">
        <v>1500</v>
      </c>
      <c r="H475" s="22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28.5" hidden="1" customHeight="1">
      <c r="A476" s="9"/>
      <c r="B476" s="29"/>
      <c r="C476" s="29"/>
      <c r="D476" s="29"/>
      <c r="E476" s="13" t="s">
        <v>168</v>
      </c>
      <c r="F476" s="13"/>
      <c r="G476" s="30">
        <v>0</v>
      </c>
      <c r="H476" s="16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5.75" hidden="1" customHeight="1">
      <c r="A477" s="9"/>
      <c r="B477" s="17">
        <v>45685</v>
      </c>
      <c r="C477" s="18">
        <v>0</v>
      </c>
      <c r="D477" s="18">
        <v>14397</v>
      </c>
      <c r="E477" s="19" t="s">
        <v>57</v>
      </c>
      <c r="F477" s="20">
        <v>281633576855212</v>
      </c>
      <c r="G477" s="21">
        <v>179.3</v>
      </c>
      <c r="H477" s="22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28.5" hidden="1" customHeight="1">
      <c r="A478" s="9"/>
      <c r="B478" s="23"/>
      <c r="C478" s="23"/>
      <c r="D478" s="23"/>
      <c r="E478" s="24" t="s">
        <v>169</v>
      </c>
      <c r="F478" s="24"/>
      <c r="G478" s="25">
        <v>0</v>
      </c>
      <c r="H478" s="16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.75" hidden="1" customHeight="1">
      <c r="A479" s="9"/>
      <c r="B479" s="11">
        <v>45685</v>
      </c>
      <c r="C479" s="12">
        <v>1533</v>
      </c>
      <c r="D479" s="12">
        <v>99008</v>
      </c>
      <c r="E479" s="26" t="s">
        <v>29</v>
      </c>
      <c r="F479" s="27">
        <v>600342</v>
      </c>
      <c r="G479" s="28">
        <v>290.92</v>
      </c>
      <c r="H479" s="22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.75" hidden="1" customHeight="1">
      <c r="A480" s="9"/>
      <c r="B480" s="29"/>
      <c r="C480" s="29"/>
      <c r="D480" s="29"/>
      <c r="E480" s="13" t="s">
        <v>170</v>
      </c>
      <c r="F480" s="13"/>
      <c r="G480" s="30">
        <v>0</v>
      </c>
      <c r="H480" s="16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.75" hidden="1" customHeight="1">
      <c r="A481" s="9"/>
      <c r="B481" s="17">
        <v>45685</v>
      </c>
      <c r="C481" s="18">
        <v>1533</v>
      </c>
      <c r="D481" s="18">
        <v>99008</v>
      </c>
      <c r="E481" s="19" t="s">
        <v>29</v>
      </c>
      <c r="F481" s="20">
        <v>809113</v>
      </c>
      <c r="G481" s="31">
        <v>327</v>
      </c>
      <c r="H481" s="22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.75" hidden="1" customHeight="1">
      <c r="A482" s="9"/>
      <c r="B482" s="23"/>
      <c r="C482" s="23"/>
      <c r="D482" s="23"/>
      <c r="E482" s="24" t="s">
        <v>171</v>
      </c>
      <c r="F482" s="24"/>
      <c r="G482" s="25">
        <v>0</v>
      </c>
      <c r="H482" s="16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5.75" hidden="1" customHeight="1">
      <c r="A483" s="9"/>
      <c r="B483" s="11">
        <v>45685</v>
      </c>
      <c r="C483" s="12">
        <v>0</v>
      </c>
      <c r="D483" s="12">
        <v>13105</v>
      </c>
      <c r="E483" s="26" t="s">
        <v>31</v>
      </c>
      <c r="F483" s="27">
        <v>12801</v>
      </c>
      <c r="G483" s="28">
        <v>345.1</v>
      </c>
      <c r="H483" s="22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.75" hidden="1" customHeight="1">
      <c r="A484" s="9"/>
      <c r="B484" s="29"/>
      <c r="C484" s="29"/>
      <c r="D484" s="29"/>
      <c r="E484" s="13" t="s">
        <v>46</v>
      </c>
      <c r="F484" s="13"/>
      <c r="G484" s="30">
        <v>0</v>
      </c>
      <c r="H484" s="16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5.75" hidden="1" customHeight="1">
      <c r="A485" s="9"/>
      <c r="B485" s="17">
        <v>45685</v>
      </c>
      <c r="C485" s="18">
        <v>0</v>
      </c>
      <c r="D485" s="18">
        <v>13105</v>
      </c>
      <c r="E485" s="19" t="s">
        <v>31</v>
      </c>
      <c r="F485" s="20">
        <v>12802</v>
      </c>
      <c r="G485" s="31">
        <v>347.08</v>
      </c>
      <c r="H485" s="22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28.5" hidden="1" customHeight="1">
      <c r="A486" s="9"/>
      <c r="B486" s="23"/>
      <c r="C486" s="23"/>
      <c r="D486" s="23"/>
      <c r="E486" s="24" t="s">
        <v>45</v>
      </c>
      <c r="F486" s="24"/>
      <c r="G486" s="25">
        <v>0</v>
      </c>
      <c r="H486" s="16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5.75" hidden="1" customHeight="1">
      <c r="A487" s="9"/>
      <c r="B487" s="11">
        <v>45685</v>
      </c>
      <c r="C487" s="12">
        <v>0</v>
      </c>
      <c r="D487" s="12">
        <v>13105</v>
      </c>
      <c r="E487" s="26" t="s">
        <v>31</v>
      </c>
      <c r="F487" s="27">
        <v>12803</v>
      </c>
      <c r="G487" s="28">
        <v>781.15</v>
      </c>
      <c r="H487" s="22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.75" hidden="1" customHeight="1">
      <c r="A488" s="9"/>
      <c r="B488" s="29"/>
      <c r="C488" s="29"/>
      <c r="D488" s="29"/>
      <c r="E488" s="13" t="s">
        <v>78</v>
      </c>
      <c r="F488" s="13"/>
      <c r="G488" s="30">
        <v>0</v>
      </c>
      <c r="H488" s="16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5.75" hidden="1" customHeight="1">
      <c r="A489" s="9"/>
      <c r="B489" s="17">
        <v>45685</v>
      </c>
      <c r="C489" s="18">
        <v>0</v>
      </c>
      <c r="D489" s="18">
        <v>13105</v>
      </c>
      <c r="E489" s="19" t="s">
        <v>31</v>
      </c>
      <c r="F489" s="20">
        <v>12804</v>
      </c>
      <c r="G489" s="31">
        <v>343.08</v>
      </c>
      <c r="H489" s="22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.75" hidden="1" customHeight="1">
      <c r="A490" s="9"/>
      <c r="B490" s="23"/>
      <c r="C490" s="23"/>
      <c r="D490" s="23"/>
      <c r="E490" s="24" t="s">
        <v>48</v>
      </c>
      <c r="F490" s="24"/>
      <c r="G490" s="25">
        <v>0</v>
      </c>
      <c r="H490" s="16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5.75" hidden="1" customHeight="1">
      <c r="A491" s="9"/>
      <c r="B491" s="11">
        <v>45685</v>
      </c>
      <c r="C491" s="12">
        <v>0</v>
      </c>
      <c r="D491" s="12">
        <v>13105</v>
      </c>
      <c r="E491" s="26" t="s">
        <v>31</v>
      </c>
      <c r="F491" s="27">
        <v>12805</v>
      </c>
      <c r="G491" s="28">
        <v>2821.4</v>
      </c>
      <c r="H491" s="22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.75" hidden="1" customHeight="1">
      <c r="A492" s="9"/>
      <c r="B492" s="29"/>
      <c r="C492" s="29"/>
      <c r="D492" s="29"/>
      <c r="E492" s="13" t="s">
        <v>33</v>
      </c>
      <c r="F492" s="13"/>
      <c r="G492" s="30">
        <v>0</v>
      </c>
      <c r="H492" s="16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5.75" hidden="1" customHeight="1">
      <c r="A493" s="9"/>
      <c r="B493" s="17">
        <v>45685</v>
      </c>
      <c r="C493" s="18">
        <v>0</v>
      </c>
      <c r="D493" s="18">
        <v>13105</v>
      </c>
      <c r="E493" s="19" t="s">
        <v>80</v>
      </c>
      <c r="F493" s="20">
        <v>12806</v>
      </c>
      <c r="G493" s="31">
        <v>8655.16</v>
      </c>
      <c r="H493" s="22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.75" hidden="1" customHeight="1">
      <c r="A494" s="9"/>
      <c r="B494" s="23"/>
      <c r="C494" s="23"/>
      <c r="D494" s="23"/>
      <c r="E494" s="24" t="s">
        <v>154</v>
      </c>
      <c r="F494" s="24"/>
      <c r="G494" s="25">
        <v>0</v>
      </c>
      <c r="H494" s="16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5.75" hidden="1" customHeight="1">
      <c r="A495" s="9"/>
      <c r="B495" s="11">
        <v>45685</v>
      </c>
      <c r="C495" s="12">
        <v>0</v>
      </c>
      <c r="D495" s="12">
        <v>13105</v>
      </c>
      <c r="E495" s="26" t="s">
        <v>80</v>
      </c>
      <c r="F495" s="27">
        <v>12807</v>
      </c>
      <c r="G495" s="28">
        <v>4466.87</v>
      </c>
      <c r="H495" s="22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.75" hidden="1" customHeight="1">
      <c r="A496" s="9"/>
      <c r="B496" s="29"/>
      <c r="C496" s="29"/>
      <c r="D496" s="29"/>
      <c r="E496" s="13" t="s">
        <v>172</v>
      </c>
      <c r="F496" s="13"/>
      <c r="G496" s="30">
        <v>0</v>
      </c>
      <c r="H496" s="16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5.75" hidden="1" customHeight="1">
      <c r="A497" s="9"/>
      <c r="B497" s="17">
        <v>45685</v>
      </c>
      <c r="C497" s="18">
        <v>0</v>
      </c>
      <c r="D497" s="18">
        <v>13105</v>
      </c>
      <c r="E497" s="19" t="s">
        <v>31</v>
      </c>
      <c r="F497" s="20">
        <v>12808</v>
      </c>
      <c r="G497" s="31">
        <v>3850</v>
      </c>
      <c r="H497" s="22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.75" hidden="1" customHeight="1">
      <c r="A498" s="9"/>
      <c r="B498" s="23"/>
      <c r="C498" s="23"/>
      <c r="D498" s="23"/>
      <c r="E498" s="24" t="s">
        <v>173</v>
      </c>
      <c r="F498" s="24"/>
      <c r="G498" s="25">
        <v>0</v>
      </c>
      <c r="H498" s="16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5.75" hidden="1" customHeight="1">
      <c r="A499" s="9"/>
      <c r="B499" s="11">
        <v>45685</v>
      </c>
      <c r="C499" s="12">
        <v>0</v>
      </c>
      <c r="D499" s="12">
        <v>13105</v>
      </c>
      <c r="E499" s="26" t="s">
        <v>31</v>
      </c>
      <c r="F499" s="27">
        <v>12809</v>
      </c>
      <c r="G499" s="28">
        <v>2613.34</v>
      </c>
      <c r="H499" s="22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.75" hidden="1" customHeight="1">
      <c r="A500" s="9"/>
      <c r="B500" s="29"/>
      <c r="C500" s="29"/>
      <c r="D500" s="29"/>
      <c r="E500" s="13" t="s">
        <v>173</v>
      </c>
      <c r="F500" s="13"/>
      <c r="G500" s="30">
        <v>0</v>
      </c>
      <c r="H500" s="16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.75" hidden="1" customHeight="1">
      <c r="A501" s="9"/>
      <c r="B501" s="17">
        <v>45685</v>
      </c>
      <c r="C501" s="18">
        <v>0</v>
      </c>
      <c r="D501" s="18">
        <v>13105</v>
      </c>
      <c r="E501" s="19" t="s">
        <v>118</v>
      </c>
      <c r="F501" s="20">
        <v>12810</v>
      </c>
      <c r="G501" s="31">
        <v>2613.34</v>
      </c>
      <c r="H501" s="22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.75" hidden="1" customHeight="1">
      <c r="A502" s="9"/>
      <c r="B502" s="23"/>
      <c r="C502" s="23"/>
      <c r="D502" s="23"/>
      <c r="E502" s="24" t="s">
        <v>174</v>
      </c>
      <c r="F502" s="24"/>
      <c r="G502" s="25">
        <v>0</v>
      </c>
      <c r="H502" s="16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.75" hidden="1" customHeight="1">
      <c r="A503" s="9"/>
      <c r="B503" s="11">
        <v>45685</v>
      </c>
      <c r="C503" s="12">
        <v>0</v>
      </c>
      <c r="D503" s="12">
        <v>0</v>
      </c>
      <c r="E503" s="26" t="s">
        <v>52</v>
      </c>
      <c r="F503" s="27">
        <v>9903</v>
      </c>
      <c r="G503" s="15">
        <v>4014.44</v>
      </c>
      <c r="H503" s="22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.75" hidden="1" customHeight="1">
      <c r="A504" s="9"/>
      <c r="B504" s="29"/>
      <c r="C504" s="29"/>
      <c r="D504" s="29"/>
      <c r="E504" s="13" t="s">
        <v>53</v>
      </c>
      <c r="F504" s="13"/>
      <c r="G504" s="30">
        <v>0</v>
      </c>
      <c r="H504" s="16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5.75" hidden="1" customHeight="1">
      <c r="A505" s="9"/>
      <c r="B505" s="17">
        <v>45686</v>
      </c>
      <c r="C505" s="18">
        <v>0</v>
      </c>
      <c r="D505" s="18">
        <v>14175</v>
      </c>
      <c r="E505" s="19" t="s">
        <v>62</v>
      </c>
      <c r="F505" s="20">
        <v>367774014</v>
      </c>
      <c r="G505" s="21">
        <v>3800</v>
      </c>
      <c r="H505" s="22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28.5" hidden="1" customHeight="1">
      <c r="A506" s="9"/>
      <c r="B506" s="23"/>
      <c r="C506" s="23"/>
      <c r="D506" s="23"/>
      <c r="E506" s="24" t="s">
        <v>97</v>
      </c>
      <c r="F506" s="24"/>
      <c r="G506" s="25">
        <v>0</v>
      </c>
      <c r="H506" s="32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5.75" customHeight="1">
      <c r="A507" s="33" t="s">
        <v>140</v>
      </c>
      <c r="B507" s="34">
        <v>45686</v>
      </c>
      <c r="C507" s="35">
        <v>0</v>
      </c>
      <c r="D507" s="35">
        <v>14138</v>
      </c>
      <c r="E507" s="36" t="s">
        <v>141</v>
      </c>
      <c r="F507" s="37">
        <v>202501280017406</v>
      </c>
      <c r="G507" s="38">
        <v>1553.66</v>
      </c>
      <c r="H507" s="39" t="s">
        <v>175</v>
      </c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.75" hidden="1" customHeight="1">
      <c r="A508" s="9"/>
      <c r="B508" s="29"/>
      <c r="C508" s="29"/>
      <c r="D508" s="29"/>
      <c r="E508" s="13" t="s">
        <v>143</v>
      </c>
      <c r="F508" s="13"/>
      <c r="G508" s="30">
        <v>0</v>
      </c>
      <c r="H508" s="40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.75" customHeight="1">
      <c r="A509" s="49" t="s">
        <v>140</v>
      </c>
      <c r="B509" s="41">
        <v>45686</v>
      </c>
      <c r="C509" s="42">
        <v>0</v>
      </c>
      <c r="D509" s="42">
        <v>14138</v>
      </c>
      <c r="E509" s="43" t="s">
        <v>141</v>
      </c>
      <c r="F509" s="44">
        <v>202501280017410</v>
      </c>
      <c r="G509" s="45">
        <v>263.37</v>
      </c>
      <c r="H509" s="39" t="s">
        <v>176</v>
      </c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.75" hidden="1" customHeight="1">
      <c r="A510" s="9"/>
      <c r="B510" s="23"/>
      <c r="C510" s="23"/>
      <c r="D510" s="23"/>
      <c r="E510" s="24" t="s">
        <v>143</v>
      </c>
      <c r="F510" s="24"/>
      <c r="G510" s="25">
        <v>0</v>
      </c>
      <c r="H510" s="48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.75" hidden="1" customHeight="1">
      <c r="A511" s="9"/>
      <c r="B511" s="11">
        <v>45686</v>
      </c>
      <c r="C511" s="12">
        <v>0</v>
      </c>
      <c r="D511" s="12">
        <v>13105</v>
      </c>
      <c r="E511" s="26" t="s">
        <v>31</v>
      </c>
      <c r="F511" s="27">
        <v>12901</v>
      </c>
      <c r="G511" s="28">
        <v>1451.73</v>
      </c>
      <c r="H511" s="22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.75" hidden="1" customHeight="1">
      <c r="A512" s="9"/>
      <c r="B512" s="29"/>
      <c r="C512" s="29"/>
      <c r="D512" s="29"/>
      <c r="E512" s="13" t="s">
        <v>46</v>
      </c>
      <c r="F512" s="13"/>
      <c r="G512" s="30">
        <v>0</v>
      </c>
      <c r="H512" s="16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.75" hidden="1" customHeight="1">
      <c r="A513" s="9"/>
      <c r="B513" s="17">
        <v>45686</v>
      </c>
      <c r="C513" s="18">
        <v>0</v>
      </c>
      <c r="D513" s="18">
        <v>13105</v>
      </c>
      <c r="E513" s="19" t="s">
        <v>31</v>
      </c>
      <c r="F513" s="20">
        <v>12902</v>
      </c>
      <c r="G513" s="31">
        <v>212.15</v>
      </c>
      <c r="H513" s="22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.75" hidden="1" customHeight="1">
      <c r="A514" s="9"/>
      <c r="B514" s="23"/>
      <c r="C514" s="23"/>
      <c r="D514" s="23"/>
      <c r="E514" s="24" t="s">
        <v>111</v>
      </c>
      <c r="F514" s="24"/>
      <c r="G514" s="25">
        <v>0</v>
      </c>
      <c r="H514" s="16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.75" hidden="1" customHeight="1">
      <c r="A515" s="9"/>
      <c r="B515" s="11">
        <v>45686</v>
      </c>
      <c r="C515" s="12">
        <v>0</v>
      </c>
      <c r="D515" s="12">
        <v>13105</v>
      </c>
      <c r="E515" s="26" t="s">
        <v>31</v>
      </c>
      <c r="F515" s="27">
        <v>12903</v>
      </c>
      <c r="G515" s="28">
        <v>3748.1</v>
      </c>
      <c r="H515" s="22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28.5" hidden="1" customHeight="1">
      <c r="A516" s="9"/>
      <c r="B516" s="29"/>
      <c r="C516" s="29"/>
      <c r="D516" s="29"/>
      <c r="E516" s="13" t="s">
        <v>37</v>
      </c>
      <c r="F516" s="13"/>
      <c r="G516" s="30">
        <v>0</v>
      </c>
      <c r="H516" s="16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.75" hidden="1" customHeight="1">
      <c r="A517" s="9"/>
      <c r="B517" s="17">
        <v>45686</v>
      </c>
      <c r="C517" s="18">
        <v>0</v>
      </c>
      <c r="D517" s="18">
        <v>13105</v>
      </c>
      <c r="E517" s="19" t="s">
        <v>31</v>
      </c>
      <c r="F517" s="20">
        <v>12904</v>
      </c>
      <c r="G517" s="31">
        <v>501.63</v>
      </c>
      <c r="H517" s="22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28.5" hidden="1" customHeight="1">
      <c r="A518" s="9"/>
      <c r="B518" s="23"/>
      <c r="C518" s="23"/>
      <c r="D518" s="23"/>
      <c r="E518" s="24" t="s">
        <v>177</v>
      </c>
      <c r="F518" s="24"/>
      <c r="G518" s="25">
        <v>0</v>
      </c>
      <c r="H518" s="16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.75" hidden="1" customHeight="1">
      <c r="A519" s="9"/>
      <c r="B519" s="11">
        <v>45686</v>
      </c>
      <c r="C519" s="12">
        <v>0</v>
      </c>
      <c r="D519" s="12">
        <v>13105</v>
      </c>
      <c r="E519" s="26" t="s">
        <v>31</v>
      </c>
      <c r="F519" s="27">
        <v>12905</v>
      </c>
      <c r="G519" s="28">
        <v>826.03</v>
      </c>
      <c r="H519" s="22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28.5" hidden="1" customHeight="1">
      <c r="A520" s="9"/>
      <c r="B520" s="29"/>
      <c r="C520" s="29"/>
      <c r="D520" s="29"/>
      <c r="E520" s="13" t="s">
        <v>177</v>
      </c>
      <c r="F520" s="13"/>
      <c r="G520" s="30">
        <v>0</v>
      </c>
      <c r="H520" s="16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.75" hidden="1" customHeight="1">
      <c r="A521" s="9"/>
      <c r="B521" s="17">
        <v>45686</v>
      </c>
      <c r="C521" s="18">
        <v>0</v>
      </c>
      <c r="D521" s="18">
        <v>13105</v>
      </c>
      <c r="E521" s="19" t="s">
        <v>31</v>
      </c>
      <c r="F521" s="20">
        <v>12906</v>
      </c>
      <c r="G521" s="31">
        <v>801.54</v>
      </c>
      <c r="H521" s="22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28.5" hidden="1" customHeight="1">
      <c r="A522" s="9"/>
      <c r="B522" s="23"/>
      <c r="C522" s="23"/>
      <c r="D522" s="23"/>
      <c r="E522" s="24" t="s">
        <v>178</v>
      </c>
      <c r="F522" s="24"/>
      <c r="G522" s="25">
        <v>0</v>
      </c>
      <c r="H522" s="16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.75" hidden="1" customHeight="1">
      <c r="A523" s="9"/>
      <c r="B523" s="11">
        <v>45686</v>
      </c>
      <c r="C523" s="12">
        <v>0</v>
      </c>
      <c r="D523" s="12">
        <v>13105</v>
      </c>
      <c r="E523" s="26" t="s">
        <v>31</v>
      </c>
      <c r="F523" s="27">
        <v>12907</v>
      </c>
      <c r="G523" s="28">
        <v>210.37</v>
      </c>
      <c r="H523" s="22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.75" hidden="1" customHeight="1">
      <c r="A524" s="9"/>
      <c r="B524" s="29"/>
      <c r="C524" s="29"/>
      <c r="D524" s="29"/>
      <c r="E524" s="13" t="s">
        <v>179</v>
      </c>
      <c r="F524" s="13"/>
      <c r="G524" s="30">
        <v>0</v>
      </c>
      <c r="H524" s="16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.75" hidden="1" customHeight="1">
      <c r="A525" s="9"/>
      <c r="B525" s="17">
        <v>45686</v>
      </c>
      <c r="C525" s="18">
        <v>0</v>
      </c>
      <c r="D525" s="18">
        <v>13105</v>
      </c>
      <c r="E525" s="19" t="s">
        <v>31</v>
      </c>
      <c r="F525" s="20">
        <v>12908</v>
      </c>
      <c r="G525" s="31">
        <v>236.18</v>
      </c>
      <c r="H525" s="22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28.5" hidden="1" customHeight="1">
      <c r="A526" s="9"/>
      <c r="B526" s="23"/>
      <c r="C526" s="23"/>
      <c r="D526" s="23"/>
      <c r="E526" s="24" t="s">
        <v>180</v>
      </c>
      <c r="F526" s="24"/>
      <c r="G526" s="25">
        <v>0</v>
      </c>
      <c r="H526" s="16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.75" hidden="1" customHeight="1">
      <c r="A527" s="9"/>
      <c r="B527" s="11">
        <v>45686</v>
      </c>
      <c r="C527" s="12">
        <v>0</v>
      </c>
      <c r="D527" s="12">
        <v>13105</v>
      </c>
      <c r="E527" s="26" t="s">
        <v>31</v>
      </c>
      <c r="F527" s="27">
        <v>12909</v>
      </c>
      <c r="G527" s="28">
        <v>268.73</v>
      </c>
      <c r="H527" s="22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28.5" hidden="1" customHeight="1">
      <c r="A528" s="9"/>
      <c r="B528" s="29"/>
      <c r="C528" s="29"/>
      <c r="D528" s="29"/>
      <c r="E528" s="13" t="s">
        <v>41</v>
      </c>
      <c r="F528" s="13"/>
      <c r="G528" s="30">
        <v>0</v>
      </c>
      <c r="H528" s="16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.75" hidden="1" customHeight="1">
      <c r="A529" s="9"/>
      <c r="B529" s="17">
        <v>45686</v>
      </c>
      <c r="C529" s="18">
        <v>0</v>
      </c>
      <c r="D529" s="18">
        <v>13105</v>
      </c>
      <c r="E529" s="19" t="s">
        <v>31</v>
      </c>
      <c r="F529" s="20">
        <v>12910</v>
      </c>
      <c r="G529" s="31">
        <v>316.11</v>
      </c>
      <c r="H529" s="22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28.5" hidden="1" customHeight="1">
      <c r="A530" s="9"/>
      <c r="B530" s="23"/>
      <c r="C530" s="23"/>
      <c r="D530" s="23"/>
      <c r="E530" s="24" t="s">
        <v>41</v>
      </c>
      <c r="F530" s="24"/>
      <c r="G530" s="25">
        <v>0</v>
      </c>
      <c r="H530" s="16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.75" hidden="1" customHeight="1">
      <c r="A531" s="9"/>
      <c r="B531" s="11">
        <v>45686</v>
      </c>
      <c r="C531" s="12">
        <v>0</v>
      </c>
      <c r="D531" s="12">
        <v>13105</v>
      </c>
      <c r="E531" s="26" t="s">
        <v>31</v>
      </c>
      <c r="F531" s="27">
        <v>12911</v>
      </c>
      <c r="G531" s="28">
        <v>530.88</v>
      </c>
      <c r="H531" s="22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28.5" hidden="1" customHeight="1">
      <c r="A532" s="9"/>
      <c r="B532" s="29"/>
      <c r="C532" s="29"/>
      <c r="D532" s="29"/>
      <c r="E532" s="13" t="s">
        <v>41</v>
      </c>
      <c r="F532" s="13"/>
      <c r="G532" s="30">
        <v>0</v>
      </c>
      <c r="H532" s="16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.75" hidden="1" customHeight="1">
      <c r="A533" s="9"/>
      <c r="B533" s="17">
        <v>45686</v>
      </c>
      <c r="C533" s="18">
        <v>0</v>
      </c>
      <c r="D533" s="18">
        <v>13105</v>
      </c>
      <c r="E533" s="19" t="s">
        <v>31</v>
      </c>
      <c r="F533" s="20">
        <v>12912</v>
      </c>
      <c r="G533" s="31">
        <v>233.04</v>
      </c>
      <c r="H533" s="22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28.5" hidden="1" customHeight="1">
      <c r="A534" s="9"/>
      <c r="B534" s="23"/>
      <c r="C534" s="23"/>
      <c r="D534" s="23"/>
      <c r="E534" s="24" t="s">
        <v>41</v>
      </c>
      <c r="F534" s="24"/>
      <c r="G534" s="25">
        <v>0</v>
      </c>
      <c r="H534" s="16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.75" hidden="1" customHeight="1">
      <c r="A535" s="9"/>
      <c r="B535" s="11">
        <v>45686</v>
      </c>
      <c r="C535" s="12">
        <v>0</v>
      </c>
      <c r="D535" s="12">
        <v>13105</v>
      </c>
      <c r="E535" s="26" t="s">
        <v>31</v>
      </c>
      <c r="F535" s="27">
        <v>12913</v>
      </c>
      <c r="G535" s="28">
        <v>289</v>
      </c>
      <c r="H535" s="22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28.5" hidden="1" customHeight="1">
      <c r="A536" s="9"/>
      <c r="B536" s="29"/>
      <c r="C536" s="29"/>
      <c r="D536" s="29"/>
      <c r="E536" s="13" t="s">
        <v>41</v>
      </c>
      <c r="F536" s="13"/>
      <c r="G536" s="30">
        <v>0</v>
      </c>
      <c r="H536" s="16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.75" hidden="1" customHeight="1">
      <c r="A537" s="9"/>
      <c r="B537" s="17">
        <v>45686</v>
      </c>
      <c r="C537" s="18">
        <v>0</v>
      </c>
      <c r="D537" s="18">
        <v>13105</v>
      </c>
      <c r="E537" s="19" t="s">
        <v>31</v>
      </c>
      <c r="F537" s="20">
        <v>12914</v>
      </c>
      <c r="G537" s="31">
        <v>273.22000000000003</v>
      </c>
      <c r="H537" s="22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28.5" hidden="1" customHeight="1">
      <c r="A538" s="9"/>
      <c r="B538" s="23"/>
      <c r="C538" s="23"/>
      <c r="D538" s="23"/>
      <c r="E538" s="24" t="s">
        <v>41</v>
      </c>
      <c r="F538" s="24"/>
      <c r="G538" s="25">
        <v>0</v>
      </c>
      <c r="H538" s="16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.75" hidden="1" customHeight="1">
      <c r="A539" s="9"/>
      <c r="B539" s="11">
        <v>45686</v>
      </c>
      <c r="C539" s="12">
        <v>0</v>
      </c>
      <c r="D539" s="12">
        <v>13105</v>
      </c>
      <c r="E539" s="26" t="s">
        <v>31</v>
      </c>
      <c r="F539" s="27">
        <v>12915</v>
      </c>
      <c r="G539" s="28">
        <v>302.31</v>
      </c>
      <c r="H539" s="22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28.5" hidden="1" customHeight="1">
      <c r="A540" s="9"/>
      <c r="B540" s="29"/>
      <c r="C540" s="29"/>
      <c r="D540" s="29"/>
      <c r="E540" s="13" t="s">
        <v>41</v>
      </c>
      <c r="F540" s="13"/>
      <c r="G540" s="30">
        <v>0</v>
      </c>
      <c r="H540" s="16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.75" hidden="1" customHeight="1">
      <c r="A541" s="9"/>
      <c r="B541" s="17">
        <v>45686</v>
      </c>
      <c r="C541" s="18">
        <v>0</v>
      </c>
      <c r="D541" s="18">
        <v>0</v>
      </c>
      <c r="E541" s="19" t="s">
        <v>52</v>
      </c>
      <c r="F541" s="20">
        <v>9903</v>
      </c>
      <c r="G541" s="21">
        <v>4583.99</v>
      </c>
      <c r="H541" s="22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.75" hidden="1" customHeight="1">
      <c r="A542" s="9"/>
      <c r="B542" s="23"/>
      <c r="C542" s="23"/>
      <c r="D542" s="23"/>
      <c r="E542" s="24" t="s">
        <v>53</v>
      </c>
      <c r="F542" s="24"/>
      <c r="G542" s="25">
        <v>0</v>
      </c>
      <c r="H542" s="16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5.75" hidden="1" customHeight="1">
      <c r="A543" s="9"/>
      <c r="B543" s="11">
        <v>45687</v>
      </c>
      <c r="C543" s="12">
        <v>0</v>
      </c>
      <c r="D543" s="12">
        <v>14175</v>
      </c>
      <c r="E543" s="26" t="s">
        <v>166</v>
      </c>
      <c r="F543" s="27">
        <v>33711662</v>
      </c>
      <c r="G543" s="15">
        <v>3753.54</v>
      </c>
      <c r="H543" s="22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28.5" hidden="1" customHeight="1">
      <c r="A544" s="9"/>
      <c r="B544" s="29"/>
      <c r="C544" s="29"/>
      <c r="D544" s="29"/>
      <c r="E544" s="13" t="s">
        <v>181</v>
      </c>
      <c r="F544" s="13"/>
      <c r="G544" s="30">
        <v>0</v>
      </c>
      <c r="H544" s="16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.75" hidden="1" customHeight="1">
      <c r="A545" s="9"/>
      <c r="B545" s="17">
        <v>45687</v>
      </c>
      <c r="C545" s="18">
        <v>0</v>
      </c>
      <c r="D545" s="18">
        <v>14175</v>
      </c>
      <c r="E545" s="19" t="s">
        <v>166</v>
      </c>
      <c r="F545" s="20">
        <v>33712112</v>
      </c>
      <c r="G545" s="21">
        <v>2073</v>
      </c>
      <c r="H545" s="22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28.5" hidden="1" customHeight="1">
      <c r="A546" s="9"/>
      <c r="B546" s="23"/>
      <c r="C546" s="23"/>
      <c r="D546" s="23"/>
      <c r="E546" s="24" t="s">
        <v>181</v>
      </c>
      <c r="F546" s="24"/>
      <c r="G546" s="25">
        <v>0</v>
      </c>
      <c r="H546" s="16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.75" hidden="1" customHeight="1">
      <c r="A547" s="9"/>
      <c r="B547" s="11">
        <v>45687</v>
      </c>
      <c r="C547" s="12">
        <v>0</v>
      </c>
      <c r="D547" s="12">
        <v>14175</v>
      </c>
      <c r="E547" s="26" t="s">
        <v>62</v>
      </c>
      <c r="F547" s="27">
        <v>367902303</v>
      </c>
      <c r="G547" s="15">
        <v>2200</v>
      </c>
      <c r="H547" s="22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28.5" hidden="1" customHeight="1">
      <c r="A548" s="9"/>
      <c r="B548" s="29"/>
      <c r="C548" s="29"/>
      <c r="D548" s="29"/>
      <c r="E548" s="13" t="s">
        <v>97</v>
      </c>
      <c r="F548" s="13"/>
      <c r="G548" s="30">
        <v>0</v>
      </c>
      <c r="H548" s="16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.75" hidden="1" customHeight="1">
      <c r="A549" s="9"/>
      <c r="B549" s="17">
        <v>45687</v>
      </c>
      <c r="C549" s="18">
        <v>0</v>
      </c>
      <c r="D549" s="18">
        <v>14397</v>
      </c>
      <c r="E549" s="19" t="s">
        <v>57</v>
      </c>
      <c r="F549" s="20">
        <v>301010481758062</v>
      </c>
      <c r="G549" s="21">
        <v>34.14</v>
      </c>
      <c r="H549" s="22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28.5" hidden="1" customHeight="1">
      <c r="A550" s="9"/>
      <c r="B550" s="23"/>
      <c r="C550" s="23"/>
      <c r="D550" s="23"/>
      <c r="E550" s="24" t="s">
        <v>182</v>
      </c>
      <c r="F550" s="24"/>
      <c r="G550" s="25">
        <v>0</v>
      </c>
      <c r="H550" s="16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.75" hidden="1" customHeight="1">
      <c r="A551" s="9"/>
      <c r="B551" s="11">
        <v>45687</v>
      </c>
      <c r="C551" s="12">
        <v>0</v>
      </c>
      <c r="D551" s="12">
        <v>13105</v>
      </c>
      <c r="E551" s="26" t="s">
        <v>31</v>
      </c>
      <c r="F551" s="27">
        <v>13001</v>
      </c>
      <c r="G551" s="28">
        <v>362.76</v>
      </c>
      <c r="H551" s="22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.75" hidden="1" customHeight="1">
      <c r="A552" s="9"/>
      <c r="B552" s="29"/>
      <c r="C552" s="29"/>
      <c r="D552" s="29"/>
      <c r="E552" s="13" t="s">
        <v>183</v>
      </c>
      <c r="F552" s="13"/>
      <c r="G552" s="30">
        <v>0</v>
      </c>
      <c r="H552" s="16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.75" hidden="1" customHeight="1">
      <c r="A553" s="9"/>
      <c r="B553" s="17">
        <v>45687</v>
      </c>
      <c r="C553" s="18">
        <v>0</v>
      </c>
      <c r="D553" s="18">
        <v>13105</v>
      </c>
      <c r="E553" s="19" t="s">
        <v>31</v>
      </c>
      <c r="F553" s="20">
        <v>13002</v>
      </c>
      <c r="G553" s="31">
        <v>181.1</v>
      </c>
      <c r="H553" s="22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28.5" hidden="1" customHeight="1">
      <c r="A554" s="9"/>
      <c r="B554" s="23"/>
      <c r="C554" s="23"/>
      <c r="D554" s="23"/>
      <c r="E554" s="24" t="s">
        <v>184</v>
      </c>
      <c r="F554" s="24"/>
      <c r="G554" s="25"/>
      <c r="H554" s="16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.75" hidden="1" customHeight="1">
      <c r="A555" s="9"/>
      <c r="B555" s="11">
        <v>45687</v>
      </c>
      <c r="C555" s="12">
        <v>0</v>
      </c>
      <c r="D555" s="12">
        <v>13105</v>
      </c>
      <c r="E555" s="26" t="s">
        <v>31</v>
      </c>
      <c r="F555" s="27">
        <v>13003</v>
      </c>
      <c r="G555" s="28">
        <v>479.73</v>
      </c>
      <c r="H555" s="22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.75" hidden="1" customHeight="1">
      <c r="A556" s="9"/>
      <c r="B556" s="29"/>
      <c r="C556" s="29"/>
      <c r="D556" s="29"/>
      <c r="E556" s="13" t="s">
        <v>46</v>
      </c>
      <c r="F556" s="13"/>
      <c r="G556" s="30"/>
      <c r="H556" s="16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.75" hidden="1" customHeight="1">
      <c r="A557" s="9"/>
      <c r="B557" s="17">
        <v>45687</v>
      </c>
      <c r="C557" s="18">
        <v>0</v>
      </c>
      <c r="D557" s="18">
        <v>13105</v>
      </c>
      <c r="E557" s="19" t="s">
        <v>31</v>
      </c>
      <c r="F557" s="20">
        <v>13004</v>
      </c>
      <c r="G557" s="31">
        <v>360.43</v>
      </c>
      <c r="H557" s="22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.75" hidden="1" customHeight="1">
      <c r="A558" s="9"/>
      <c r="B558" s="23"/>
      <c r="C558" s="23"/>
      <c r="D558" s="23"/>
      <c r="E558" s="24" t="s">
        <v>47</v>
      </c>
      <c r="F558" s="24"/>
      <c r="G558" s="25"/>
      <c r="H558" s="16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.75" hidden="1" customHeight="1">
      <c r="A559" s="9"/>
      <c r="B559" s="11">
        <v>45687</v>
      </c>
      <c r="C559" s="12">
        <v>0</v>
      </c>
      <c r="D559" s="12">
        <v>13105</v>
      </c>
      <c r="E559" s="26" t="s">
        <v>31</v>
      </c>
      <c r="F559" s="27">
        <v>13005</v>
      </c>
      <c r="G559" s="28">
        <v>100</v>
      </c>
      <c r="H559" s="22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.75" hidden="1" customHeight="1">
      <c r="A560" s="9"/>
      <c r="B560" s="29"/>
      <c r="C560" s="29"/>
      <c r="D560" s="29"/>
      <c r="E560" s="13" t="s">
        <v>185</v>
      </c>
      <c r="F560" s="13"/>
      <c r="G560" s="30"/>
      <c r="H560" s="16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5.75" hidden="1" customHeight="1">
      <c r="A561" s="9"/>
      <c r="B561" s="17">
        <v>45687</v>
      </c>
      <c r="C561" s="18">
        <v>0</v>
      </c>
      <c r="D561" s="18">
        <v>13105</v>
      </c>
      <c r="E561" s="19" t="s">
        <v>31</v>
      </c>
      <c r="F561" s="20">
        <v>13006</v>
      </c>
      <c r="G561" s="31">
        <v>507</v>
      </c>
      <c r="H561" s="22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.75" hidden="1" customHeight="1">
      <c r="A562" s="9"/>
      <c r="B562" s="23"/>
      <c r="C562" s="23"/>
      <c r="D562" s="23"/>
      <c r="E562" s="24" t="s">
        <v>186</v>
      </c>
      <c r="F562" s="24"/>
      <c r="G562" s="25"/>
      <c r="H562" s="16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.75" hidden="1" customHeight="1">
      <c r="A563" s="9"/>
      <c r="B563" s="11">
        <v>45687</v>
      </c>
      <c r="C563" s="12">
        <v>0</v>
      </c>
      <c r="D563" s="12">
        <v>13105</v>
      </c>
      <c r="E563" s="26" t="s">
        <v>118</v>
      </c>
      <c r="F563" s="27">
        <v>13007</v>
      </c>
      <c r="G563" s="28">
        <v>275.07</v>
      </c>
      <c r="H563" s="22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.75" hidden="1" customHeight="1">
      <c r="A564" s="9"/>
      <c r="B564" s="29"/>
      <c r="C564" s="29"/>
      <c r="D564" s="29"/>
      <c r="E564" s="13" t="s">
        <v>187</v>
      </c>
      <c r="F564" s="13"/>
      <c r="G564" s="30"/>
      <c r="H564" s="16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.75" hidden="1" customHeight="1">
      <c r="A565" s="9"/>
      <c r="B565" s="17">
        <v>45687</v>
      </c>
      <c r="C565" s="18">
        <v>0</v>
      </c>
      <c r="D565" s="18">
        <v>13105</v>
      </c>
      <c r="E565" s="19" t="s">
        <v>31</v>
      </c>
      <c r="F565" s="20">
        <v>13008</v>
      </c>
      <c r="G565" s="31">
        <v>741.98</v>
      </c>
      <c r="H565" s="22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28.5" hidden="1" customHeight="1">
      <c r="A566" s="9"/>
      <c r="B566" s="23"/>
      <c r="C566" s="23"/>
      <c r="D566" s="23"/>
      <c r="E566" s="24" t="s">
        <v>188</v>
      </c>
      <c r="F566" s="24"/>
      <c r="G566" s="25"/>
      <c r="H566" s="16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.75" hidden="1" customHeight="1">
      <c r="A567" s="9"/>
      <c r="B567" s="11">
        <v>45687</v>
      </c>
      <c r="C567" s="12">
        <v>0</v>
      </c>
      <c r="D567" s="12">
        <v>13113</v>
      </c>
      <c r="E567" s="26" t="s">
        <v>189</v>
      </c>
      <c r="F567" s="27">
        <v>890301200165656</v>
      </c>
      <c r="G567" s="28">
        <v>2.72</v>
      </c>
      <c r="H567" s="22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28.5" hidden="1" customHeight="1">
      <c r="A568" s="9"/>
      <c r="B568" s="29"/>
      <c r="C568" s="29"/>
      <c r="D568" s="29"/>
      <c r="E568" s="13" t="s">
        <v>190</v>
      </c>
      <c r="F568" s="13"/>
      <c r="G568" s="30"/>
      <c r="H568" s="16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.75" hidden="1" customHeight="1">
      <c r="A569" s="9"/>
      <c r="B569" s="17">
        <v>45687</v>
      </c>
      <c r="C569" s="18">
        <v>0</v>
      </c>
      <c r="D569" s="18">
        <v>0</v>
      </c>
      <c r="E569" s="19" t="s">
        <v>59</v>
      </c>
      <c r="F569" s="20">
        <v>9903</v>
      </c>
      <c r="G569" s="31">
        <v>5049.8900000000003</v>
      </c>
      <c r="H569" s="22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.75" hidden="1" customHeight="1">
      <c r="A570" s="9"/>
      <c r="B570" s="23"/>
      <c r="C570" s="23"/>
      <c r="D570" s="23"/>
      <c r="E570" s="24" t="s">
        <v>53</v>
      </c>
      <c r="F570" s="24"/>
      <c r="G570" s="25"/>
      <c r="H570" s="16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21.75" hidden="1" customHeight="1">
      <c r="A571" s="9"/>
      <c r="B571" s="11">
        <v>45688</v>
      </c>
      <c r="C571" s="12">
        <v>984</v>
      </c>
      <c r="D571" s="12">
        <v>99015</v>
      </c>
      <c r="E571" s="26" t="s">
        <v>27</v>
      </c>
      <c r="F571" s="27">
        <v>550984000009790</v>
      </c>
      <c r="G571" s="15">
        <v>11424</v>
      </c>
      <c r="H571" s="22" t="s">
        <v>102</v>
      </c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.75" hidden="1" customHeight="1">
      <c r="A572" s="9"/>
      <c r="B572" s="29"/>
      <c r="C572" s="29"/>
      <c r="D572" s="29"/>
      <c r="E572" s="13" t="s">
        <v>191</v>
      </c>
      <c r="F572" s="13"/>
      <c r="G572" s="30"/>
      <c r="H572" s="16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.75" hidden="1" customHeight="1">
      <c r="A573" s="9"/>
      <c r="B573" s="17">
        <v>45688</v>
      </c>
      <c r="C573" s="18">
        <v>0</v>
      </c>
      <c r="D573" s="18">
        <v>14397</v>
      </c>
      <c r="E573" s="19" t="s">
        <v>57</v>
      </c>
      <c r="F573" s="20">
        <v>383471320781581</v>
      </c>
      <c r="G573" s="21">
        <v>4278</v>
      </c>
      <c r="H573" s="22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28.5" hidden="1" customHeight="1">
      <c r="A574" s="9"/>
      <c r="B574" s="23"/>
      <c r="C574" s="23"/>
      <c r="D574" s="23"/>
      <c r="E574" s="24" t="s">
        <v>192</v>
      </c>
      <c r="F574" s="24"/>
      <c r="G574" s="25"/>
      <c r="H574" s="16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.75" hidden="1" customHeight="1">
      <c r="A575" s="9"/>
      <c r="B575" s="11">
        <v>45688</v>
      </c>
      <c r="C575" s="12">
        <v>1533</v>
      </c>
      <c r="D575" s="12">
        <v>99008</v>
      </c>
      <c r="E575" s="26" t="s">
        <v>29</v>
      </c>
      <c r="F575" s="27">
        <v>34627</v>
      </c>
      <c r="G575" s="28">
        <v>269.98</v>
      </c>
      <c r="H575" s="22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.75" hidden="1" customHeight="1">
      <c r="A576" s="9"/>
      <c r="B576" s="29"/>
      <c r="C576" s="29"/>
      <c r="D576" s="29"/>
      <c r="E576" s="13" t="s">
        <v>193</v>
      </c>
      <c r="F576" s="13"/>
      <c r="G576" s="30"/>
      <c r="H576" s="16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.75" hidden="1" customHeight="1">
      <c r="A577" s="9"/>
      <c r="B577" s="17">
        <v>45688</v>
      </c>
      <c r="C577" s="18">
        <v>1533</v>
      </c>
      <c r="D577" s="18">
        <v>99008</v>
      </c>
      <c r="E577" s="19" t="s">
        <v>29</v>
      </c>
      <c r="F577" s="20">
        <v>403219</v>
      </c>
      <c r="G577" s="31">
        <v>328.32</v>
      </c>
      <c r="H577" s="22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.75" hidden="1" customHeight="1">
      <c r="A578" s="9"/>
      <c r="B578" s="23"/>
      <c r="C578" s="23"/>
      <c r="D578" s="23"/>
      <c r="E578" s="24" t="s">
        <v>194</v>
      </c>
      <c r="F578" s="24"/>
      <c r="G578" s="25"/>
      <c r="H578" s="16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.75" hidden="1" customHeight="1">
      <c r="A579" s="9"/>
      <c r="B579" s="11">
        <v>45688</v>
      </c>
      <c r="C579" s="12">
        <v>1533</v>
      </c>
      <c r="D579" s="12">
        <v>99015</v>
      </c>
      <c r="E579" s="26" t="s">
        <v>195</v>
      </c>
      <c r="F579" s="27">
        <v>552035000092019</v>
      </c>
      <c r="G579" s="28">
        <v>5000</v>
      </c>
      <c r="H579" s="22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.75" hidden="1" customHeight="1">
      <c r="A580" s="9"/>
      <c r="B580" s="29"/>
      <c r="C580" s="29"/>
      <c r="D580" s="29"/>
      <c r="E580" s="13" t="s">
        <v>196</v>
      </c>
      <c r="F580" s="13"/>
      <c r="G580" s="30"/>
      <c r="H580" s="16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.75" hidden="1" customHeight="1">
      <c r="A581" s="9"/>
      <c r="B581" s="17">
        <v>45688</v>
      </c>
      <c r="C581" s="18">
        <v>1533</v>
      </c>
      <c r="D581" s="18">
        <v>99015</v>
      </c>
      <c r="E581" s="19" t="s">
        <v>195</v>
      </c>
      <c r="F581" s="20">
        <v>552878000021801</v>
      </c>
      <c r="G581" s="31">
        <v>554.16999999999996</v>
      </c>
      <c r="H581" s="22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28.5" hidden="1" customHeight="1">
      <c r="A582" s="9"/>
      <c r="B582" s="23"/>
      <c r="C582" s="23"/>
      <c r="D582" s="23"/>
      <c r="E582" s="24" t="s">
        <v>197</v>
      </c>
      <c r="F582" s="24"/>
      <c r="G582" s="25"/>
      <c r="H582" s="16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.75" hidden="1" customHeight="1">
      <c r="A583" s="9"/>
      <c r="B583" s="11">
        <v>45688</v>
      </c>
      <c r="C583" s="12">
        <v>0</v>
      </c>
      <c r="D583" s="12">
        <v>13105</v>
      </c>
      <c r="E583" s="26" t="s">
        <v>31</v>
      </c>
      <c r="F583" s="27">
        <v>13102</v>
      </c>
      <c r="G583" s="28">
        <v>1076.78</v>
      </c>
      <c r="H583" s="22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28.5" hidden="1" customHeight="1">
      <c r="A584" s="9"/>
      <c r="B584" s="29"/>
      <c r="C584" s="29"/>
      <c r="D584" s="29"/>
      <c r="E584" s="13" t="s">
        <v>198</v>
      </c>
      <c r="F584" s="13"/>
      <c r="G584" s="30"/>
      <c r="H584" s="16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.75" hidden="1" customHeight="1">
      <c r="A585" s="9"/>
      <c r="B585" s="17">
        <v>45688</v>
      </c>
      <c r="C585" s="18">
        <v>0</v>
      </c>
      <c r="D585" s="18">
        <v>13105</v>
      </c>
      <c r="E585" s="19" t="s">
        <v>31</v>
      </c>
      <c r="F585" s="20">
        <v>13103</v>
      </c>
      <c r="G585" s="31">
        <v>297.44</v>
      </c>
      <c r="H585" s="22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28.5" hidden="1" customHeight="1">
      <c r="A586" s="9"/>
      <c r="B586" s="23"/>
      <c r="C586" s="23"/>
      <c r="D586" s="23"/>
      <c r="E586" s="24" t="s">
        <v>199</v>
      </c>
      <c r="F586" s="24"/>
      <c r="G586" s="25">
        <v>0</v>
      </c>
      <c r="H586" s="16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.75" hidden="1" customHeight="1">
      <c r="A587" s="9"/>
      <c r="B587" s="11">
        <v>45688</v>
      </c>
      <c r="C587" s="12">
        <v>0</v>
      </c>
      <c r="D587" s="12">
        <v>13105</v>
      </c>
      <c r="E587" s="26" t="s">
        <v>31</v>
      </c>
      <c r="F587" s="27">
        <v>13104</v>
      </c>
      <c r="G587" s="28">
        <v>297.44</v>
      </c>
      <c r="H587" s="22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28.5" hidden="1" customHeight="1">
      <c r="A588" s="9"/>
      <c r="B588" s="29"/>
      <c r="C588" s="29"/>
      <c r="D588" s="29"/>
      <c r="E588" s="13" t="s">
        <v>199</v>
      </c>
      <c r="F588" s="13"/>
      <c r="G588" s="30">
        <v>0</v>
      </c>
      <c r="H588" s="16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.75" hidden="1" customHeight="1">
      <c r="A589" s="9"/>
      <c r="B589" s="17">
        <v>45688</v>
      </c>
      <c r="C589" s="18">
        <v>0</v>
      </c>
      <c r="D589" s="18">
        <v>13105</v>
      </c>
      <c r="E589" s="19" t="s">
        <v>31</v>
      </c>
      <c r="F589" s="20">
        <v>13105</v>
      </c>
      <c r="G589" s="31">
        <v>126.08</v>
      </c>
      <c r="H589" s="22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.75" hidden="1" customHeight="1">
      <c r="A590" s="9"/>
      <c r="B590" s="23"/>
      <c r="C590" s="23"/>
      <c r="D590" s="23"/>
      <c r="E590" s="24" t="s">
        <v>47</v>
      </c>
      <c r="F590" s="24"/>
      <c r="G590" s="25">
        <v>0</v>
      </c>
      <c r="H590" s="16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.75" hidden="1" customHeight="1">
      <c r="A591" s="9"/>
      <c r="B591" s="11">
        <v>45688</v>
      </c>
      <c r="C591" s="12">
        <v>0</v>
      </c>
      <c r="D591" s="12">
        <v>13105</v>
      </c>
      <c r="E591" s="26" t="s">
        <v>31</v>
      </c>
      <c r="F591" s="27">
        <v>13106</v>
      </c>
      <c r="G591" s="28">
        <v>362.7</v>
      </c>
      <c r="H591" s="22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.75" hidden="1" customHeight="1">
      <c r="A592" s="9"/>
      <c r="B592" s="29"/>
      <c r="C592" s="29"/>
      <c r="D592" s="29"/>
      <c r="E592" s="13" t="s">
        <v>48</v>
      </c>
      <c r="F592" s="13"/>
      <c r="G592" s="30">
        <v>0</v>
      </c>
      <c r="H592" s="16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.75" hidden="1" customHeight="1">
      <c r="A593" s="9"/>
      <c r="B593" s="17">
        <v>45688</v>
      </c>
      <c r="C593" s="18">
        <v>0</v>
      </c>
      <c r="D593" s="18">
        <v>13105</v>
      </c>
      <c r="E593" s="19" t="s">
        <v>31</v>
      </c>
      <c r="F593" s="20">
        <v>13107</v>
      </c>
      <c r="G593" s="31">
        <v>1431.14</v>
      </c>
      <c r="H593" s="22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.75" hidden="1" customHeight="1">
      <c r="A594" s="9"/>
      <c r="B594" s="23"/>
      <c r="C594" s="23"/>
      <c r="D594" s="23"/>
      <c r="E594" s="24" t="s">
        <v>46</v>
      </c>
      <c r="F594" s="24"/>
      <c r="G594" s="25">
        <v>0</v>
      </c>
      <c r="H594" s="16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.75" hidden="1" customHeight="1">
      <c r="A595" s="9"/>
      <c r="B595" s="11">
        <v>45688</v>
      </c>
      <c r="C595" s="12">
        <v>0</v>
      </c>
      <c r="D595" s="12">
        <v>13105</v>
      </c>
      <c r="E595" s="26" t="s">
        <v>31</v>
      </c>
      <c r="F595" s="27">
        <v>13108</v>
      </c>
      <c r="G595" s="28">
        <v>108.16</v>
      </c>
      <c r="H595" s="22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.75" hidden="1" customHeight="1">
      <c r="A596" s="9"/>
      <c r="B596" s="29"/>
      <c r="C596" s="29"/>
      <c r="D596" s="29"/>
      <c r="E596" s="13" t="s">
        <v>46</v>
      </c>
      <c r="F596" s="13"/>
      <c r="G596" s="30">
        <v>0</v>
      </c>
      <c r="H596" s="16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.75" hidden="1" customHeight="1">
      <c r="A597" s="9"/>
      <c r="B597" s="17">
        <v>45688</v>
      </c>
      <c r="C597" s="18">
        <v>0</v>
      </c>
      <c r="D597" s="18">
        <v>13105</v>
      </c>
      <c r="E597" s="19" t="s">
        <v>31</v>
      </c>
      <c r="F597" s="20">
        <v>13109</v>
      </c>
      <c r="G597" s="31">
        <v>209.69</v>
      </c>
      <c r="H597" s="22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.75" hidden="1" customHeight="1">
      <c r="A598" s="9"/>
      <c r="B598" s="23"/>
      <c r="C598" s="23"/>
      <c r="D598" s="23"/>
      <c r="E598" s="24" t="s">
        <v>200</v>
      </c>
      <c r="F598" s="24"/>
      <c r="G598" s="25">
        <v>0</v>
      </c>
      <c r="H598" s="16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.75" hidden="1" customHeight="1">
      <c r="A599" s="9"/>
      <c r="B599" s="11">
        <v>45688</v>
      </c>
      <c r="C599" s="12">
        <v>0</v>
      </c>
      <c r="D599" s="12">
        <v>13105</v>
      </c>
      <c r="E599" s="26" t="s">
        <v>31</v>
      </c>
      <c r="F599" s="27">
        <v>13110</v>
      </c>
      <c r="G599" s="28">
        <v>147.54</v>
      </c>
      <c r="H599" s="22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.75" hidden="1" customHeight="1">
      <c r="A600" s="9"/>
      <c r="B600" s="29"/>
      <c r="C600" s="29"/>
      <c r="D600" s="29"/>
      <c r="E600" s="13" t="s">
        <v>200</v>
      </c>
      <c r="F600" s="13"/>
      <c r="G600" s="30">
        <v>0</v>
      </c>
      <c r="H600" s="16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.75" hidden="1" customHeight="1">
      <c r="A601" s="9"/>
      <c r="B601" s="17">
        <v>45688</v>
      </c>
      <c r="C601" s="18">
        <v>0</v>
      </c>
      <c r="D601" s="18">
        <v>13105</v>
      </c>
      <c r="E601" s="19" t="s">
        <v>31</v>
      </c>
      <c r="F601" s="20">
        <v>13111</v>
      </c>
      <c r="G601" s="31">
        <v>438.97</v>
      </c>
      <c r="H601" s="22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.75" hidden="1" customHeight="1">
      <c r="A602" s="9"/>
      <c r="B602" s="23"/>
      <c r="C602" s="23"/>
      <c r="D602" s="23"/>
      <c r="E602" s="24" t="s">
        <v>201</v>
      </c>
      <c r="F602" s="24"/>
      <c r="G602" s="25">
        <v>0</v>
      </c>
      <c r="H602" s="16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.75" hidden="1" customHeight="1">
      <c r="A603" s="9"/>
      <c r="B603" s="11">
        <v>45688</v>
      </c>
      <c r="C603" s="12">
        <v>0</v>
      </c>
      <c r="D603" s="12">
        <v>13105</v>
      </c>
      <c r="E603" s="26" t="s">
        <v>118</v>
      </c>
      <c r="F603" s="27">
        <v>13112</v>
      </c>
      <c r="G603" s="28">
        <v>3000</v>
      </c>
      <c r="H603" s="22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28.5" hidden="1" customHeight="1">
      <c r="A604" s="9"/>
      <c r="B604" s="29"/>
      <c r="C604" s="29"/>
      <c r="D604" s="29"/>
      <c r="E604" s="13" t="s">
        <v>202</v>
      </c>
      <c r="F604" s="13"/>
      <c r="G604" s="30">
        <v>0</v>
      </c>
      <c r="H604" s="16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.75" hidden="1" customHeight="1">
      <c r="A605" s="9"/>
      <c r="B605" s="17">
        <v>45688</v>
      </c>
      <c r="C605" s="18">
        <v>0</v>
      </c>
      <c r="D605" s="18">
        <v>13105</v>
      </c>
      <c r="E605" s="19" t="s">
        <v>31</v>
      </c>
      <c r="F605" s="20">
        <v>13113</v>
      </c>
      <c r="G605" s="31">
        <v>1750</v>
      </c>
      <c r="H605" s="22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.75" hidden="1" customHeight="1">
      <c r="A606" s="9"/>
      <c r="B606" s="23"/>
      <c r="C606" s="23"/>
      <c r="D606" s="23"/>
      <c r="E606" s="24" t="s">
        <v>173</v>
      </c>
      <c r="F606" s="24"/>
      <c r="G606" s="25">
        <v>0</v>
      </c>
      <c r="H606" s="16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.75" hidden="1" customHeight="1">
      <c r="A607" s="9"/>
      <c r="B607" s="11">
        <v>45688</v>
      </c>
      <c r="C607" s="12">
        <v>0</v>
      </c>
      <c r="D607" s="12">
        <v>13113</v>
      </c>
      <c r="E607" s="26" t="s">
        <v>189</v>
      </c>
      <c r="F607" s="27">
        <v>890311200187092</v>
      </c>
      <c r="G607" s="28">
        <v>10</v>
      </c>
      <c r="H607" s="22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28.5" hidden="1" customHeight="1">
      <c r="A608" s="9"/>
      <c r="B608" s="29"/>
      <c r="C608" s="29"/>
      <c r="D608" s="29"/>
      <c r="E608" s="13" t="s">
        <v>203</v>
      </c>
      <c r="F608" s="13"/>
      <c r="G608" s="30">
        <v>0</v>
      </c>
      <c r="H608" s="16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.75" hidden="1" customHeight="1">
      <c r="A609" s="9"/>
      <c r="B609" s="17">
        <v>45688</v>
      </c>
      <c r="C609" s="18">
        <v>0</v>
      </c>
      <c r="D609" s="18">
        <v>13013</v>
      </c>
      <c r="E609" s="19" t="s">
        <v>204</v>
      </c>
      <c r="F609" s="20">
        <v>3941</v>
      </c>
      <c r="G609" s="31">
        <v>2321.17</v>
      </c>
      <c r="H609" s="22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.75" hidden="1" customHeight="1">
      <c r="A610" s="9"/>
      <c r="B610" s="23"/>
      <c r="C610" s="23"/>
      <c r="D610" s="23"/>
      <c r="E610" s="24" t="s">
        <v>205</v>
      </c>
      <c r="F610" s="24"/>
      <c r="G610" s="25">
        <v>0</v>
      </c>
      <c r="H610" s="16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.75" hidden="1" customHeight="1">
      <c r="A611" s="9"/>
      <c r="B611" s="11">
        <v>45688</v>
      </c>
      <c r="C611" s="12">
        <v>0</v>
      </c>
      <c r="D611" s="12">
        <v>13013</v>
      </c>
      <c r="E611" s="26" t="s">
        <v>204</v>
      </c>
      <c r="F611" s="27">
        <v>3941</v>
      </c>
      <c r="G611" s="28">
        <v>803.48</v>
      </c>
      <c r="H611" s="22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.75" hidden="1" customHeight="1">
      <c r="A612" s="9"/>
      <c r="B612" s="29"/>
      <c r="C612" s="29"/>
      <c r="D612" s="29"/>
      <c r="E612" s="13" t="s">
        <v>205</v>
      </c>
      <c r="F612" s="13"/>
      <c r="G612" s="30">
        <v>0</v>
      </c>
      <c r="H612" s="16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.75" hidden="1" customHeight="1">
      <c r="A613" s="9"/>
      <c r="B613" s="17">
        <v>45688</v>
      </c>
      <c r="C613" s="18">
        <v>0</v>
      </c>
      <c r="D613" s="18">
        <v>13013</v>
      </c>
      <c r="E613" s="19" t="s">
        <v>204</v>
      </c>
      <c r="F613" s="20">
        <v>3941</v>
      </c>
      <c r="G613" s="31">
        <v>576.64</v>
      </c>
      <c r="H613" s="22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.75" hidden="1" customHeight="1">
      <c r="A614" s="9"/>
      <c r="B614" s="23"/>
      <c r="C614" s="23"/>
      <c r="D614" s="23"/>
      <c r="E614" s="24" t="s">
        <v>205</v>
      </c>
      <c r="F614" s="24"/>
      <c r="G614" s="25">
        <v>0</v>
      </c>
      <c r="H614" s="16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.75" hidden="1" customHeight="1">
      <c r="A615" s="9"/>
      <c r="B615" s="11">
        <v>45688</v>
      </c>
      <c r="C615" s="12">
        <v>0</v>
      </c>
      <c r="D615" s="12">
        <v>13013</v>
      </c>
      <c r="E615" s="26" t="s">
        <v>204</v>
      </c>
      <c r="F615" s="27">
        <v>3941</v>
      </c>
      <c r="G615" s="28">
        <v>978.88</v>
      </c>
      <c r="H615" s="22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.75" hidden="1" customHeight="1">
      <c r="A616" s="9"/>
      <c r="B616" s="29"/>
      <c r="C616" s="29"/>
      <c r="D616" s="29"/>
      <c r="E616" s="13" t="s">
        <v>205</v>
      </c>
      <c r="F616" s="13"/>
      <c r="G616" s="30">
        <v>0</v>
      </c>
      <c r="H616" s="16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.75" hidden="1" customHeight="1">
      <c r="A617" s="9"/>
      <c r="B617" s="17">
        <v>45688</v>
      </c>
      <c r="C617" s="18">
        <v>0</v>
      </c>
      <c r="D617" s="18">
        <v>0</v>
      </c>
      <c r="E617" s="19" t="s">
        <v>52</v>
      </c>
      <c r="F617" s="20">
        <v>9903</v>
      </c>
      <c r="G617" s="21">
        <v>4386.58</v>
      </c>
      <c r="H617" s="22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.75" hidden="1" customHeight="1">
      <c r="A618" s="9"/>
      <c r="B618" s="23"/>
      <c r="C618" s="23"/>
      <c r="D618" s="23"/>
      <c r="E618" s="24" t="s">
        <v>53</v>
      </c>
      <c r="F618" s="24"/>
      <c r="G618" s="25">
        <v>0</v>
      </c>
      <c r="H618" s="16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.75" customHeight="1">
      <c r="A619" s="9"/>
      <c r="B619" s="50"/>
      <c r="C619" s="50"/>
      <c r="D619" s="50"/>
      <c r="E619" s="50"/>
      <c r="F619" s="50"/>
      <c r="G619" s="51"/>
      <c r="H619" s="50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.75" customHeight="1">
      <c r="A620" s="9"/>
      <c r="B620" s="50"/>
      <c r="C620" s="50"/>
      <c r="D620" s="50"/>
      <c r="E620" s="50"/>
      <c r="F620" s="50"/>
      <c r="G620" s="51"/>
      <c r="H620" s="50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.75" customHeight="1">
      <c r="A621" s="9"/>
      <c r="B621" s="50"/>
      <c r="C621" s="50"/>
      <c r="D621" s="50"/>
      <c r="E621" s="50"/>
      <c r="F621" s="50"/>
      <c r="G621" s="51"/>
      <c r="H621" s="50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.75" customHeight="1">
      <c r="A622" s="9"/>
      <c r="B622" s="50"/>
      <c r="C622" s="50"/>
      <c r="D622" s="50"/>
      <c r="E622" s="50"/>
      <c r="F622" s="50"/>
      <c r="G622" s="51"/>
      <c r="H622" s="50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.75" customHeight="1">
      <c r="A623" s="9"/>
      <c r="B623" s="50"/>
      <c r="C623" s="50"/>
      <c r="D623" s="50"/>
      <c r="E623" s="50"/>
      <c r="F623" s="50"/>
      <c r="G623" s="51"/>
      <c r="H623" s="50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.75" customHeight="1">
      <c r="A624" s="9"/>
      <c r="B624" s="50"/>
      <c r="C624" s="50"/>
      <c r="D624" s="50"/>
      <c r="E624" s="50"/>
      <c r="F624" s="50"/>
      <c r="G624" s="51"/>
      <c r="H624" s="50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.75" customHeight="1">
      <c r="A625" s="9"/>
      <c r="B625" s="50"/>
      <c r="C625" s="50"/>
      <c r="D625" s="50"/>
      <c r="E625" s="50"/>
      <c r="F625" s="50"/>
      <c r="G625" s="51"/>
      <c r="H625" s="50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.75" customHeight="1">
      <c r="A626" s="9"/>
      <c r="B626" s="50"/>
      <c r="C626" s="50"/>
      <c r="D626" s="50"/>
      <c r="E626" s="50"/>
      <c r="F626" s="50"/>
      <c r="G626" s="51"/>
      <c r="H626" s="50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.75" customHeight="1">
      <c r="A627" s="9"/>
      <c r="B627" s="50"/>
      <c r="C627" s="50"/>
      <c r="D627" s="50"/>
      <c r="E627" s="50"/>
      <c r="F627" s="50"/>
      <c r="G627" s="51"/>
      <c r="H627" s="50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.75" customHeight="1">
      <c r="A628" s="9"/>
      <c r="B628" s="50"/>
      <c r="C628" s="50"/>
      <c r="D628" s="50"/>
      <c r="E628" s="50"/>
      <c r="F628" s="50"/>
      <c r="G628" s="51"/>
      <c r="H628" s="50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.75" customHeight="1">
      <c r="A629" s="9"/>
      <c r="B629" s="50"/>
      <c r="C629" s="50"/>
      <c r="D629" s="50"/>
      <c r="E629" s="50"/>
      <c r="F629" s="50"/>
      <c r="G629" s="51"/>
      <c r="H629" s="50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.75" customHeight="1">
      <c r="A630" s="9"/>
      <c r="B630" s="50"/>
      <c r="C630" s="50"/>
      <c r="D630" s="50"/>
      <c r="E630" s="50"/>
      <c r="F630" s="50"/>
      <c r="G630" s="51"/>
      <c r="H630" s="50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.75" customHeight="1">
      <c r="A631" s="9"/>
      <c r="B631" s="50"/>
      <c r="C631" s="50"/>
      <c r="D631" s="50"/>
      <c r="E631" s="50"/>
      <c r="F631" s="50"/>
      <c r="G631" s="51"/>
      <c r="H631" s="50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.75" customHeight="1">
      <c r="A632" s="9"/>
      <c r="B632" s="50"/>
      <c r="C632" s="50"/>
      <c r="D632" s="50"/>
      <c r="E632" s="50"/>
      <c r="F632" s="50"/>
      <c r="G632" s="51"/>
      <c r="H632" s="50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.75" customHeight="1">
      <c r="A633" s="9"/>
      <c r="B633" s="50"/>
      <c r="C633" s="50"/>
      <c r="D633" s="50"/>
      <c r="E633" s="50"/>
      <c r="F633" s="50"/>
      <c r="G633" s="51"/>
      <c r="H633" s="50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.75" customHeight="1">
      <c r="A634" s="9"/>
      <c r="B634" s="50"/>
      <c r="C634" s="50"/>
      <c r="D634" s="50"/>
      <c r="E634" s="50"/>
      <c r="F634" s="50"/>
      <c r="G634" s="51"/>
      <c r="H634" s="50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.75" customHeight="1">
      <c r="A635" s="9"/>
      <c r="B635" s="50"/>
      <c r="C635" s="50"/>
      <c r="D635" s="50"/>
      <c r="E635" s="50"/>
      <c r="F635" s="50"/>
      <c r="G635" s="51"/>
      <c r="H635" s="50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.75" customHeight="1">
      <c r="A636" s="9"/>
      <c r="B636" s="50"/>
      <c r="C636" s="50"/>
      <c r="D636" s="50"/>
      <c r="E636" s="50"/>
      <c r="F636" s="50"/>
      <c r="G636" s="51"/>
      <c r="H636" s="50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.75" customHeight="1">
      <c r="A637" s="9"/>
      <c r="B637" s="50"/>
      <c r="C637" s="50"/>
      <c r="D637" s="50"/>
      <c r="E637" s="50"/>
      <c r="F637" s="50"/>
      <c r="G637" s="51"/>
      <c r="H637" s="50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.75" customHeight="1">
      <c r="A638" s="9"/>
      <c r="B638" s="50"/>
      <c r="C638" s="50"/>
      <c r="D638" s="50"/>
      <c r="E638" s="50"/>
      <c r="F638" s="50"/>
      <c r="G638" s="51"/>
      <c r="H638" s="50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.75" customHeight="1">
      <c r="A639" s="9"/>
      <c r="B639" s="50"/>
      <c r="C639" s="50"/>
      <c r="D639" s="50"/>
      <c r="E639" s="50"/>
      <c r="F639" s="50"/>
      <c r="G639" s="51"/>
      <c r="H639" s="50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.75" customHeight="1">
      <c r="A640" s="9"/>
      <c r="B640" s="50"/>
      <c r="C640" s="50"/>
      <c r="D640" s="50"/>
      <c r="E640" s="50"/>
      <c r="F640" s="50"/>
      <c r="G640" s="51"/>
      <c r="H640" s="50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.75" customHeight="1">
      <c r="A641" s="9"/>
      <c r="B641" s="50"/>
      <c r="C641" s="50"/>
      <c r="D641" s="50"/>
      <c r="E641" s="50"/>
      <c r="F641" s="50"/>
      <c r="G641" s="51"/>
      <c r="H641" s="50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.75" customHeight="1">
      <c r="A642" s="9"/>
      <c r="B642" s="50"/>
      <c r="C642" s="50"/>
      <c r="D642" s="50"/>
      <c r="E642" s="50"/>
      <c r="F642" s="50"/>
      <c r="G642" s="51"/>
      <c r="H642" s="50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.75" customHeight="1">
      <c r="A643" s="9"/>
      <c r="B643" s="50"/>
      <c r="C643" s="50"/>
      <c r="D643" s="50"/>
      <c r="E643" s="50"/>
      <c r="F643" s="50"/>
      <c r="G643" s="51"/>
      <c r="H643" s="50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.75" customHeight="1">
      <c r="A644" s="9"/>
      <c r="B644" s="50"/>
      <c r="C644" s="50"/>
      <c r="D644" s="50"/>
      <c r="E644" s="50"/>
      <c r="F644" s="50"/>
      <c r="G644" s="51"/>
      <c r="H644" s="50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.75" customHeight="1">
      <c r="A645" s="9"/>
      <c r="B645" s="50"/>
      <c r="C645" s="50"/>
      <c r="D645" s="50"/>
      <c r="E645" s="50"/>
      <c r="F645" s="50"/>
      <c r="G645" s="51"/>
      <c r="H645" s="50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.75" customHeight="1">
      <c r="A646" s="9"/>
      <c r="B646" s="50"/>
      <c r="C646" s="50"/>
      <c r="D646" s="50"/>
      <c r="E646" s="50"/>
      <c r="F646" s="50"/>
      <c r="G646" s="51"/>
      <c r="H646" s="50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.75" customHeight="1">
      <c r="A647" s="9"/>
      <c r="B647" s="50"/>
      <c r="C647" s="50"/>
      <c r="D647" s="50"/>
      <c r="E647" s="50"/>
      <c r="F647" s="50"/>
      <c r="G647" s="51"/>
      <c r="H647" s="50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.75" customHeight="1">
      <c r="A648" s="9"/>
      <c r="B648" s="50"/>
      <c r="C648" s="50"/>
      <c r="D648" s="50"/>
      <c r="E648" s="50"/>
      <c r="F648" s="50"/>
      <c r="G648" s="51"/>
      <c r="H648" s="50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.75" customHeight="1">
      <c r="A649" s="9"/>
      <c r="B649" s="50"/>
      <c r="C649" s="50"/>
      <c r="D649" s="50"/>
      <c r="E649" s="50"/>
      <c r="F649" s="50"/>
      <c r="G649" s="51"/>
      <c r="H649" s="50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.75" customHeight="1">
      <c r="A650" s="9"/>
      <c r="B650" s="50"/>
      <c r="C650" s="50"/>
      <c r="D650" s="50"/>
      <c r="E650" s="50"/>
      <c r="F650" s="50"/>
      <c r="G650" s="51"/>
      <c r="H650" s="50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.75" customHeight="1">
      <c r="A651" s="9"/>
      <c r="B651" s="50"/>
      <c r="C651" s="50"/>
      <c r="D651" s="50"/>
      <c r="E651" s="50"/>
      <c r="F651" s="50"/>
      <c r="G651" s="51"/>
      <c r="H651" s="50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.75" customHeight="1">
      <c r="A652" s="9"/>
      <c r="B652" s="50"/>
      <c r="C652" s="50"/>
      <c r="D652" s="50"/>
      <c r="E652" s="50"/>
      <c r="F652" s="50"/>
      <c r="G652" s="51"/>
      <c r="H652" s="50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.75" customHeight="1">
      <c r="A653" s="9"/>
      <c r="B653" s="50"/>
      <c r="C653" s="50"/>
      <c r="D653" s="50"/>
      <c r="E653" s="50"/>
      <c r="F653" s="50"/>
      <c r="G653" s="51"/>
      <c r="H653" s="50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.75" customHeight="1">
      <c r="A654" s="9"/>
      <c r="B654" s="50"/>
      <c r="C654" s="50"/>
      <c r="D654" s="50"/>
      <c r="E654" s="50"/>
      <c r="F654" s="50"/>
      <c r="G654" s="51"/>
      <c r="H654" s="50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.75" customHeight="1">
      <c r="A655" s="9"/>
      <c r="B655" s="50"/>
      <c r="C655" s="50"/>
      <c r="D655" s="50"/>
      <c r="E655" s="50"/>
      <c r="F655" s="50"/>
      <c r="G655" s="51"/>
      <c r="H655" s="50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.75" customHeight="1">
      <c r="A656" s="9"/>
      <c r="B656" s="50"/>
      <c r="C656" s="50"/>
      <c r="D656" s="50"/>
      <c r="E656" s="50"/>
      <c r="F656" s="50"/>
      <c r="G656" s="51"/>
      <c r="H656" s="50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.75" customHeight="1">
      <c r="A657" s="9"/>
      <c r="B657" s="50"/>
      <c r="C657" s="50"/>
      <c r="D657" s="50"/>
      <c r="E657" s="50"/>
      <c r="F657" s="50"/>
      <c r="G657" s="51"/>
      <c r="H657" s="50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.75" customHeight="1">
      <c r="A658" s="9"/>
      <c r="B658" s="50"/>
      <c r="C658" s="50"/>
      <c r="D658" s="50"/>
      <c r="E658" s="50"/>
      <c r="F658" s="50"/>
      <c r="G658" s="51"/>
      <c r="H658" s="50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.75" customHeight="1">
      <c r="A659" s="9"/>
      <c r="B659" s="50"/>
      <c r="C659" s="50"/>
      <c r="D659" s="50"/>
      <c r="E659" s="50"/>
      <c r="F659" s="50"/>
      <c r="G659" s="51"/>
      <c r="H659" s="50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.75" customHeight="1">
      <c r="A660" s="9"/>
      <c r="B660" s="50"/>
      <c r="C660" s="50"/>
      <c r="D660" s="50"/>
      <c r="E660" s="50"/>
      <c r="F660" s="50"/>
      <c r="G660" s="51"/>
      <c r="H660" s="50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.75" customHeight="1">
      <c r="A661" s="9"/>
      <c r="B661" s="50"/>
      <c r="C661" s="50"/>
      <c r="D661" s="50"/>
      <c r="E661" s="50"/>
      <c r="F661" s="50"/>
      <c r="G661" s="51"/>
      <c r="H661" s="50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.75" customHeight="1">
      <c r="A662" s="9"/>
      <c r="B662" s="50"/>
      <c r="C662" s="50"/>
      <c r="D662" s="50"/>
      <c r="E662" s="50"/>
      <c r="F662" s="50"/>
      <c r="G662" s="51"/>
      <c r="H662" s="50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.75" customHeight="1">
      <c r="A663" s="9"/>
      <c r="B663" s="50"/>
      <c r="C663" s="50"/>
      <c r="D663" s="50"/>
      <c r="E663" s="50"/>
      <c r="F663" s="50"/>
      <c r="G663" s="51"/>
      <c r="H663" s="50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.75" customHeight="1">
      <c r="A664" s="9"/>
      <c r="B664" s="50"/>
      <c r="C664" s="50"/>
      <c r="D664" s="50"/>
      <c r="E664" s="50"/>
      <c r="F664" s="50"/>
      <c r="G664" s="51"/>
      <c r="H664" s="50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.75" customHeight="1">
      <c r="A665" s="9"/>
      <c r="B665" s="50"/>
      <c r="C665" s="50"/>
      <c r="D665" s="50"/>
      <c r="E665" s="50"/>
      <c r="F665" s="50"/>
      <c r="G665" s="51"/>
      <c r="H665" s="50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.75" customHeight="1">
      <c r="A666" s="9"/>
      <c r="B666" s="50"/>
      <c r="C666" s="50"/>
      <c r="D666" s="50"/>
      <c r="E666" s="50"/>
      <c r="F666" s="50"/>
      <c r="G666" s="51"/>
      <c r="H666" s="50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.75" customHeight="1">
      <c r="A667" s="9"/>
      <c r="B667" s="50"/>
      <c r="C667" s="50"/>
      <c r="D667" s="50"/>
      <c r="E667" s="50"/>
      <c r="F667" s="50"/>
      <c r="G667" s="51"/>
      <c r="H667" s="50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.75" customHeight="1">
      <c r="A668" s="9"/>
      <c r="B668" s="50"/>
      <c r="C668" s="50"/>
      <c r="D668" s="50"/>
      <c r="E668" s="50"/>
      <c r="F668" s="50"/>
      <c r="G668" s="51"/>
      <c r="H668" s="50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.75" customHeight="1">
      <c r="A669" s="9"/>
      <c r="B669" s="50"/>
      <c r="C669" s="50"/>
      <c r="D669" s="50"/>
      <c r="E669" s="50"/>
      <c r="F669" s="50"/>
      <c r="G669" s="51"/>
      <c r="H669" s="50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.75" customHeight="1">
      <c r="A670" s="9"/>
      <c r="B670" s="50"/>
      <c r="C670" s="50"/>
      <c r="D670" s="50"/>
      <c r="E670" s="50"/>
      <c r="F670" s="50"/>
      <c r="G670" s="51"/>
      <c r="H670" s="50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.75" customHeight="1">
      <c r="A671" s="9"/>
      <c r="B671" s="50"/>
      <c r="C671" s="50"/>
      <c r="D671" s="50"/>
      <c r="E671" s="50"/>
      <c r="F671" s="50"/>
      <c r="G671" s="51"/>
      <c r="H671" s="50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.75" customHeight="1">
      <c r="A672" s="9"/>
      <c r="B672" s="50"/>
      <c r="C672" s="50"/>
      <c r="D672" s="50"/>
      <c r="E672" s="50"/>
      <c r="F672" s="50"/>
      <c r="G672" s="51"/>
      <c r="H672" s="50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.75" customHeight="1">
      <c r="A673" s="9"/>
      <c r="B673" s="50"/>
      <c r="C673" s="50"/>
      <c r="D673" s="50"/>
      <c r="E673" s="50"/>
      <c r="F673" s="50"/>
      <c r="G673" s="51"/>
      <c r="H673" s="50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.75" customHeight="1">
      <c r="A674" s="9"/>
      <c r="B674" s="50"/>
      <c r="C674" s="50"/>
      <c r="D674" s="50"/>
      <c r="E674" s="50"/>
      <c r="F674" s="50"/>
      <c r="G674" s="51"/>
      <c r="H674" s="50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.75" customHeight="1">
      <c r="A675" s="9"/>
      <c r="B675" s="50"/>
      <c r="C675" s="50"/>
      <c r="D675" s="50"/>
      <c r="E675" s="50"/>
      <c r="F675" s="50"/>
      <c r="G675" s="51"/>
      <c r="H675" s="50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.75" customHeight="1">
      <c r="A676" s="9"/>
      <c r="B676" s="50"/>
      <c r="C676" s="50"/>
      <c r="D676" s="50"/>
      <c r="E676" s="50"/>
      <c r="F676" s="50"/>
      <c r="G676" s="51"/>
      <c r="H676" s="50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.75" customHeight="1">
      <c r="A677" s="9"/>
      <c r="B677" s="50"/>
      <c r="C677" s="50"/>
      <c r="D677" s="50"/>
      <c r="E677" s="50"/>
      <c r="F677" s="50"/>
      <c r="G677" s="51"/>
      <c r="H677" s="50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.75" customHeight="1">
      <c r="A678" s="9"/>
      <c r="B678" s="50"/>
      <c r="C678" s="50"/>
      <c r="D678" s="50"/>
      <c r="E678" s="50"/>
      <c r="F678" s="50"/>
      <c r="G678" s="51"/>
      <c r="H678" s="50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.75" customHeight="1">
      <c r="A679" s="9"/>
      <c r="B679" s="50"/>
      <c r="C679" s="50"/>
      <c r="D679" s="50"/>
      <c r="E679" s="50"/>
      <c r="F679" s="50"/>
      <c r="G679" s="51"/>
      <c r="H679" s="50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.75" customHeight="1">
      <c r="A680" s="9"/>
      <c r="B680" s="50"/>
      <c r="C680" s="50"/>
      <c r="D680" s="50"/>
      <c r="E680" s="50"/>
      <c r="F680" s="50"/>
      <c r="G680" s="51"/>
      <c r="H680" s="50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.75" customHeight="1">
      <c r="A681" s="9"/>
      <c r="B681" s="50"/>
      <c r="C681" s="50"/>
      <c r="D681" s="50"/>
      <c r="E681" s="50"/>
      <c r="F681" s="50"/>
      <c r="G681" s="51"/>
      <c r="H681" s="50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.75" customHeight="1">
      <c r="A682" s="9"/>
      <c r="B682" s="50"/>
      <c r="C682" s="50"/>
      <c r="D682" s="50"/>
      <c r="E682" s="50"/>
      <c r="F682" s="50"/>
      <c r="G682" s="51"/>
      <c r="H682" s="50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.75" customHeight="1">
      <c r="A683" s="9"/>
      <c r="B683" s="50"/>
      <c r="C683" s="50"/>
      <c r="D683" s="50"/>
      <c r="E683" s="50"/>
      <c r="F683" s="50"/>
      <c r="G683" s="51"/>
      <c r="H683" s="50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.75" customHeight="1">
      <c r="A684" s="9"/>
      <c r="B684" s="50"/>
      <c r="C684" s="50"/>
      <c r="D684" s="50"/>
      <c r="E684" s="50"/>
      <c r="F684" s="50"/>
      <c r="G684" s="51"/>
      <c r="H684" s="50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.75" customHeight="1">
      <c r="A685" s="9"/>
      <c r="B685" s="50"/>
      <c r="C685" s="50"/>
      <c r="D685" s="50"/>
      <c r="E685" s="50"/>
      <c r="F685" s="50"/>
      <c r="G685" s="51"/>
      <c r="H685" s="50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.75" customHeight="1">
      <c r="A686" s="9"/>
      <c r="B686" s="50"/>
      <c r="C686" s="50"/>
      <c r="D686" s="50"/>
      <c r="E686" s="50"/>
      <c r="F686" s="50"/>
      <c r="G686" s="51"/>
      <c r="H686" s="50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.75" customHeight="1">
      <c r="A687" s="9"/>
      <c r="B687" s="50"/>
      <c r="C687" s="50"/>
      <c r="D687" s="50"/>
      <c r="E687" s="50"/>
      <c r="F687" s="50"/>
      <c r="G687" s="51"/>
      <c r="H687" s="50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.75" customHeight="1">
      <c r="A688" s="9"/>
      <c r="B688" s="50"/>
      <c r="C688" s="50"/>
      <c r="D688" s="50"/>
      <c r="E688" s="50"/>
      <c r="F688" s="50"/>
      <c r="G688" s="51"/>
      <c r="H688" s="50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.75" customHeight="1">
      <c r="A689" s="9"/>
      <c r="B689" s="50"/>
      <c r="C689" s="50"/>
      <c r="D689" s="50"/>
      <c r="E689" s="50"/>
      <c r="F689" s="50"/>
      <c r="G689" s="51"/>
      <c r="H689" s="50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.75" customHeight="1">
      <c r="A690" s="9"/>
      <c r="B690" s="50"/>
      <c r="C690" s="50"/>
      <c r="D690" s="50"/>
      <c r="E690" s="50"/>
      <c r="F690" s="50"/>
      <c r="G690" s="51"/>
      <c r="H690" s="50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.75" customHeight="1">
      <c r="A691" s="9"/>
      <c r="B691" s="50"/>
      <c r="C691" s="50"/>
      <c r="D691" s="50"/>
      <c r="E691" s="50"/>
      <c r="F691" s="50"/>
      <c r="G691" s="51"/>
      <c r="H691" s="50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.75" customHeight="1">
      <c r="A692" s="9"/>
      <c r="B692" s="50"/>
      <c r="C692" s="50"/>
      <c r="D692" s="50"/>
      <c r="E692" s="50"/>
      <c r="F692" s="50"/>
      <c r="G692" s="51"/>
      <c r="H692" s="50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.75" customHeight="1">
      <c r="A693" s="9"/>
      <c r="B693" s="50"/>
      <c r="C693" s="50"/>
      <c r="D693" s="50"/>
      <c r="E693" s="50"/>
      <c r="F693" s="50"/>
      <c r="G693" s="51"/>
      <c r="H693" s="50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.75" customHeight="1">
      <c r="A694" s="9"/>
      <c r="B694" s="50"/>
      <c r="C694" s="50"/>
      <c r="D694" s="50"/>
      <c r="E694" s="50"/>
      <c r="F694" s="50"/>
      <c r="G694" s="51"/>
      <c r="H694" s="50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.75" customHeight="1">
      <c r="A695" s="9"/>
      <c r="B695" s="50"/>
      <c r="C695" s="50"/>
      <c r="D695" s="50"/>
      <c r="E695" s="50"/>
      <c r="F695" s="50"/>
      <c r="G695" s="51"/>
      <c r="H695" s="50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.75" customHeight="1">
      <c r="A696" s="9"/>
      <c r="B696" s="50"/>
      <c r="C696" s="50"/>
      <c r="D696" s="50"/>
      <c r="E696" s="50"/>
      <c r="F696" s="50"/>
      <c r="G696" s="51"/>
      <c r="H696" s="50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.75" customHeight="1">
      <c r="A697" s="9"/>
      <c r="B697" s="50"/>
      <c r="C697" s="50"/>
      <c r="D697" s="50"/>
      <c r="E697" s="50"/>
      <c r="F697" s="50"/>
      <c r="G697" s="51"/>
      <c r="H697" s="50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.75" customHeight="1">
      <c r="A698" s="9"/>
      <c r="B698" s="50"/>
      <c r="C698" s="50"/>
      <c r="D698" s="50"/>
      <c r="E698" s="50"/>
      <c r="F698" s="50"/>
      <c r="G698" s="51"/>
      <c r="H698" s="50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.75" customHeight="1">
      <c r="A699" s="9"/>
      <c r="B699" s="50"/>
      <c r="C699" s="50"/>
      <c r="D699" s="50"/>
      <c r="E699" s="50"/>
      <c r="F699" s="50"/>
      <c r="G699" s="51"/>
      <c r="H699" s="50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.75" customHeight="1">
      <c r="A700" s="9"/>
      <c r="B700" s="50"/>
      <c r="C700" s="50"/>
      <c r="D700" s="50"/>
      <c r="E700" s="50"/>
      <c r="F700" s="50"/>
      <c r="G700" s="51"/>
      <c r="H700" s="50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.75" customHeight="1">
      <c r="A701" s="9"/>
      <c r="B701" s="50"/>
      <c r="C701" s="50"/>
      <c r="D701" s="50"/>
      <c r="E701" s="50"/>
      <c r="F701" s="50"/>
      <c r="G701" s="51"/>
      <c r="H701" s="50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.75" customHeight="1">
      <c r="A702" s="9"/>
      <c r="B702" s="50"/>
      <c r="C702" s="50"/>
      <c r="D702" s="50"/>
      <c r="E702" s="50"/>
      <c r="F702" s="50"/>
      <c r="G702" s="51"/>
      <c r="H702" s="50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.75" customHeight="1">
      <c r="A703" s="9"/>
      <c r="B703" s="50"/>
      <c r="C703" s="50"/>
      <c r="D703" s="50"/>
      <c r="E703" s="50"/>
      <c r="F703" s="50"/>
      <c r="G703" s="51"/>
      <c r="H703" s="50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.75" customHeight="1">
      <c r="A704" s="9"/>
      <c r="B704" s="50"/>
      <c r="C704" s="50"/>
      <c r="D704" s="50"/>
      <c r="E704" s="50"/>
      <c r="F704" s="50"/>
      <c r="G704" s="51"/>
      <c r="H704" s="50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.75" customHeight="1">
      <c r="A705" s="9"/>
      <c r="B705" s="50"/>
      <c r="C705" s="50"/>
      <c r="D705" s="50"/>
      <c r="E705" s="50"/>
      <c r="F705" s="50"/>
      <c r="G705" s="51"/>
      <c r="H705" s="50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.75" customHeight="1">
      <c r="A706" s="9"/>
      <c r="B706" s="50"/>
      <c r="C706" s="50"/>
      <c r="D706" s="50"/>
      <c r="E706" s="50"/>
      <c r="F706" s="50"/>
      <c r="G706" s="51"/>
      <c r="H706" s="50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.75" customHeight="1">
      <c r="A707" s="9"/>
      <c r="B707" s="50"/>
      <c r="C707" s="50"/>
      <c r="D707" s="50"/>
      <c r="E707" s="50"/>
      <c r="F707" s="50"/>
      <c r="G707" s="51"/>
      <c r="H707" s="50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.75" customHeight="1">
      <c r="A708" s="9"/>
      <c r="B708" s="50"/>
      <c r="C708" s="50"/>
      <c r="D708" s="50"/>
      <c r="E708" s="50"/>
      <c r="F708" s="50"/>
      <c r="G708" s="51"/>
      <c r="H708" s="50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.75" customHeight="1">
      <c r="A709" s="9"/>
      <c r="B709" s="50"/>
      <c r="C709" s="50"/>
      <c r="D709" s="50"/>
      <c r="E709" s="50"/>
      <c r="F709" s="50"/>
      <c r="G709" s="51"/>
      <c r="H709" s="50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.75" customHeight="1">
      <c r="A710" s="9"/>
      <c r="B710" s="50"/>
      <c r="C710" s="50"/>
      <c r="D710" s="50"/>
      <c r="E710" s="50"/>
      <c r="F710" s="50"/>
      <c r="G710" s="51"/>
      <c r="H710" s="50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.75" customHeight="1">
      <c r="A711" s="9"/>
      <c r="B711" s="50"/>
      <c r="C711" s="50"/>
      <c r="D711" s="50"/>
      <c r="E711" s="50"/>
      <c r="F711" s="50"/>
      <c r="G711" s="51"/>
      <c r="H711" s="50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.75" customHeight="1">
      <c r="A712" s="9"/>
      <c r="B712" s="50"/>
      <c r="C712" s="50"/>
      <c r="D712" s="50"/>
      <c r="E712" s="50"/>
      <c r="F712" s="50"/>
      <c r="G712" s="51"/>
      <c r="H712" s="50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.75" customHeight="1">
      <c r="A713" s="9"/>
      <c r="B713" s="50"/>
      <c r="C713" s="50"/>
      <c r="D713" s="50"/>
      <c r="E713" s="50"/>
      <c r="F713" s="50"/>
      <c r="G713" s="51"/>
      <c r="H713" s="50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.75" customHeight="1">
      <c r="A714" s="9"/>
      <c r="B714" s="50"/>
      <c r="C714" s="50"/>
      <c r="D714" s="50"/>
      <c r="E714" s="50"/>
      <c r="F714" s="50"/>
      <c r="G714" s="51"/>
      <c r="H714" s="50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.75" customHeight="1">
      <c r="A715" s="9"/>
      <c r="B715" s="50"/>
      <c r="C715" s="50"/>
      <c r="D715" s="50"/>
      <c r="E715" s="50"/>
      <c r="F715" s="50"/>
      <c r="G715" s="51"/>
      <c r="H715" s="50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.75" customHeight="1">
      <c r="A716" s="9"/>
      <c r="B716" s="50"/>
      <c r="C716" s="50"/>
      <c r="D716" s="50"/>
      <c r="E716" s="50"/>
      <c r="F716" s="50"/>
      <c r="G716" s="51"/>
      <c r="H716" s="50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.75" customHeight="1">
      <c r="A717" s="9"/>
      <c r="B717" s="50"/>
      <c r="C717" s="50"/>
      <c r="D717" s="50"/>
      <c r="E717" s="50"/>
      <c r="F717" s="50"/>
      <c r="G717" s="51"/>
      <c r="H717" s="50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.75" customHeight="1">
      <c r="A718" s="9"/>
      <c r="B718" s="50"/>
      <c r="C718" s="50"/>
      <c r="D718" s="50"/>
      <c r="E718" s="50"/>
      <c r="F718" s="50"/>
      <c r="G718" s="51"/>
      <c r="H718" s="50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.75" customHeight="1">
      <c r="A719" s="9"/>
      <c r="B719" s="50"/>
      <c r="C719" s="50"/>
      <c r="D719" s="50"/>
      <c r="E719" s="50"/>
      <c r="F719" s="50"/>
      <c r="G719" s="51"/>
      <c r="H719" s="50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.75" customHeight="1">
      <c r="A720" s="9"/>
      <c r="B720" s="50"/>
      <c r="C720" s="50"/>
      <c r="D720" s="50"/>
      <c r="E720" s="50"/>
      <c r="F720" s="50"/>
      <c r="G720" s="51"/>
      <c r="H720" s="50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.75" customHeight="1">
      <c r="A721" s="9"/>
      <c r="B721" s="50"/>
      <c r="C721" s="50"/>
      <c r="D721" s="50"/>
      <c r="E721" s="50"/>
      <c r="F721" s="50"/>
      <c r="G721" s="51"/>
      <c r="H721" s="50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.75" customHeight="1">
      <c r="A722" s="9"/>
      <c r="B722" s="50"/>
      <c r="C722" s="50"/>
      <c r="D722" s="50"/>
      <c r="E722" s="50"/>
      <c r="F722" s="50"/>
      <c r="G722" s="51"/>
      <c r="H722" s="50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.75" customHeight="1">
      <c r="A723" s="9"/>
      <c r="B723" s="50"/>
      <c r="C723" s="50"/>
      <c r="D723" s="50"/>
      <c r="E723" s="50"/>
      <c r="F723" s="50"/>
      <c r="G723" s="51"/>
      <c r="H723" s="50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.75" customHeight="1">
      <c r="A724" s="9"/>
      <c r="B724" s="50"/>
      <c r="C724" s="50"/>
      <c r="D724" s="50"/>
      <c r="E724" s="50"/>
      <c r="F724" s="50"/>
      <c r="G724" s="51"/>
      <c r="H724" s="50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.75" customHeight="1">
      <c r="A725" s="9"/>
      <c r="B725" s="50"/>
      <c r="C725" s="50"/>
      <c r="D725" s="50"/>
      <c r="E725" s="50"/>
      <c r="F725" s="50"/>
      <c r="G725" s="51"/>
      <c r="H725" s="50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.75" customHeight="1">
      <c r="A726" s="9"/>
      <c r="B726" s="50"/>
      <c r="C726" s="50"/>
      <c r="D726" s="50"/>
      <c r="E726" s="50"/>
      <c r="F726" s="50"/>
      <c r="G726" s="51"/>
      <c r="H726" s="50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.75" customHeight="1">
      <c r="A727" s="9"/>
      <c r="B727" s="50"/>
      <c r="C727" s="50"/>
      <c r="D727" s="50"/>
      <c r="E727" s="50"/>
      <c r="F727" s="50"/>
      <c r="G727" s="51"/>
      <c r="H727" s="50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.75" customHeight="1">
      <c r="A728" s="9"/>
      <c r="B728" s="50"/>
      <c r="C728" s="50"/>
      <c r="D728" s="50"/>
      <c r="E728" s="50"/>
      <c r="F728" s="50"/>
      <c r="G728" s="51"/>
      <c r="H728" s="50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.75" customHeight="1">
      <c r="A729" s="9"/>
      <c r="B729" s="50"/>
      <c r="C729" s="50"/>
      <c r="D729" s="50"/>
      <c r="E729" s="50"/>
      <c r="F729" s="50"/>
      <c r="G729" s="51"/>
      <c r="H729" s="50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.75" customHeight="1">
      <c r="A730" s="9"/>
      <c r="B730" s="50"/>
      <c r="C730" s="50"/>
      <c r="D730" s="50"/>
      <c r="E730" s="50"/>
      <c r="F730" s="50"/>
      <c r="G730" s="51"/>
      <c r="H730" s="50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.75" customHeight="1">
      <c r="A731" s="9"/>
      <c r="B731" s="50"/>
      <c r="C731" s="50"/>
      <c r="D731" s="50"/>
      <c r="E731" s="50"/>
      <c r="F731" s="50"/>
      <c r="G731" s="51"/>
      <c r="H731" s="50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.75" customHeight="1">
      <c r="A732" s="9"/>
      <c r="B732" s="50"/>
      <c r="C732" s="50"/>
      <c r="D732" s="50"/>
      <c r="E732" s="50"/>
      <c r="F732" s="50"/>
      <c r="G732" s="51"/>
      <c r="H732" s="50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.75" customHeight="1">
      <c r="A733" s="9"/>
      <c r="B733" s="50"/>
      <c r="C733" s="50"/>
      <c r="D733" s="50"/>
      <c r="E733" s="50"/>
      <c r="F733" s="50"/>
      <c r="G733" s="51"/>
      <c r="H733" s="50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.75" customHeight="1">
      <c r="A734" s="9"/>
      <c r="B734" s="50"/>
      <c r="C734" s="50"/>
      <c r="D734" s="50"/>
      <c r="E734" s="50"/>
      <c r="F734" s="50"/>
      <c r="G734" s="51"/>
      <c r="H734" s="50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.75" customHeight="1">
      <c r="A735" s="9"/>
      <c r="B735" s="50"/>
      <c r="C735" s="50"/>
      <c r="D735" s="50"/>
      <c r="E735" s="50"/>
      <c r="F735" s="50"/>
      <c r="G735" s="51"/>
      <c r="H735" s="50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.75" customHeight="1">
      <c r="A736" s="9"/>
      <c r="B736" s="50"/>
      <c r="C736" s="50"/>
      <c r="D736" s="50"/>
      <c r="E736" s="50"/>
      <c r="F736" s="50"/>
      <c r="G736" s="51"/>
      <c r="H736" s="50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.75" customHeight="1">
      <c r="A737" s="9"/>
      <c r="B737" s="50"/>
      <c r="C737" s="50"/>
      <c r="D737" s="50"/>
      <c r="E737" s="50"/>
      <c r="F737" s="50"/>
      <c r="G737" s="51"/>
      <c r="H737" s="50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.75" customHeight="1">
      <c r="A738" s="9"/>
      <c r="B738" s="50"/>
      <c r="C738" s="50"/>
      <c r="D738" s="50"/>
      <c r="E738" s="50"/>
      <c r="F738" s="50"/>
      <c r="G738" s="51"/>
      <c r="H738" s="50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.75" customHeight="1">
      <c r="A739" s="9"/>
      <c r="B739" s="50"/>
      <c r="C739" s="50"/>
      <c r="D739" s="50"/>
      <c r="E739" s="50"/>
      <c r="F739" s="50"/>
      <c r="G739" s="51"/>
      <c r="H739" s="50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.75" customHeight="1">
      <c r="A740" s="9"/>
      <c r="B740" s="50"/>
      <c r="C740" s="50"/>
      <c r="D740" s="50"/>
      <c r="E740" s="50"/>
      <c r="F740" s="50"/>
      <c r="G740" s="51"/>
      <c r="H740" s="50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.75" customHeight="1">
      <c r="A741" s="9"/>
      <c r="B741" s="50"/>
      <c r="C741" s="50"/>
      <c r="D741" s="50"/>
      <c r="E741" s="50"/>
      <c r="F741" s="50"/>
      <c r="G741" s="51"/>
      <c r="H741" s="50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.75" customHeight="1">
      <c r="A742" s="9"/>
      <c r="B742" s="50"/>
      <c r="C742" s="50"/>
      <c r="D742" s="50"/>
      <c r="E742" s="50"/>
      <c r="F742" s="50"/>
      <c r="G742" s="51"/>
      <c r="H742" s="50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.75" customHeight="1">
      <c r="A743" s="9"/>
      <c r="B743" s="50"/>
      <c r="C743" s="50"/>
      <c r="D743" s="50"/>
      <c r="E743" s="50"/>
      <c r="F743" s="50"/>
      <c r="G743" s="51"/>
      <c r="H743" s="50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.75" customHeight="1">
      <c r="A744" s="9"/>
      <c r="B744" s="50"/>
      <c r="C744" s="50"/>
      <c r="D744" s="50"/>
      <c r="E744" s="50"/>
      <c r="F744" s="50"/>
      <c r="G744" s="51"/>
      <c r="H744" s="50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.75" customHeight="1">
      <c r="A745" s="9"/>
      <c r="B745" s="50"/>
      <c r="C745" s="50"/>
      <c r="D745" s="50"/>
      <c r="E745" s="50"/>
      <c r="F745" s="50"/>
      <c r="G745" s="51"/>
      <c r="H745" s="50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.75" customHeight="1">
      <c r="A746" s="9"/>
      <c r="B746" s="50"/>
      <c r="C746" s="50"/>
      <c r="D746" s="50"/>
      <c r="E746" s="50"/>
      <c r="F746" s="50"/>
      <c r="G746" s="51"/>
      <c r="H746" s="50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.75" customHeight="1">
      <c r="A747" s="9"/>
      <c r="B747" s="50"/>
      <c r="C747" s="50"/>
      <c r="D747" s="50"/>
      <c r="E747" s="50"/>
      <c r="F747" s="50"/>
      <c r="G747" s="51"/>
      <c r="H747" s="50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.75" customHeight="1">
      <c r="A748" s="9"/>
      <c r="B748" s="50"/>
      <c r="C748" s="50"/>
      <c r="D748" s="50"/>
      <c r="E748" s="50"/>
      <c r="F748" s="50"/>
      <c r="G748" s="51"/>
      <c r="H748" s="50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.75" customHeight="1">
      <c r="A749" s="9"/>
      <c r="B749" s="50"/>
      <c r="C749" s="50"/>
      <c r="D749" s="50"/>
      <c r="E749" s="50"/>
      <c r="F749" s="50"/>
      <c r="G749" s="51"/>
      <c r="H749" s="50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.75" customHeight="1">
      <c r="A750" s="9"/>
      <c r="B750" s="50"/>
      <c r="C750" s="50"/>
      <c r="D750" s="50"/>
      <c r="E750" s="50"/>
      <c r="F750" s="50"/>
      <c r="G750" s="51"/>
      <c r="H750" s="50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.75" customHeight="1">
      <c r="A751" s="9"/>
      <c r="B751" s="50"/>
      <c r="C751" s="50"/>
      <c r="D751" s="50"/>
      <c r="E751" s="50"/>
      <c r="F751" s="50"/>
      <c r="G751" s="51"/>
      <c r="H751" s="50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.75" customHeight="1">
      <c r="A752" s="9"/>
      <c r="B752" s="50"/>
      <c r="C752" s="50"/>
      <c r="D752" s="50"/>
      <c r="E752" s="50"/>
      <c r="F752" s="50"/>
      <c r="G752" s="51"/>
      <c r="H752" s="50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.75" customHeight="1">
      <c r="A753" s="9"/>
      <c r="B753" s="50"/>
      <c r="C753" s="50"/>
      <c r="D753" s="50"/>
      <c r="E753" s="50"/>
      <c r="F753" s="50"/>
      <c r="G753" s="51"/>
      <c r="H753" s="50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.75" customHeight="1">
      <c r="A754" s="9"/>
      <c r="B754" s="50"/>
      <c r="C754" s="50"/>
      <c r="D754" s="50"/>
      <c r="E754" s="50"/>
      <c r="F754" s="50"/>
      <c r="G754" s="51"/>
      <c r="H754" s="50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.75" customHeight="1">
      <c r="A755" s="9"/>
      <c r="B755" s="50"/>
      <c r="C755" s="50"/>
      <c r="D755" s="50"/>
      <c r="E755" s="50"/>
      <c r="F755" s="50"/>
      <c r="G755" s="51"/>
      <c r="H755" s="50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.75" customHeight="1">
      <c r="A756" s="9"/>
      <c r="B756" s="50"/>
      <c r="C756" s="50"/>
      <c r="D756" s="50"/>
      <c r="E756" s="50"/>
      <c r="F756" s="50"/>
      <c r="G756" s="51"/>
      <c r="H756" s="50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.75" customHeight="1">
      <c r="A757" s="9"/>
      <c r="B757" s="50"/>
      <c r="C757" s="50"/>
      <c r="D757" s="50"/>
      <c r="E757" s="50"/>
      <c r="F757" s="50"/>
      <c r="G757" s="51"/>
      <c r="H757" s="50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.75" customHeight="1">
      <c r="A758" s="9"/>
      <c r="B758" s="50"/>
      <c r="C758" s="50"/>
      <c r="D758" s="50"/>
      <c r="E758" s="50"/>
      <c r="F758" s="50"/>
      <c r="G758" s="51"/>
      <c r="H758" s="50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.75" customHeight="1">
      <c r="A759" s="9"/>
      <c r="B759" s="50"/>
      <c r="C759" s="50"/>
      <c r="D759" s="50"/>
      <c r="E759" s="50"/>
      <c r="F759" s="50"/>
      <c r="G759" s="51"/>
      <c r="H759" s="50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.75" customHeight="1">
      <c r="A760" s="9"/>
      <c r="B760" s="50"/>
      <c r="C760" s="50"/>
      <c r="D760" s="50"/>
      <c r="E760" s="50"/>
      <c r="F760" s="50"/>
      <c r="G760" s="51"/>
      <c r="H760" s="50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.75" customHeight="1">
      <c r="A761" s="9"/>
      <c r="B761" s="50"/>
      <c r="C761" s="50"/>
      <c r="D761" s="50"/>
      <c r="E761" s="50"/>
      <c r="F761" s="50"/>
      <c r="G761" s="51"/>
      <c r="H761" s="50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.75" customHeight="1">
      <c r="A762" s="9"/>
      <c r="B762" s="50"/>
      <c r="C762" s="50"/>
      <c r="D762" s="50"/>
      <c r="E762" s="50"/>
      <c r="F762" s="50"/>
      <c r="G762" s="51"/>
      <c r="H762" s="50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.75" customHeight="1">
      <c r="A763" s="9"/>
      <c r="B763" s="50"/>
      <c r="C763" s="50"/>
      <c r="D763" s="50"/>
      <c r="E763" s="50"/>
      <c r="F763" s="50"/>
      <c r="G763" s="51"/>
      <c r="H763" s="50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.75" customHeight="1">
      <c r="A764" s="9"/>
      <c r="B764" s="50"/>
      <c r="C764" s="50"/>
      <c r="D764" s="50"/>
      <c r="E764" s="50"/>
      <c r="F764" s="50"/>
      <c r="G764" s="51"/>
      <c r="H764" s="50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.75" customHeight="1">
      <c r="A765" s="9"/>
      <c r="B765" s="50"/>
      <c r="C765" s="50"/>
      <c r="D765" s="50"/>
      <c r="E765" s="50"/>
      <c r="F765" s="50"/>
      <c r="G765" s="51"/>
      <c r="H765" s="50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.75" customHeight="1">
      <c r="A766" s="9"/>
      <c r="B766" s="50"/>
      <c r="C766" s="50"/>
      <c r="D766" s="50"/>
      <c r="E766" s="50"/>
      <c r="F766" s="50"/>
      <c r="G766" s="51"/>
      <c r="H766" s="50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.75" customHeight="1">
      <c r="A767" s="9"/>
      <c r="B767" s="50"/>
      <c r="C767" s="50"/>
      <c r="D767" s="50"/>
      <c r="E767" s="50"/>
      <c r="F767" s="50"/>
      <c r="G767" s="51"/>
      <c r="H767" s="50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.75" customHeight="1">
      <c r="A768" s="9"/>
      <c r="B768" s="50"/>
      <c r="C768" s="50"/>
      <c r="D768" s="50"/>
      <c r="E768" s="50"/>
      <c r="F768" s="50"/>
      <c r="G768" s="51"/>
      <c r="H768" s="50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.75" customHeight="1">
      <c r="A769" s="9"/>
      <c r="B769" s="50"/>
      <c r="C769" s="50"/>
      <c r="D769" s="50"/>
      <c r="E769" s="50"/>
      <c r="F769" s="50"/>
      <c r="G769" s="51"/>
      <c r="H769" s="50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.75" customHeight="1">
      <c r="A770" s="9"/>
      <c r="B770" s="50"/>
      <c r="C770" s="50"/>
      <c r="D770" s="50"/>
      <c r="E770" s="50"/>
      <c r="F770" s="50"/>
      <c r="G770" s="51"/>
      <c r="H770" s="50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.75" customHeight="1">
      <c r="A771" s="9"/>
      <c r="B771" s="50"/>
      <c r="C771" s="50"/>
      <c r="D771" s="50"/>
      <c r="E771" s="50"/>
      <c r="F771" s="50"/>
      <c r="G771" s="51"/>
      <c r="H771" s="50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.75" customHeight="1">
      <c r="A772" s="9"/>
      <c r="B772" s="50"/>
      <c r="C772" s="50"/>
      <c r="D772" s="50"/>
      <c r="E772" s="50"/>
      <c r="F772" s="50"/>
      <c r="G772" s="51"/>
      <c r="H772" s="50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.75" customHeight="1">
      <c r="A773" s="9"/>
      <c r="B773" s="50"/>
      <c r="C773" s="50"/>
      <c r="D773" s="50"/>
      <c r="E773" s="50"/>
      <c r="F773" s="50"/>
      <c r="G773" s="51"/>
      <c r="H773" s="50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.75" customHeight="1">
      <c r="A774" s="9"/>
      <c r="B774" s="50"/>
      <c r="C774" s="50"/>
      <c r="D774" s="50"/>
      <c r="E774" s="50"/>
      <c r="F774" s="50"/>
      <c r="G774" s="51"/>
      <c r="H774" s="50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.75" customHeight="1">
      <c r="A775" s="9"/>
      <c r="B775" s="50"/>
      <c r="C775" s="50"/>
      <c r="D775" s="50"/>
      <c r="E775" s="50"/>
      <c r="F775" s="50"/>
      <c r="G775" s="51"/>
      <c r="H775" s="50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.75" customHeight="1">
      <c r="A776" s="9"/>
      <c r="B776" s="50"/>
      <c r="C776" s="50"/>
      <c r="D776" s="50"/>
      <c r="E776" s="50"/>
      <c r="F776" s="50"/>
      <c r="G776" s="51"/>
      <c r="H776" s="50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.75" customHeight="1">
      <c r="A777" s="9"/>
      <c r="B777" s="50"/>
      <c r="C777" s="50"/>
      <c r="D777" s="50"/>
      <c r="E777" s="50"/>
      <c r="F777" s="50"/>
      <c r="G777" s="51"/>
      <c r="H777" s="50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.75" customHeight="1">
      <c r="A778" s="9"/>
      <c r="B778" s="50"/>
      <c r="C778" s="50"/>
      <c r="D778" s="50"/>
      <c r="E778" s="50"/>
      <c r="F778" s="50"/>
      <c r="G778" s="51"/>
      <c r="H778" s="50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.75" customHeight="1">
      <c r="A779" s="9"/>
      <c r="B779" s="50"/>
      <c r="C779" s="50"/>
      <c r="D779" s="50"/>
      <c r="E779" s="50"/>
      <c r="F779" s="50"/>
      <c r="G779" s="51"/>
      <c r="H779" s="50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.75" customHeight="1">
      <c r="A780" s="9"/>
      <c r="B780" s="50"/>
      <c r="C780" s="50"/>
      <c r="D780" s="50"/>
      <c r="E780" s="50"/>
      <c r="F780" s="50"/>
      <c r="G780" s="51"/>
      <c r="H780" s="50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.75" customHeight="1">
      <c r="A781" s="9"/>
      <c r="B781" s="50"/>
      <c r="C781" s="50"/>
      <c r="D781" s="50"/>
      <c r="E781" s="50"/>
      <c r="F781" s="50"/>
      <c r="G781" s="51"/>
      <c r="H781" s="50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.75" customHeight="1">
      <c r="A782" s="9"/>
      <c r="B782" s="50"/>
      <c r="C782" s="50"/>
      <c r="D782" s="50"/>
      <c r="E782" s="50"/>
      <c r="F782" s="50"/>
      <c r="G782" s="51"/>
      <c r="H782" s="50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.75" customHeight="1">
      <c r="A783" s="9"/>
      <c r="B783" s="50"/>
      <c r="C783" s="50"/>
      <c r="D783" s="50"/>
      <c r="E783" s="50"/>
      <c r="F783" s="50"/>
      <c r="G783" s="51"/>
      <c r="H783" s="50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.75" customHeight="1">
      <c r="A784" s="9"/>
      <c r="B784" s="50"/>
      <c r="C784" s="50"/>
      <c r="D784" s="50"/>
      <c r="E784" s="50"/>
      <c r="F784" s="50"/>
      <c r="G784" s="51"/>
      <c r="H784" s="50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.75" customHeight="1">
      <c r="A785" s="9"/>
      <c r="B785" s="50"/>
      <c r="C785" s="50"/>
      <c r="D785" s="50"/>
      <c r="E785" s="50"/>
      <c r="F785" s="50"/>
      <c r="G785" s="51"/>
      <c r="H785" s="50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.75" customHeight="1">
      <c r="A786" s="9"/>
      <c r="B786" s="50"/>
      <c r="C786" s="50"/>
      <c r="D786" s="50"/>
      <c r="E786" s="50"/>
      <c r="F786" s="50"/>
      <c r="G786" s="51"/>
      <c r="H786" s="50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.75" customHeight="1">
      <c r="A787" s="9"/>
      <c r="B787" s="50"/>
      <c r="C787" s="50"/>
      <c r="D787" s="50"/>
      <c r="E787" s="50"/>
      <c r="F787" s="50"/>
      <c r="G787" s="51"/>
      <c r="H787" s="50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.75" customHeight="1">
      <c r="A788" s="9"/>
      <c r="B788" s="50"/>
      <c r="C788" s="50"/>
      <c r="D788" s="50"/>
      <c r="E788" s="50"/>
      <c r="F788" s="50"/>
      <c r="G788" s="51"/>
      <c r="H788" s="50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.75" customHeight="1">
      <c r="A789" s="9"/>
      <c r="B789" s="50"/>
      <c r="C789" s="50"/>
      <c r="D789" s="50"/>
      <c r="E789" s="50"/>
      <c r="F789" s="50"/>
      <c r="G789" s="51"/>
      <c r="H789" s="50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.75" customHeight="1">
      <c r="A790" s="9"/>
      <c r="B790" s="50"/>
      <c r="C790" s="50"/>
      <c r="D790" s="50"/>
      <c r="E790" s="50"/>
      <c r="F790" s="50"/>
      <c r="G790" s="51"/>
      <c r="H790" s="50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.75" customHeight="1">
      <c r="A791" s="9"/>
      <c r="B791" s="50"/>
      <c r="C791" s="50"/>
      <c r="D791" s="50"/>
      <c r="E791" s="50"/>
      <c r="F791" s="50"/>
      <c r="G791" s="51"/>
      <c r="H791" s="50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.75" customHeight="1">
      <c r="A792" s="9"/>
      <c r="B792" s="50"/>
      <c r="C792" s="50"/>
      <c r="D792" s="50"/>
      <c r="E792" s="50"/>
      <c r="F792" s="50"/>
      <c r="G792" s="51"/>
      <c r="H792" s="50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.75" customHeight="1">
      <c r="A793" s="9"/>
      <c r="B793" s="50"/>
      <c r="C793" s="50"/>
      <c r="D793" s="50"/>
      <c r="E793" s="50"/>
      <c r="F793" s="50"/>
      <c r="G793" s="51"/>
      <c r="H793" s="50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.75" customHeight="1">
      <c r="A794" s="9"/>
      <c r="B794" s="50"/>
      <c r="C794" s="50"/>
      <c r="D794" s="50"/>
      <c r="E794" s="50"/>
      <c r="F794" s="50"/>
      <c r="G794" s="51"/>
      <c r="H794" s="50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.75" customHeight="1">
      <c r="A795" s="9"/>
      <c r="B795" s="50"/>
      <c r="C795" s="50"/>
      <c r="D795" s="50"/>
      <c r="E795" s="50"/>
      <c r="F795" s="50"/>
      <c r="G795" s="51"/>
      <c r="H795" s="50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.75" customHeight="1">
      <c r="A796" s="9"/>
      <c r="B796" s="50"/>
      <c r="C796" s="50"/>
      <c r="D796" s="50"/>
      <c r="E796" s="50"/>
      <c r="F796" s="50"/>
      <c r="G796" s="51"/>
      <c r="H796" s="50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.75" customHeight="1">
      <c r="A797" s="9"/>
      <c r="B797" s="50"/>
      <c r="C797" s="50"/>
      <c r="D797" s="50"/>
      <c r="E797" s="50"/>
      <c r="F797" s="50"/>
      <c r="G797" s="51"/>
      <c r="H797" s="50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.75" customHeight="1">
      <c r="A798" s="9"/>
      <c r="B798" s="50"/>
      <c r="C798" s="50"/>
      <c r="D798" s="50"/>
      <c r="E798" s="50"/>
      <c r="F798" s="50"/>
      <c r="G798" s="51"/>
      <c r="H798" s="50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.75" customHeight="1">
      <c r="A799" s="9"/>
      <c r="B799" s="50"/>
      <c r="C799" s="50"/>
      <c r="D799" s="50"/>
      <c r="E799" s="50"/>
      <c r="F799" s="50"/>
      <c r="G799" s="51"/>
      <c r="H799" s="50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.75" customHeight="1">
      <c r="A800" s="9"/>
      <c r="B800" s="50"/>
      <c r="C800" s="50"/>
      <c r="D800" s="50"/>
      <c r="E800" s="50"/>
      <c r="F800" s="50"/>
      <c r="G800" s="51"/>
      <c r="H800" s="50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.75" customHeight="1">
      <c r="A801" s="9"/>
      <c r="B801" s="50"/>
      <c r="C801" s="50"/>
      <c r="D801" s="50"/>
      <c r="E801" s="50"/>
      <c r="F801" s="50"/>
      <c r="G801" s="51"/>
      <c r="H801" s="50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.75" customHeight="1">
      <c r="A802" s="9"/>
      <c r="B802" s="50"/>
      <c r="C802" s="50"/>
      <c r="D802" s="50"/>
      <c r="E802" s="50"/>
      <c r="F802" s="50"/>
      <c r="G802" s="51"/>
      <c r="H802" s="50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.75" customHeight="1">
      <c r="A803" s="9"/>
      <c r="B803" s="50"/>
      <c r="C803" s="50"/>
      <c r="D803" s="50"/>
      <c r="E803" s="50"/>
      <c r="F803" s="50"/>
      <c r="G803" s="51"/>
      <c r="H803" s="50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.75" customHeight="1">
      <c r="A804" s="9"/>
      <c r="B804" s="50"/>
      <c r="C804" s="50"/>
      <c r="D804" s="50"/>
      <c r="E804" s="50"/>
      <c r="F804" s="50"/>
      <c r="G804" s="51"/>
      <c r="H804" s="50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.75" customHeight="1">
      <c r="A805" s="9"/>
      <c r="B805" s="50"/>
      <c r="C805" s="50"/>
      <c r="D805" s="50"/>
      <c r="E805" s="50"/>
      <c r="F805" s="50"/>
      <c r="G805" s="51"/>
      <c r="H805" s="50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.75" customHeight="1">
      <c r="A806" s="9"/>
      <c r="B806" s="50"/>
      <c r="C806" s="50"/>
      <c r="D806" s="50"/>
      <c r="E806" s="50"/>
      <c r="F806" s="50"/>
      <c r="G806" s="51"/>
      <c r="H806" s="50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.75" customHeight="1">
      <c r="A807" s="9"/>
      <c r="B807" s="50"/>
      <c r="C807" s="50"/>
      <c r="D807" s="50"/>
      <c r="E807" s="50"/>
      <c r="F807" s="50"/>
      <c r="G807" s="51"/>
      <c r="H807" s="50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.75" customHeight="1">
      <c r="A808" s="9"/>
      <c r="B808" s="50"/>
      <c r="C808" s="50"/>
      <c r="D808" s="50"/>
      <c r="E808" s="50"/>
      <c r="F808" s="50"/>
      <c r="G808" s="51"/>
      <c r="H808" s="50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.75" customHeight="1">
      <c r="A809" s="9"/>
      <c r="B809" s="50"/>
      <c r="C809" s="50"/>
      <c r="D809" s="50"/>
      <c r="E809" s="50"/>
      <c r="F809" s="50"/>
      <c r="G809" s="51"/>
      <c r="H809" s="50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.75" customHeight="1">
      <c r="A810" s="9"/>
      <c r="B810" s="50"/>
      <c r="C810" s="50"/>
      <c r="D810" s="50"/>
      <c r="E810" s="50"/>
      <c r="F810" s="50"/>
      <c r="G810" s="51"/>
      <c r="H810" s="50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.75" customHeight="1">
      <c r="A811" s="9"/>
      <c r="B811" s="50"/>
      <c r="C811" s="50"/>
      <c r="D811" s="50"/>
      <c r="E811" s="50"/>
      <c r="F811" s="50"/>
      <c r="G811" s="51"/>
      <c r="H811" s="50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.75" customHeight="1">
      <c r="A812" s="9"/>
      <c r="B812" s="50"/>
      <c r="C812" s="50"/>
      <c r="D812" s="50"/>
      <c r="E812" s="50"/>
      <c r="F812" s="50"/>
      <c r="G812" s="51"/>
      <c r="H812" s="50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.75" customHeight="1">
      <c r="A813" s="9"/>
      <c r="B813" s="50"/>
      <c r="C813" s="50"/>
      <c r="D813" s="50"/>
      <c r="E813" s="50"/>
      <c r="F813" s="50"/>
      <c r="G813" s="51"/>
      <c r="H813" s="50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.75" customHeight="1">
      <c r="A814" s="9"/>
      <c r="B814" s="50"/>
      <c r="C814" s="50"/>
      <c r="D814" s="50"/>
      <c r="E814" s="50"/>
      <c r="F814" s="50"/>
      <c r="G814" s="51"/>
      <c r="H814" s="50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.75" customHeight="1">
      <c r="A815" s="9"/>
      <c r="B815" s="50"/>
      <c r="C815" s="50"/>
      <c r="D815" s="50"/>
      <c r="E815" s="50"/>
      <c r="F815" s="50"/>
      <c r="G815" s="51"/>
      <c r="H815" s="50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.75" customHeight="1">
      <c r="A816" s="9"/>
      <c r="B816" s="50"/>
      <c r="C816" s="50"/>
      <c r="D816" s="50"/>
      <c r="E816" s="50"/>
      <c r="F816" s="50"/>
      <c r="G816" s="51"/>
      <c r="H816" s="50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.75" customHeight="1">
      <c r="A817" s="9"/>
      <c r="B817" s="50"/>
      <c r="C817" s="50"/>
      <c r="D817" s="50"/>
      <c r="E817" s="50"/>
      <c r="F817" s="50"/>
      <c r="G817" s="51"/>
      <c r="H817" s="50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.75" customHeight="1">
      <c r="A818" s="9"/>
      <c r="B818" s="50"/>
      <c r="C818" s="50"/>
      <c r="D818" s="50"/>
      <c r="E818" s="50"/>
      <c r="F818" s="50"/>
      <c r="G818" s="51"/>
      <c r="H818" s="50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.75" customHeight="1">
      <c r="A819" s="9"/>
      <c r="B819" s="9"/>
      <c r="C819" s="9"/>
      <c r="D819" s="9"/>
      <c r="E819" s="9"/>
      <c r="F819" s="9"/>
      <c r="G819" s="52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.75" customHeight="1">
      <c r="A820" s="9"/>
      <c r="B820" s="9"/>
      <c r="C820" s="9"/>
      <c r="D820" s="9"/>
      <c r="E820" s="9"/>
      <c r="F820" s="9"/>
      <c r="G820" s="52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.75" customHeight="1">
      <c r="A821" s="9"/>
      <c r="B821" s="9"/>
      <c r="C821" s="9"/>
      <c r="D821" s="9"/>
      <c r="E821" s="9"/>
      <c r="F821" s="9"/>
      <c r="G821" s="52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.75" customHeight="1">
      <c r="A822" s="9"/>
      <c r="B822" s="9"/>
      <c r="C822" s="9"/>
      <c r="D822" s="9"/>
      <c r="E822" s="9"/>
      <c r="F822" s="9"/>
      <c r="G822" s="52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.75" customHeight="1">
      <c r="A823" s="9"/>
      <c r="B823" s="9"/>
      <c r="C823" s="9"/>
      <c r="D823" s="9"/>
      <c r="E823" s="9"/>
      <c r="F823" s="9"/>
      <c r="G823" s="52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.75" customHeight="1">
      <c r="A824" s="9"/>
      <c r="B824" s="9"/>
      <c r="C824" s="9"/>
      <c r="D824" s="9"/>
      <c r="E824" s="9"/>
      <c r="F824" s="9"/>
      <c r="G824" s="52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.75" customHeight="1">
      <c r="A825" s="9"/>
      <c r="B825" s="9"/>
      <c r="C825" s="9"/>
      <c r="D825" s="9"/>
      <c r="E825" s="9"/>
      <c r="F825" s="9"/>
      <c r="G825" s="52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.75" customHeight="1">
      <c r="A826" s="9"/>
      <c r="B826" s="9"/>
      <c r="C826" s="9"/>
      <c r="D826" s="9"/>
      <c r="E826" s="9"/>
      <c r="F826" s="9"/>
      <c r="G826" s="52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.75" customHeight="1">
      <c r="A827" s="9"/>
      <c r="B827" s="9"/>
      <c r="C827" s="9"/>
      <c r="D827" s="9"/>
      <c r="E827" s="9"/>
      <c r="F827" s="9"/>
      <c r="G827" s="52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.75" customHeight="1">
      <c r="A828" s="9"/>
      <c r="B828" s="9"/>
      <c r="C828" s="9"/>
      <c r="D828" s="9"/>
      <c r="E828" s="9"/>
      <c r="F828" s="9"/>
      <c r="G828" s="52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.75" customHeight="1">
      <c r="A829" s="9"/>
      <c r="B829" s="9"/>
      <c r="C829" s="9"/>
      <c r="D829" s="9"/>
      <c r="E829" s="9"/>
      <c r="F829" s="9"/>
      <c r="G829" s="52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.75" customHeight="1">
      <c r="A830" s="9"/>
      <c r="B830" s="9"/>
      <c r="C830" s="9"/>
      <c r="D830" s="9"/>
      <c r="E830" s="9"/>
      <c r="F830" s="9"/>
      <c r="G830" s="52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.75" customHeight="1">
      <c r="A831" s="9"/>
      <c r="B831" s="9"/>
      <c r="C831" s="9"/>
      <c r="D831" s="9"/>
      <c r="E831" s="9"/>
      <c r="F831" s="9"/>
      <c r="G831" s="52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.75" customHeight="1">
      <c r="A832" s="9"/>
      <c r="B832" s="9"/>
      <c r="C832" s="9"/>
      <c r="D832" s="9"/>
      <c r="E832" s="9"/>
      <c r="F832" s="9"/>
      <c r="G832" s="52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.75" customHeight="1">
      <c r="A833" s="9"/>
      <c r="B833" s="9"/>
      <c r="C833" s="9"/>
      <c r="D833" s="9"/>
      <c r="E833" s="9"/>
      <c r="F833" s="9"/>
      <c r="G833" s="52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.75" customHeight="1">
      <c r="A834" s="9"/>
      <c r="B834" s="9"/>
      <c r="C834" s="9"/>
      <c r="D834" s="9"/>
      <c r="E834" s="9"/>
      <c r="F834" s="9"/>
      <c r="G834" s="52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.75" customHeight="1">
      <c r="A835" s="9"/>
      <c r="B835" s="9"/>
      <c r="C835" s="9"/>
      <c r="D835" s="9"/>
      <c r="E835" s="9"/>
      <c r="F835" s="9"/>
      <c r="G835" s="52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.75" customHeight="1">
      <c r="A836" s="9"/>
      <c r="B836" s="9"/>
      <c r="C836" s="9"/>
      <c r="D836" s="9"/>
      <c r="E836" s="9"/>
      <c r="F836" s="9"/>
      <c r="G836" s="52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.75" customHeight="1">
      <c r="A837" s="9"/>
      <c r="B837" s="9"/>
      <c r="C837" s="9"/>
      <c r="D837" s="9"/>
      <c r="E837" s="9"/>
      <c r="F837" s="9"/>
      <c r="G837" s="52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.75" customHeight="1">
      <c r="A838" s="9"/>
      <c r="B838" s="9"/>
      <c r="C838" s="9"/>
      <c r="D838" s="9"/>
      <c r="E838" s="9"/>
      <c r="F838" s="9"/>
      <c r="G838" s="52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.75" customHeight="1">
      <c r="A839" s="9"/>
      <c r="B839" s="9"/>
      <c r="C839" s="9"/>
      <c r="D839" s="9"/>
      <c r="E839" s="9"/>
      <c r="F839" s="9"/>
      <c r="G839" s="52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.75" customHeight="1">
      <c r="A840" s="9"/>
      <c r="B840" s="9"/>
      <c r="C840" s="9"/>
      <c r="D840" s="9"/>
      <c r="E840" s="9"/>
      <c r="F840" s="9"/>
      <c r="G840" s="52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.75" customHeight="1">
      <c r="A841" s="9"/>
      <c r="B841" s="9"/>
      <c r="C841" s="9"/>
      <c r="D841" s="9"/>
      <c r="E841" s="9"/>
      <c r="F841" s="9"/>
      <c r="G841" s="52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.75" customHeight="1">
      <c r="A842" s="9"/>
      <c r="B842" s="9"/>
      <c r="C842" s="9"/>
      <c r="D842" s="9"/>
      <c r="E842" s="9"/>
      <c r="F842" s="9"/>
      <c r="G842" s="52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.75" customHeight="1">
      <c r="A843" s="9"/>
      <c r="B843" s="9"/>
      <c r="C843" s="9"/>
      <c r="D843" s="9"/>
      <c r="E843" s="9"/>
      <c r="F843" s="9"/>
      <c r="G843" s="52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.75" customHeight="1">
      <c r="A844" s="9"/>
      <c r="B844" s="9"/>
      <c r="C844" s="9"/>
      <c r="D844" s="9"/>
      <c r="E844" s="9"/>
      <c r="F844" s="9"/>
      <c r="G844" s="52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.75" customHeight="1">
      <c r="A845" s="9"/>
      <c r="B845" s="9"/>
      <c r="C845" s="9"/>
      <c r="D845" s="9"/>
      <c r="E845" s="9"/>
      <c r="F845" s="9"/>
      <c r="G845" s="52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.75" customHeight="1">
      <c r="A846" s="9"/>
      <c r="B846" s="9"/>
      <c r="C846" s="9"/>
      <c r="D846" s="9"/>
      <c r="E846" s="9"/>
      <c r="F846" s="9"/>
      <c r="G846" s="52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.75" customHeight="1">
      <c r="A847" s="9"/>
      <c r="B847" s="9"/>
      <c r="C847" s="9"/>
      <c r="D847" s="9"/>
      <c r="E847" s="9"/>
      <c r="F847" s="9"/>
      <c r="G847" s="52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.75" customHeight="1">
      <c r="A848" s="9"/>
      <c r="B848" s="9"/>
      <c r="C848" s="9"/>
      <c r="D848" s="9"/>
      <c r="E848" s="9"/>
      <c r="F848" s="9"/>
      <c r="G848" s="52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.75" customHeight="1">
      <c r="A849" s="9"/>
      <c r="B849" s="9"/>
      <c r="C849" s="9"/>
      <c r="D849" s="9"/>
      <c r="E849" s="9"/>
      <c r="F849" s="9"/>
      <c r="G849" s="52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.75" customHeight="1">
      <c r="A850" s="9"/>
      <c r="B850" s="9"/>
      <c r="C850" s="9"/>
      <c r="D850" s="9"/>
      <c r="E850" s="9"/>
      <c r="F850" s="9"/>
      <c r="G850" s="52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.75" customHeight="1">
      <c r="A851" s="9"/>
      <c r="B851" s="9"/>
      <c r="C851" s="9"/>
      <c r="D851" s="9"/>
      <c r="E851" s="9"/>
      <c r="F851" s="9"/>
      <c r="G851" s="52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.75" customHeight="1">
      <c r="A852" s="9"/>
      <c r="B852" s="9"/>
      <c r="C852" s="9"/>
      <c r="D852" s="9"/>
      <c r="E852" s="9"/>
      <c r="F852" s="9"/>
      <c r="G852" s="52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.75" customHeight="1">
      <c r="A853" s="9"/>
      <c r="B853" s="9"/>
      <c r="C853" s="9"/>
      <c r="D853" s="9"/>
      <c r="E853" s="9"/>
      <c r="F853" s="9"/>
      <c r="G853" s="52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.75" customHeight="1">
      <c r="A854" s="9"/>
      <c r="B854" s="9"/>
      <c r="C854" s="9"/>
      <c r="D854" s="9"/>
      <c r="E854" s="9"/>
      <c r="F854" s="9"/>
      <c r="G854" s="52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.75" customHeight="1">
      <c r="A855" s="9"/>
      <c r="B855" s="9"/>
      <c r="C855" s="9"/>
      <c r="D855" s="9"/>
      <c r="E855" s="9"/>
      <c r="F855" s="9"/>
      <c r="G855" s="52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.75" customHeight="1">
      <c r="A856" s="9"/>
      <c r="B856" s="9"/>
      <c r="C856" s="9"/>
      <c r="D856" s="9"/>
      <c r="E856" s="9"/>
      <c r="F856" s="9"/>
      <c r="G856" s="52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.75" customHeight="1">
      <c r="A857" s="9"/>
      <c r="B857" s="9"/>
      <c r="C857" s="9"/>
      <c r="D857" s="9"/>
      <c r="E857" s="9"/>
      <c r="F857" s="9"/>
      <c r="G857" s="52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.75" customHeight="1">
      <c r="A858" s="9"/>
      <c r="B858" s="9"/>
      <c r="C858" s="9"/>
      <c r="D858" s="9"/>
      <c r="E858" s="9"/>
      <c r="F858" s="9"/>
      <c r="G858" s="52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.75" customHeight="1">
      <c r="A859" s="9"/>
      <c r="B859" s="9"/>
      <c r="C859" s="9"/>
      <c r="D859" s="9"/>
      <c r="E859" s="9"/>
      <c r="F859" s="9"/>
      <c r="G859" s="52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.75" customHeight="1">
      <c r="A860" s="9"/>
      <c r="B860" s="9"/>
      <c r="C860" s="9"/>
      <c r="D860" s="9"/>
      <c r="E860" s="9"/>
      <c r="F860" s="9"/>
      <c r="G860" s="52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.75" customHeight="1">
      <c r="A861" s="9"/>
      <c r="B861" s="9"/>
      <c r="C861" s="9"/>
      <c r="D861" s="9"/>
      <c r="E861" s="9"/>
      <c r="F861" s="9"/>
      <c r="G861" s="52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.75" customHeight="1">
      <c r="A862" s="9"/>
      <c r="B862" s="9"/>
      <c r="C862" s="9"/>
      <c r="D862" s="9"/>
      <c r="E862" s="9"/>
      <c r="F862" s="9"/>
      <c r="G862" s="52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.75" customHeight="1">
      <c r="A863" s="9"/>
      <c r="B863" s="9"/>
      <c r="C863" s="9"/>
      <c r="D863" s="9"/>
      <c r="E863" s="9"/>
      <c r="F863" s="9"/>
      <c r="G863" s="52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.75" customHeight="1">
      <c r="A864" s="9"/>
      <c r="B864" s="9"/>
      <c r="C864" s="9"/>
      <c r="D864" s="9"/>
      <c r="E864" s="9"/>
      <c r="F864" s="9"/>
      <c r="G864" s="52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.75" customHeight="1">
      <c r="A865" s="9"/>
      <c r="B865" s="9"/>
      <c r="C865" s="9"/>
      <c r="D865" s="9"/>
      <c r="E865" s="9"/>
      <c r="F865" s="9"/>
      <c r="G865" s="52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.75" customHeight="1">
      <c r="A866" s="9"/>
      <c r="B866" s="9"/>
      <c r="C866" s="9"/>
      <c r="D866" s="9"/>
      <c r="E866" s="9"/>
      <c r="F866" s="9"/>
      <c r="G866" s="52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.75" customHeight="1">
      <c r="A867" s="9"/>
      <c r="B867" s="9"/>
      <c r="C867" s="9"/>
      <c r="D867" s="9"/>
      <c r="E867" s="9"/>
      <c r="F867" s="9"/>
      <c r="G867" s="52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.75" customHeight="1">
      <c r="A868" s="9"/>
      <c r="B868" s="9"/>
      <c r="C868" s="9"/>
      <c r="D868" s="9"/>
      <c r="E868" s="9"/>
      <c r="F868" s="9"/>
      <c r="G868" s="52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.75" customHeight="1">
      <c r="A869" s="9"/>
      <c r="B869" s="9"/>
      <c r="C869" s="9"/>
      <c r="D869" s="9"/>
      <c r="E869" s="9"/>
      <c r="F869" s="9"/>
      <c r="G869" s="52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.75" customHeight="1">
      <c r="A870" s="9"/>
      <c r="B870" s="9"/>
      <c r="C870" s="9"/>
      <c r="D870" s="9"/>
      <c r="E870" s="9"/>
      <c r="F870" s="9"/>
      <c r="G870" s="52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.75" customHeight="1">
      <c r="A871" s="9"/>
      <c r="B871" s="9"/>
      <c r="C871" s="9"/>
      <c r="D871" s="9"/>
      <c r="E871" s="9"/>
      <c r="F871" s="9"/>
      <c r="G871" s="52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.75" customHeight="1">
      <c r="A872" s="9"/>
      <c r="B872" s="9"/>
      <c r="C872" s="9"/>
      <c r="D872" s="9"/>
      <c r="E872" s="9"/>
      <c r="F872" s="9"/>
      <c r="G872" s="52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.75" customHeight="1">
      <c r="A873" s="9"/>
      <c r="B873" s="9"/>
      <c r="C873" s="9"/>
      <c r="D873" s="9"/>
      <c r="E873" s="9"/>
      <c r="F873" s="9"/>
      <c r="G873" s="52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.75" customHeight="1">
      <c r="A874" s="9"/>
      <c r="B874" s="9"/>
      <c r="C874" s="9"/>
      <c r="D874" s="9"/>
      <c r="E874" s="9"/>
      <c r="F874" s="9"/>
      <c r="G874" s="52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.75" customHeight="1">
      <c r="A875" s="9"/>
      <c r="B875" s="9"/>
      <c r="C875" s="9"/>
      <c r="D875" s="9"/>
      <c r="E875" s="9"/>
      <c r="F875" s="9"/>
      <c r="G875" s="52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.75" customHeight="1">
      <c r="A876" s="9"/>
      <c r="B876" s="9"/>
      <c r="C876" s="9"/>
      <c r="D876" s="9"/>
      <c r="E876" s="9"/>
      <c r="F876" s="9"/>
      <c r="G876" s="52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.75" customHeight="1">
      <c r="A877" s="9"/>
      <c r="B877" s="9"/>
      <c r="C877" s="9"/>
      <c r="D877" s="9"/>
      <c r="E877" s="9"/>
      <c r="F877" s="9"/>
      <c r="G877" s="52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.75" customHeight="1">
      <c r="A878" s="9"/>
      <c r="B878" s="9"/>
      <c r="C878" s="9"/>
      <c r="D878" s="9"/>
      <c r="E878" s="9"/>
      <c r="F878" s="9"/>
      <c r="G878" s="52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.75" customHeight="1">
      <c r="A879" s="9"/>
      <c r="B879" s="9"/>
      <c r="C879" s="9"/>
      <c r="D879" s="9"/>
      <c r="E879" s="9"/>
      <c r="F879" s="9"/>
      <c r="G879" s="52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.75" customHeight="1">
      <c r="A880" s="9"/>
      <c r="B880" s="9"/>
      <c r="C880" s="9"/>
      <c r="D880" s="9"/>
      <c r="E880" s="9"/>
      <c r="F880" s="9"/>
      <c r="G880" s="52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.75" customHeight="1">
      <c r="A881" s="9"/>
      <c r="B881" s="9"/>
      <c r="C881" s="9"/>
      <c r="D881" s="9"/>
      <c r="E881" s="9"/>
      <c r="F881" s="9"/>
      <c r="G881" s="52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.75" customHeight="1">
      <c r="A882" s="9"/>
      <c r="B882" s="9"/>
      <c r="C882" s="9"/>
      <c r="D882" s="9"/>
      <c r="E882" s="9"/>
      <c r="F882" s="9"/>
      <c r="G882" s="52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.75" customHeight="1">
      <c r="A883" s="9"/>
      <c r="B883" s="9"/>
      <c r="C883" s="9"/>
      <c r="D883" s="9"/>
      <c r="E883" s="9"/>
      <c r="F883" s="9"/>
      <c r="G883" s="52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.75" customHeight="1">
      <c r="A884" s="9"/>
      <c r="B884" s="9"/>
      <c r="C884" s="9"/>
      <c r="D884" s="9"/>
      <c r="E884" s="9"/>
      <c r="F884" s="9"/>
      <c r="G884" s="52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.75" customHeight="1">
      <c r="A885" s="9"/>
      <c r="B885" s="9"/>
      <c r="C885" s="9"/>
      <c r="D885" s="9"/>
      <c r="E885" s="9"/>
      <c r="F885" s="9"/>
      <c r="G885" s="52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.75" customHeight="1">
      <c r="A886" s="9"/>
      <c r="B886" s="9"/>
      <c r="C886" s="9"/>
      <c r="D886" s="9"/>
      <c r="E886" s="9"/>
      <c r="F886" s="9"/>
      <c r="G886" s="52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.75" customHeight="1">
      <c r="A887" s="9"/>
      <c r="B887" s="9"/>
      <c r="C887" s="9"/>
      <c r="D887" s="9"/>
      <c r="E887" s="9"/>
      <c r="F887" s="9"/>
      <c r="G887" s="52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.75" customHeight="1">
      <c r="A888" s="9"/>
      <c r="B888" s="9"/>
      <c r="C888" s="9"/>
      <c r="D888" s="9"/>
      <c r="E888" s="9"/>
      <c r="F888" s="9"/>
      <c r="G888" s="52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.75" customHeight="1">
      <c r="A889" s="9"/>
      <c r="B889" s="9"/>
      <c r="C889" s="9"/>
      <c r="D889" s="9"/>
      <c r="E889" s="9"/>
      <c r="F889" s="9"/>
      <c r="G889" s="52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.75" customHeight="1">
      <c r="A890" s="9"/>
      <c r="B890" s="9"/>
      <c r="C890" s="9"/>
      <c r="D890" s="9"/>
      <c r="E890" s="9"/>
      <c r="F890" s="9"/>
      <c r="G890" s="52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.75" customHeight="1">
      <c r="A891" s="9"/>
      <c r="B891" s="9"/>
      <c r="C891" s="9"/>
      <c r="D891" s="9"/>
      <c r="E891" s="9"/>
      <c r="F891" s="9"/>
      <c r="G891" s="52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.75" customHeight="1">
      <c r="A892" s="9"/>
      <c r="B892" s="9"/>
      <c r="C892" s="9"/>
      <c r="D892" s="9"/>
      <c r="E892" s="9"/>
      <c r="F892" s="9"/>
      <c r="G892" s="52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.75" customHeight="1">
      <c r="A893" s="9"/>
      <c r="B893" s="9"/>
      <c r="C893" s="9"/>
      <c r="D893" s="9"/>
      <c r="E893" s="9"/>
      <c r="F893" s="9"/>
      <c r="G893" s="52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.75" customHeight="1">
      <c r="A894" s="9"/>
      <c r="B894" s="9"/>
      <c r="C894" s="9"/>
      <c r="D894" s="9"/>
      <c r="E894" s="9"/>
      <c r="F894" s="9"/>
      <c r="G894" s="52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.75" customHeight="1">
      <c r="A895" s="9"/>
      <c r="B895" s="9"/>
      <c r="C895" s="9"/>
      <c r="D895" s="9"/>
      <c r="E895" s="9"/>
      <c r="F895" s="9"/>
      <c r="G895" s="52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.75" customHeight="1">
      <c r="A896" s="9"/>
      <c r="B896" s="9"/>
      <c r="C896" s="9"/>
      <c r="D896" s="9"/>
      <c r="E896" s="9"/>
      <c r="F896" s="9"/>
      <c r="G896" s="52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.75" customHeight="1">
      <c r="A897" s="9"/>
      <c r="B897" s="9"/>
      <c r="C897" s="9"/>
      <c r="D897" s="9"/>
      <c r="E897" s="9"/>
      <c r="F897" s="9"/>
      <c r="G897" s="52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.75" customHeight="1">
      <c r="A898" s="9"/>
      <c r="B898" s="9"/>
      <c r="C898" s="9"/>
      <c r="D898" s="9"/>
      <c r="E898" s="9"/>
      <c r="F898" s="9"/>
      <c r="G898" s="52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.75" customHeight="1">
      <c r="A899" s="9"/>
      <c r="B899" s="9"/>
      <c r="C899" s="9"/>
      <c r="D899" s="9"/>
      <c r="E899" s="9"/>
      <c r="F899" s="9"/>
      <c r="G899" s="52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.75" customHeight="1">
      <c r="A900" s="9"/>
      <c r="B900" s="9"/>
      <c r="C900" s="9"/>
      <c r="D900" s="9"/>
      <c r="E900" s="9"/>
      <c r="F900" s="9"/>
      <c r="G900" s="52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.75" customHeight="1">
      <c r="A901" s="9"/>
      <c r="B901" s="9"/>
      <c r="C901" s="9"/>
      <c r="D901" s="9"/>
      <c r="E901" s="9"/>
      <c r="F901" s="9"/>
      <c r="G901" s="52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.75" customHeight="1">
      <c r="A902" s="9"/>
      <c r="B902" s="9"/>
      <c r="C902" s="9"/>
      <c r="D902" s="9"/>
      <c r="E902" s="9"/>
      <c r="F902" s="9"/>
      <c r="G902" s="52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.75" customHeight="1">
      <c r="A903" s="9"/>
      <c r="B903" s="9"/>
      <c r="C903" s="9"/>
      <c r="D903" s="9"/>
      <c r="E903" s="9"/>
      <c r="F903" s="9"/>
      <c r="G903" s="52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.75" customHeight="1">
      <c r="A904" s="9"/>
      <c r="B904" s="9"/>
      <c r="C904" s="9"/>
      <c r="D904" s="9"/>
      <c r="E904" s="9"/>
      <c r="F904" s="9"/>
      <c r="G904" s="52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.75" customHeight="1">
      <c r="A905" s="9"/>
      <c r="B905" s="9"/>
      <c r="C905" s="9"/>
      <c r="D905" s="9"/>
      <c r="E905" s="9"/>
      <c r="F905" s="9"/>
      <c r="G905" s="52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.75" customHeight="1">
      <c r="A906" s="9"/>
      <c r="B906" s="9"/>
      <c r="C906" s="9"/>
      <c r="D906" s="9"/>
      <c r="E906" s="9"/>
      <c r="F906" s="9"/>
      <c r="G906" s="52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.75" customHeight="1">
      <c r="A907" s="9"/>
      <c r="B907" s="9"/>
      <c r="C907" s="9"/>
      <c r="D907" s="9"/>
      <c r="E907" s="9"/>
      <c r="F907" s="9"/>
      <c r="G907" s="52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.75" customHeight="1">
      <c r="A908" s="9"/>
      <c r="B908" s="9"/>
      <c r="C908" s="9"/>
      <c r="D908" s="9"/>
      <c r="E908" s="9"/>
      <c r="F908" s="9"/>
      <c r="G908" s="52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.75" customHeight="1">
      <c r="A909" s="9"/>
      <c r="B909" s="9"/>
      <c r="C909" s="9"/>
      <c r="D909" s="9"/>
      <c r="E909" s="9"/>
      <c r="F909" s="9"/>
      <c r="G909" s="52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.75" customHeight="1">
      <c r="A910" s="9"/>
      <c r="B910" s="9"/>
      <c r="C910" s="9"/>
      <c r="D910" s="9"/>
      <c r="E910" s="9"/>
      <c r="F910" s="9"/>
      <c r="G910" s="52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.75" customHeight="1">
      <c r="A911" s="9"/>
      <c r="B911" s="9"/>
      <c r="C911" s="9"/>
      <c r="D911" s="9"/>
      <c r="E911" s="9"/>
      <c r="F911" s="9"/>
      <c r="G911" s="52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.75" customHeight="1">
      <c r="A912" s="9"/>
      <c r="B912" s="9"/>
      <c r="C912" s="9"/>
      <c r="D912" s="9"/>
      <c r="E912" s="9"/>
      <c r="F912" s="9"/>
      <c r="G912" s="52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.75" customHeight="1">
      <c r="A913" s="9"/>
      <c r="B913" s="9"/>
      <c r="C913" s="9"/>
      <c r="D913" s="9"/>
      <c r="E913" s="9"/>
      <c r="F913" s="9"/>
      <c r="G913" s="52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.75" customHeight="1">
      <c r="A914" s="9"/>
      <c r="B914" s="9"/>
      <c r="C914" s="9"/>
      <c r="D914" s="9"/>
      <c r="E914" s="9"/>
      <c r="F914" s="9"/>
      <c r="G914" s="52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.75" customHeight="1">
      <c r="A915" s="9"/>
      <c r="B915" s="9"/>
      <c r="C915" s="9"/>
      <c r="D915" s="9"/>
      <c r="E915" s="9"/>
      <c r="F915" s="9"/>
      <c r="G915" s="52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.75" customHeight="1">
      <c r="A916" s="9"/>
      <c r="B916" s="9"/>
      <c r="C916" s="9"/>
      <c r="D916" s="9"/>
      <c r="E916" s="9"/>
      <c r="F916" s="9"/>
      <c r="G916" s="52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.75" customHeight="1">
      <c r="A917" s="9"/>
      <c r="B917" s="9"/>
      <c r="C917" s="9"/>
      <c r="D917" s="9"/>
      <c r="E917" s="9"/>
      <c r="F917" s="9"/>
      <c r="G917" s="52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.75" customHeight="1">
      <c r="A918" s="9"/>
      <c r="B918" s="9"/>
      <c r="C918" s="9"/>
      <c r="D918" s="9"/>
      <c r="E918" s="9"/>
      <c r="F918" s="9"/>
      <c r="G918" s="52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.75" customHeight="1">
      <c r="A919" s="9"/>
      <c r="B919" s="9"/>
      <c r="C919" s="9"/>
      <c r="D919" s="9"/>
      <c r="E919" s="9"/>
      <c r="F919" s="9"/>
      <c r="G919" s="52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.75" customHeight="1">
      <c r="A920" s="9"/>
      <c r="B920" s="9"/>
      <c r="C920" s="9"/>
      <c r="D920" s="9"/>
      <c r="E920" s="9"/>
      <c r="F920" s="9"/>
      <c r="G920" s="52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.75" customHeight="1">
      <c r="A921" s="9"/>
      <c r="B921" s="9"/>
      <c r="C921" s="9"/>
      <c r="D921" s="9"/>
      <c r="E921" s="9"/>
      <c r="F921" s="9"/>
      <c r="G921" s="52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.75" customHeight="1">
      <c r="A922" s="9"/>
      <c r="B922" s="9"/>
      <c r="C922" s="9"/>
      <c r="D922" s="9"/>
      <c r="E922" s="9"/>
      <c r="F922" s="9"/>
      <c r="G922" s="52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.75" customHeight="1">
      <c r="A923" s="9"/>
      <c r="B923" s="9"/>
      <c r="C923" s="9"/>
      <c r="D923" s="9"/>
      <c r="E923" s="9"/>
      <c r="F923" s="9"/>
      <c r="G923" s="52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.75" customHeight="1">
      <c r="A924" s="9"/>
      <c r="B924" s="9"/>
      <c r="C924" s="9"/>
      <c r="D924" s="9"/>
      <c r="E924" s="9"/>
      <c r="F924" s="9"/>
      <c r="G924" s="52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.75" customHeight="1">
      <c r="A925" s="9"/>
      <c r="B925" s="9"/>
      <c r="C925" s="9"/>
      <c r="D925" s="9"/>
      <c r="E925" s="9"/>
      <c r="F925" s="9"/>
      <c r="G925" s="52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.75" customHeight="1">
      <c r="A926" s="9"/>
      <c r="B926" s="9"/>
      <c r="C926" s="9"/>
      <c r="D926" s="9"/>
      <c r="E926" s="9"/>
      <c r="F926" s="9"/>
      <c r="G926" s="52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.75" customHeight="1">
      <c r="A927" s="9"/>
      <c r="B927" s="9"/>
      <c r="C927" s="9"/>
      <c r="D927" s="9"/>
      <c r="E927" s="9"/>
      <c r="F927" s="9"/>
      <c r="G927" s="52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.75" customHeight="1">
      <c r="A928" s="9"/>
      <c r="B928" s="9"/>
      <c r="C928" s="9"/>
      <c r="D928" s="9"/>
      <c r="E928" s="9"/>
      <c r="F928" s="9"/>
      <c r="G928" s="52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.75" customHeight="1">
      <c r="A929" s="9"/>
      <c r="B929" s="9"/>
      <c r="C929" s="9"/>
      <c r="D929" s="9"/>
      <c r="E929" s="9"/>
      <c r="F929" s="9"/>
      <c r="G929" s="52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.75" customHeight="1">
      <c r="A930" s="9"/>
      <c r="B930" s="9"/>
      <c r="C930" s="9"/>
      <c r="D930" s="9"/>
      <c r="E930" s="9"/>
      <c r="F930" s="9"/>
      <c r="G930" s="52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.75" customHeight="1">
      <c r="A931" s="9"/>
      <c r="B931" s="9"/>
      <c r="C931" s="9"/>
      <c r="D931" s="9"/>
      <c r="E931" s="9"/>
      <c r="F931" s="9"/>
      <c r="G931" s="52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.75" customHeight="1">
      <c r="A932" s="9"/>
      <c r="B932" s="9"/>
      <c r="C932" s="9"/>
      <c r="D932" s="9"/>
      <c r="E932" s="9"/>
      <c r="F932" s="9"/>
      <c r="G932" s="52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.75" customHeight="1">
      <c r="A933" s="9"/>
      <c r="B933" s="9"/>
      <c r="C933" s="9"/>
      <c r="D933" s="9"/>
      <c r="E933" s="9"/>
      <c r="F933" s="9"/>
      <c r="G933" s="52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.75" customHeight="1">
      <c r="A934" s="9"/>
      <c r="B934" s="9"/>
      <c r="C934" s="9"/>
      <c r="D934" s="9"/>
      <c r="E934" s="9"/>
      <c r="F934" s="9"/>
      <c r="G934" s="52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.75" customHeight="1">
      <c r="A935" s="9"/>
      <c r="B935" s="9"/>
      <c r="C935" s="9"/>
      <c r="D935" s="9"/>
      <c r="E935" s="9"/>
      <c r="F935" s="9"/>
      <c r="G935" s="52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.75" customHeight="1">
      <c r="A936" s="9"/>
      <c r="B936" s="9"/>
      <c r="C936" s="9"/>
      <c r="D936" s="9"/>
      <c r="E936" s="9"/>
      <c r="F936" s="9"/>
      <c r="G936" s="52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.75" customHeight="1">
      <c r="A937" s="9"/>
      <c r="B937" s="9"/>
      <c r="C937" s="9"/>
      <c r="D937" s="9"/>
      <c r="E937" s="9"/>
      <c r="F937" s="9"/>
      <c r="G937" s="52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.75" customHeight="1">
      <c r="A938" s="9"/>
      <c r="B938" s="9"/>
      <c r="C938" s="9"/>
      <c r="D938" s="9"/>
      <c r="E938" s="9"/>
      <c r="F938" s="9"/>
      <c r="G938" s="52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.75" customHeight="1">
      <c r="A939" s="9"/>
      <c r="B939" s="9"/>
      <c r="C939" s="9"/>
      <c r="D939" s="9"/>
      <c r="E939" s="9"/>
      <c r="F939" s="9"/>
      <c r="G939" s="52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.75" customHeight="1">
      <c r="A940" s="9"/>
      <c r="B940" s="9"/>
      <c r="C940" s="9"/>
      <c r="D940" s="9"/>
      <c r="E940" s="9"/>
      <c r="F940" s="9"/>
      <c r="G940" s="52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.75" customHeight="1">
      <c r="A941" s="9"/>
      <c r="B941" s="9"/>
      <c r="C941" s="9"/>
      <c r="D941" s="9"/>
      <c r="E941" s="9"/>
      <c r="F941" s="9"/>
      <c r="G941" s="52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.75" customHeight="1">
      <c r="A942" s="9"/>
      <c r="B942" s="9"/>
      <c r="C942" s="9"/>
      <c r="D942" s="9"/>
      <c r="E942" s="9"/>
      <c r="F942" s="9"/>
      <c r="G942" s="52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.75" customHeight="1">
      <c r="A943" s="9"/>
      <c r="B943" s="9"/>
      <c r="C943" s="9"/>
      <c r="D943" s="9"/>
      <c r="E943" s="9"/>
      <c r="F943" s="9"/>
      <c r="G943" s="52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.75" customHeight="1">
      <c r="A944" s="9"/>
      <c r="B944" s="9"/>
      <c r="C944" s="9"/>
      <c r="D944" s="9"/>
      <c r="E944" s="9"/>
      <c r="F944" s="9"/>
      <c r="G944" s="52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.75" customHeight="1">
      <c r="A945" s="9"/>
      <c r="B945" s="9"/>
      <c r="C945" s="9"/>
      <c r="D945" s="9"/>
      <c r="E945" s="9"/>
      <c r="F945" s="9"/>
      <c r="G945" s="52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.75" customHeight="1">
      <c r="A946" s="9"/>
      <c r="B946" s="9"/>
      <c r="C946" s="9"/>
      <c r="D946" s="9"/>
      <c r="E946" s="9"/>
      <c r="F946" s="9"/>
      <c r="G946" s="52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.75" customHeight="1">
      <c r="A947" s="9"/>
      <c r="B947" s="9"/>
      <c r="C947" s="9"/>
      <c r="D947" s="9"/>
      <c r="E947" s="9"/>
      <c r="F947" s="9"/>
      <c r="G947" s="52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.75" customHeight="1">
      <c r="A948" s="9"/>
      <c r="B948" s="9"/>
      <c r="C948" s="9"/>
      <c r="D948" s="9"/>
      <c r="E948" s="9"/>
      <c r="F948" s="9"/>
      <c r="G948" s="52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.75" customHeight="1">
      <c r="A949" s="9"/>
      <c r="B949" s="9"/>
      <c r="C949" s="9"/>
      <c r="D949" s="9"/>
      <c r="E949" s="9"/>
      <c r="F949" s="9"/>
      <c r="G949" s="52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.75" customHeight="1">
      <c r="A950" s="9"/>
      <c r="B950" s="9"/>
      <c r="C950" s="9"/>
      <c r="D950" s="9"/>
      <c r="E950" s="9"/>
      <c r="F950" s="9"/>
      <c r="G950" s="52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.75" customHeight="1">
      <c r="A951" s="9"/>
      <c r="B951" s="9"/>
      <c r="C951" s="9"/>
      <c r="D951" s="9"/>
      <c r="E951" s="9"/>
      <c r="F951" s="9"/>
      <c r="G951" s="52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.75" customHeight="1">
      <c r="A952" s="9"/>
      <c r="B952" s="9"/>
      <c r="C952" s="9"/>
      <c r="D952" s="9"/>
      <c r="E952" s="9"/>
      <c r="F952" s="9"/>
      <c r="G952" s="52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.75" customHeight="1">
      <c r="A953" s="9"/>
      <c r="B953" s="9"/>
      <c r="C953" s="9"/>
      <c r="D953" s="9"/>
      <c r="E953" s="9"/>
      <c r="F953" s="9"/>
      <c r="G953" s="52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.75" customHeight="1">
      <c r="A954" s="9"/>
      <c r="B954" s="9"/>
      <c r="C954" s="9"/>
      <c r="D954" s="9"/>
      <c r="E954" s="9"/>
      <c r="F954" s="9"/>
      <c r="G954" s="52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.75" customHeight="1">
      <c r="A955" s="9"/>
      <c r="B955" s="9"/>
      <c r="C955" s="9"/>
      <c r="D955" s="9"/>
      <c r="E955" s="9"/>
      <c r="F955" s="9"/>
      <c r="G955" s="52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.75" customHeight="1">
      <c r="A956" s="9"/>
      <c r="B956" s="9"/>
      <c r="C956" s="9"/>
      <c r="D956" s="9"/>
      <c r="E956" s="9"/>
      <c r="F956" s="9"/>
      <c r="G956" s="52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.75" customHeight="1">
      <c r="A957" s="9"/>
      <c r="B957" s="9"/>
      <c r="C957" s="9"/>
      <c r="D957" s="9"/>
      <c r="E957" s="9"/>
      <c r="F957" s="9"/>
      <c r="G957" s="52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.75" customHeight="1">
      <c r="A958" s="9"/>
      <c r="B958" s="9"/>
      <c r="C958" s="9"/>
      <c r="D958" s="9"/>
      <c r="E958" s="9"/>
      <c r="F958" s="9"/>
      <c r="G958" s="52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.75" customHeight="1">
      <c r="A959" s="9"/>
      <c r="B959" s="9"/>
      <c r="C959" s="9"/>
      <c r="D959" s="9"/>
      <c r="E959" s="9"/>
      <c r="F959" s="9"/>
      <c r="G959" s="52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.75" customHeight="1">
      <c r="A960" s="9"/>
      <c r="B960" s="9"/>
      <c r="C960" s="9"/>
      <c r="D960" s="9"/>
      <c r="E960" s="9"/>
      <c r="F960" s="9"/>
      <c r="G960" s="52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.75" customHeight="1">
      <c r="A961" s="9"/>
      <c r="B961" s="9"/>
      <c r="C961" s="9"/>
      <c r="D961" s="9"/>
      <c r="E961" s="9"/>
      <c r="F961" s="9"/>
      <c r="G961" s="52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.75" customHeight="1">
      <c r="A962" s="9"/>
      <c r="B962" s="9"/>
      <c r="C962" s="9"/>
      <c r="D962" s="9"/>
      <c r="E962" s="9"/>
      <c r="F962" s="9"/>
      <c r="G962" s="52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.75" customHeight="1">
      <c r="A963" s="9"/>
      <c r="B963" s="9"/>
      <c r="C963" s="9"/>
      <c r="D963" s="9"/>
      <c r="E963" s="9"/>
      <c r="F963" s="9"/>
      <c r="G963" s="52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.75" customHeight="1">
      <c r="A964" s="9"/>
      <c r="B964" s="9"/>
      <c r="C964" s="9"/>
      <c r="D964" s="9"/>
      <c r="E964" s="9"/>
      <c r="F964" s="9"/>
      <c r="G964" s="52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.75" customHeight="1">
      <c r="A965" s="9"/>
      <c r="B965" s="9"/>
      <c r="C965" s="9"/>
      <c r="D965" s="9"/>
      <c r="E965" s="9"/>
      <c r="F965" s="9"/>
      <c r="G965" s="52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.75" customHeight="1">
      <c r="A966" s="9"/>
      <c r="B966" s="9"/>
      <c r="C966" s="9"/>
      <c r="D966" s="9"/>
      <c r="E966" s="9"/>
      <c r="F966" s="9"/>
      <c r="G966" s="52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.75" customHeight="1">
      <c r="A967" s="9"/>
      <c r="B967" s="9"/>
      <c r="C967" s="9"/>
      <c r="D967" s="9"/>
      <c r="E967" s="9"/>
      <c r="F967" s="9"/>
      <c r="G967" s="52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.75" customHeight="1">
      <c r="A968" s="9"/>
      <c r="B968" s="9"/>
      <c r="C968" s="9"/>
      <c r="D968" s="9"/>
      <c r="E968" s="9"/>
      <c r="F968" s="9"/>
      <c r="G968" s="52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.75" customHeight="1">
      <c r="A969" s="9"/>
      <c r="B969" s="9"/>
      <c r="C969" s="9"/>
      <c r="D969" s="9"/>
      <c r="E969" s="9"/>
      <c r="F969" s="9"/>
      <c r="G969" s="52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.75" customHeight="1">
      <c r="A970" s="9"/>
      <c r="B970" s="9"/>
      <c r="C970" s="9"/>
      <c r="D970" s="9"/>
      <c r="E970" s="9"/>
      <c r="F970" s="9"/>
      <c r="G970" s="52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.75" customHeight="1">
      <c r="A971" s="9"/>
      <c r="B971" s="9"/>
      <c r="C971" s="9"/>
      <c r="D971" s="9"/>
      <c r="E971" s="9"/>
      <c r="F971" s="9"/>
      <c r="G971" s="52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.75" customHeight="1">
      <c r="A972" s="9"/>
      <c r="B972" s="9"/>
      <c r="C972" s="9"/>
      <c r="D972" s="9"/>
      <c r="E972" s="9"/>
      <c r="F972" s="9"/>
      <c r="G972" s="52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.75" customHeight="1">
      <c r="A973" s="9"/>
      <c r="B973" s="9"/>
      <c r="C973" s="9"/>
      <c r="D973" s="9"/>
      <c r="E973" s="9"/>
      <c r="F973" s="9"/>
      <c r="G973" s="52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.75" customHeight="1">
      <c r="A974" s="9"/>
      <c r="B974" s="9"/>
      <c r="C974" s="9"/>
      <c r="D974" s="9"/>
      <c r="E974" s="9"/>
      <c r="F974" s="9"/>
      <c r="G974" s="52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5.75" customHeight="1">
      <c r="A975" s="9"/>
      <c r="B975" s="9"/>
      <c r="C975" s="9"/>
      <c r="D975" s="9"/>
      <c r="E975" s="9"/>
      <c r="F975" s="9"/>
      <c r="G975" s="52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.75" customHeight="1">
      <c r="A976" s="9"/>
      <c r="B976" s="9"/>
      <c r="C976" s="9"/>
      <c r="D976" s="9"/>
      <c r="E976" s="9"/>
      <c r="F976" s="9"/>
      <c r="G976" s="52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5.75" customHeight="1">
      <c r="A977" s="9"/>
      <c r="B977" s="9"/>
      <c r="C977" s="9"/>
      <c r="D977" s="9"/>
      <c r="E977" s="9"/>
      <c r="F977" s="9"/>
      <c r="G977" s="52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.75" customHeight="1">
      <c r="A978" s="9"/>
      <c r="B978" s="9"/>
      <c r="C978" s="9"/>
      <c r="D978" s="9"/>
      <c r="E978" s="9"/>
      <c r="F978" s="9"/>
      <c r="G978" s="52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5.75" customHeight="1">
      <c r="A979" s="9"/>
      <c r="B979" s="9"/>
      <c r="C979" s="9"/>
      <c r="D979" s="9"/>
      <c r="E979" s="9"/>
      <c r="F979" s="9"/>
      <c r="G979" s="52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.75" customHeight="1">
      <c r="A980" s="9"/>
      <c r="B980" s="9"/>
      <c r="C980" s="9"/>
      <c r="D980" s="9"/>
      <c r="E980" s="9"/>
      <c r="F980" s="9"/>
      <c r="G980" s="52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5.75" customHeight="1">
      <c r="A981" s="9"/>
      <c r="B981" s="9"/>
      <c r="C981" s="9"/>
      <c r="D981" s="9"/>
      <c r="E981" s="9"/>
      <c r="F981" s="9"/>
      <c r="G981" s="52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.75" customHeight="1">
      <c r="A982" s="9"/>
      <c r="B982" s="9"/>
      <c r="C982" s="9"/>
      <c r="D982" s="9"/>
      <c r="E982" s="9"/>
      <c r="F982" s="9"/>
      <c r="G982" s="52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5.75" customHeight="1">
      <c r="A983" s="9"/>
      <c r="B983" s="9"/>
      <c r="C983" s="9"/>
      <c r="D983" s="9"/>
      <c r="E983" s="9"/>
      <c r="F983" s="9"/>
      <c r="G983" s="52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.75" customHeight="1">
      <c r="A984" s="9"/>
      <c r="B984" s="9"/>
      <c r="C984" s="9"/>
      <c r="D984" s="9"/>
      <c r="E984" s="9"/>
      <c r="F984" s="9"/>
      <c r="G984" s="52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5.75" customHeight="1">
      <c r="A985" s="9"/>
      <c r="B985" s="9"/>
      <c r="C985" s="9"/>
      <c r="D985" s="9"/>
      <c r="E985" s="9"/>
      <c r="F985" s="9"/>
      <c r="G985" s="52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5.75" customHeight="1">
      <c r="A986" s="9"/>
      <c r="B986" s="9"/>
      <c r="C986" s="9"/>
      <c r="D986" s="9"/>
      <c r="E986" s="9"/>
      <c r="F986" s="9"/>
      <c r="G986" s="52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5.75" customHeight="1">
      <c r="A987" s="9"/>
      <c r="B987" s="9"/>
      <c r="C987" s="9"/>
      <c r="D987" s="9"/>
      <c r="E987" s="9"/>
      <c r="F987" s="9"/>
      <c r="G987" s="52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5.75" customHeight="1">
      <c r="A988" s="9"/>
      <c r="B988" s="9"/>
      <c r="C988" s="9"/>
      <c r="D988" s="9"/>
      <c r="E988" s="9"/>
      <c r="F988" s="9"/>
      <c r="G988" s="52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5.75" customHeight="1">
      <c r="A989" s="9"/>
      <c r="B989" s="9"/>
      <c r="C989" s="9"/>
      <c r="D989" s="9"/>
      <c r="E989" s="9"/>
      <c r="F989" s="9"/>
      <c r="G989" s="52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5.75" customHeight="1">
      <c r="A990" s="9"/>
      <c r="B990" s="9"/>
      <c r="C990" s="9"/>
      <c r="D990" s="9"/>
      <c r="E990" s="9"/>
      <c r="F990" s="9"/>
      <c r="G990" s="52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5.75" customHeight="1">
      <c r="A991" s="9"/>
      <c r="B991" s="9"/>
      <c r="C991" s="9"/>
      <c r="D991" s="9"/>
      <c r="E991" s="9"/>
      <c r="F991" s="9"/>
      <c r="G991" s="52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5.75" customHeight="1">
      <c r="A992" s="9"/>
      <c r="B992" s="9"/>
      <c r="C992" s="9"/>
      <c r="D992" s="9"/>
      <c r="E992" s="9"/>
      <c r="F992" s="9"/>
      <c r="G992" s="52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5.75" customHeight="1">
      <c r="A993" s="9"/>
      <c r="B993" s="9"/>
      <c r="C993" s="9"/>
      <c r="D993" s="9"/>
      <c r="E993" s="9"/>
      <c r="F993" s="9"/>
      <c r="G993" s="52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5.75" customHeight="1">
      <c r="A994" s="9"/>
      <c r="B994" s="9"/>
      <c r="C994" s="9"/>
      <c r="D994" s="9"/>
      <c r="E994" s="9"/>
      <c r="F994" s="9"/>
      <c r="G994" s="52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5.75" customHeight="1">
      <c r="A995" s="9"/>
      <c r="B995" s="9"/>
      <c r="C995" s="9"/>
      <c r="D995" s="9"/>
      <c r="E995" s="9"/>
      <c r="F995" s="9"/>
      <c r="G995" s="52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5.75" customHeight="1">
      <c r="A996" s="9"/>
      <c r="B996" s="9"/>
      <c r="C996" s="9"/>
      <c r="D996" s="9"/>
      <c r="E996" s="9"/>
      <c r="F996" s="9"/>
      <c r="G996" s="52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5.75" customHeight="1">
      <c r="A997" s="9"/>
      <c r="B997" s="9"/>
      <c r="C997" s="9"/>
      <c r="D997" s="9"/>
      <c r="E997" s="9"/>
      <c r="F997" s="9"/>
      <c r="G997" s="52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5.75" customHeight="1">
      <c r="A998" s="9"/>
      <c r="B998" s="9"/>
      <c r="C998" s="9"/>
      <c r="D998" s="9"/>
      <c r="E998" s="9"/>
      <c r="F998" s="9"/>
      <c r="G998" s="52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5.75" customHeight="1">
      <c r="A999" s="9"/>
      <c r="B999" s="9"/>
      <c r="C999" s="9"/>
      <c r="D999" s="9"/>
      <c r="E999" s="9"/>
      <c r="F999" s="9"/>
      <c r="G999" s="52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5.75" customHeight="1">
      <c r="A1000" s="9"/>
      <c r="B1000" s="9"/>
      <c r="C1000" s="9"/>
      <c r="D1000" s="9"/>
      <c r="E1000" s="9"/>
      <c r="F1000" s="9"/>
      <c r="G1000" s="52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ageMargins left="0.511811024" right="0.511811024" top="0.78740157499999996" bottom="0.78740157499999996" header="0" footer="0"/>
  <pageSetup paperSize="9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Z1000"/>
  <sheetViews>
    <sheetView workbookViewId="0"/>
  </sheetViews>
  <sheetFormatPr defaultColWidth="14.42578125" defaultRowHeight="15" customHeight="1"/>
  <cols>
    <col min="1" max="1" width="14.42578125" customWidth="1"/>
    <col min="2" max="2" width="11.28515625" customWidth="1"/>
    <col min="3" max="3" width="5.28515625" customWidth="1"/>
    <col min="4" max="4" width="9.7109375" customWidth="1"/>
    <col min="5" max="5" width="18.7109375" customWidth="1"/>
    <col min="6" max="6" width="20.140625" customWidth="1"/>
    <col min="7" max="7" width="14.42578125" customWidth="1"/>
    <col min="8" max="8" width="48.5703125" customWidth="1"/>
    <col min="9" max="9" width="16.140625" customWidth="1"/>
    <col min="10" max="10" width="19" customWidth="1"/>
  </cols>
  <sheetData>
    <row r="1" spans="1:26" ht="24.75" customHeight="1">
      <c r="A1" s="4" t="s">
        <v>18</v>
      </c>
      <c r="B1" s="53" t="s">
        <v>19</v>
      </c>
      <c r="C1" s="53" t="s">
        <v>20</v>
      </c>
      <c r="D1" s="53" t="s">
        <v>21</v>
      </c>
      <c r="E1" s="53" t="s">
        <v>22</v>
      </c>
      <c r="F1" s="53" t="s">
        <v>23</v>
      </c>
      <c r="G1" s="54" t="s">
        <v>24</v>
      </c>
      <c r="H1" s="55" t="s">
        <v>25</v>
      </c>
      <c r="I1" s="9"/>
      <c r="J1" s="56">
        <f>SUBTOTAL(9,Fev!$G$2:$G$606)</f>
        <v>547072.59999999986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idden="1">
      <c r="A2" s="9"/>
      <c r="B2" s="11">
        <v>45688</v>
      </c>
      <c r="C2" s="12">
        <v>0</v>
      </c>
      <c r="D2" s="12">
        <v>0</v>
      </c>
      <c r="E2" s="13" t="s">
        <v>26</v>
      </c>
      <c r="F2" s="14"/>
      <c r="G2" s="15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24" hidden="1">
      <c r="A3" s="9"/>
      <c r="B3" s="17">
        <v>45691</v>
      </c>
      <c r="C3" s="18">
        <v>1845</v>
      </c>
      <c r="D3" s="18">
        <v>99021</v>
      </c>
      <c r="E3" s="19" t="s">
        <v>27</v>
      </c>
      <c r="F3" s="20">
        <v>611845000040070</v>
      </c>
      <c r="G3" s="21">
        <v>1015.98</v>
      </c>
      <c r="H3" s="9"/>
      <c r="I3" s="9"/>
      <c r="J3" s="52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28.5" hidden="1" customHeight="1">
      <c r="A4" s="9"/>
      <c r="B4" s="23"/>
      <c r="C4" s="23"/>
      <c r="D4" s="23"/>
      <c r="E4" s="24" t="s">
        <v>206</v>
      </c>
      <c r="F4" s="24"/>
      <c r="G4" s="25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24" hidden="1">
      <c r="A5" s="9"/>
      <c r="B5" s="11">
        <v>45691</v>
      </c>
      <c r="C5" s="12">
        <v>0</v>
      </c>
      <c r="D5" s="12">
        <v>14175</v>
      </c>
      <c r="E5" s="26" t="s">
        <v>62</v>
      </c>
      <c r="F5" s="27">
        <v>368466185</v>
      </c>
      <c r="G5" s="15">
        <v>6000</v>
      </c>
      <c r="H5" s="9"/>
      <c r="I5" s="9"/>
      <c r="J5" s="52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 hidden="1" customHeight="1">
      <c r="A6" s="9"/>
      <c r="B6" s="29"/>
      <c r="C6" s="29"/>
      <c r="D6" s="29"/>
      <c r="E6" s="13" t="s">
        <v>97</v>
      </c>
      <c r="F6" s="13"/>
      <c r="G6" s="30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24" hidden="1">
      <c r="A7" s="9"/>
      <c r="B7" s="17">
        <v>45691</v>
      </c>
      <c r="C7" s="18">
        <v>0</v>
      </c>
      <c r="D7" s="18">
        <v>13105</v>
      </c>
      <c r="E7" s="19" t="s">
        <v>31</v>
      </c>
      <c r="F7" s="20">
        <v>20301</v>
      </c>
      <c r="G7" s="31">
        <v>339.9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28.5" hidden="1">
      <c r="A8" s="9"/>
      <c r="B8" s="23"/>
      <c r="C8" s="23"/>
      <c r="D8" s="23"/>
      <c r="E8" s="24" t="s">
        <v>51</v>
      </c>
      <c r="F8" s="24"/>
      <c r="G8" s="25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idden="1">
      <c r="A9" s="9"/>
      <c r="B9" s="11">
        <v>45691</v>
      </c>
      <c r="C9" s="12">
        <v>0</v>
      </c>
      <c r="D9" s="12">
        <v>13105</v>
      </c>
      <c r="E9" s="26" t="s">
        <v>80</v>
      </c>
      <c r="F9" s="27">
        <v>20302</v>
      </c>
      <c r="G9" s="28">
        <v>1907.51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28.5" hidden="1">
      <c r="A10" s="9"/>
      <c r="B10" s="29"/>
      <c r="C10" s="29"/>
      <c r="D10" s="29"/>
      <c r="E10" s="13" t="s">
        <v>81</v>
      </c>
      <c r="F10" s="13"/>
      <c r="G10" s="30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idden="1">
      <c r="A11" s="9"/>
      <c r="B11" s="17">
        <v>45691</v>
      </c>
      <c r="C11" s="18">
        <v>0</v>
      </c>
      <c r="D11" s="18">
        <v>13105</v>
      </c>
      <c r="E11" s="19" t="s">
        <v>80</v>
      </c>
      <c r="F11" s="20">
        <v>20303</v>
      </c>
      <c r="G11" s="31">
        <v>23.55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28.5" hidden="1">
      <c r="A12" s="9"/>
      <c r="B12" s="23"/>
      <c r="C12" s="23"/>
      <c r="D12" s="23"/>
      <c r="E12" s="24" t="s">
        <v>81</v>
      </c>
      <c r="F12" s="24"/>
      <c r="G12" s="25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24" hidden="1">
      <c r="A13" s="9"/>
      <c r="B13" s="11">
        <v>45691</v>
      </c>
      <c r="C13" s="12">
        <v>0</v>
      </c>
      <c r="D13" s="12">
        <v>13105</v>
      </c>
      <c r="E13" s="26" t="s">
        <v>34</v>
      </c>
      <c r="F13" s="27">
        <v>20304</v>
      </c>
      <c r="G13" s="28">
        <v>957.81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idden="1">
      <c r="A14" s="9"/>
      <c r="B14" s="29"/>
      <c r="C14" s="29"/>
      <c r="D14" s="29"/>
      <c r="E14" s="13" t="s">
        <v>207</v>
      </c>
      <c r="F14" s="13"/>
      <c r="G14" s="30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24" hidden="1">
      <c r="A15" s="9"/>
      <c r="B15" s="17">
        <v>45691</v>
      </c>
      <c r="C15" s="18">
        <v>0</v>
      </c>
      <c r="D15" s="18">
        <v>13105</v>
      </c>
      <c r="E15" s="19" t="s">
        <v>31</v>
      </c>
      <c r="F15" s="20">
        <v>20305</v>
      </c>
      <c r="G15" s="31">
        <v>49.9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42.75" hidden="1">
      <c r="A16" s="9"/>
      <c r="B16" s="23"/>
      <c r="C16" s="23"/>
      <c r="D16" s="23"/>
      <c r="E16" s="24" t="s">
        <v>43</v>
      </c>
      <c r="F16" s="24"/>
      <c r="G16" s="25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24" hidden="1">
      <c r="A17" s="9"/>
      <c r="B17" s="11">
        <v>45691</v>
      </c>
      <c r="C17" s="12">
        <v>0</v>
      </c>
      <c r="D17" s="12">
        <v>13105</v>
      </c>
      <c r="E17" s="26" t="s">
        <v>31</v>
      </c>
      <c r="F17" s="27">
        <v>20306</v>
      </c>
      <c r="G17" s="28">
        <v>3216.46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28.5" hidden="1" customHeight="1">
      <c r="A18" s="9"/>
      <c r="B18" s="29"/>
      <c r="C18" s="29"/>
      <c r="D18" s="29"/>
      <c r="E18" s="13" t="s">
        <v>65</v>
      </c>
      <c r="F18" s="13"/>
      <c r="G18" s="30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24" hidden="1">
      <c r="A19" s="9"/>
      <c r="B19" s="17">
        <v>45691</v>
      </c>
      <c r="C19" s="18">
        <v>0</v>
      </c>
      <c r="D19" s="18">
        <v>13105</v>
      </c>
      <c r="E19" s="19" t="s">
        <v>31</v>
      </c>
      <c r="F19" s="20">
        <v>20307</v>
      </c>
      <c r="G19" s="31">
        <v>450.76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42.75" hidden="1">
      <c r="A20" s="9"/>
      <c r="B20" s="23"/>
      <c r="C20" s="23"/>
      <c r="D20" s="23"/>
      <c r="E20" s="24" t="s">
        <v>46</v>
      </c>
      <c r="F20" s="24"/>
      <c r="G20" s="25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hidden="1" customHeight="1">
      <c r="A21" s="9"/>
      <c r="B21" s="11">
        <v>45691</v>
      </c>
      <c r="C21" s="12">
        <v>0</v>
      </c>
      <c r="D21" s="12">
        <v>13105</v>
      </c>
      <c r="E21" s="26" t="s">
        <v>31</v>
      </c>
      <c r="F21" s="27">
        <v>20308</v>
      </c>
      <c r="G21" s="28">
        <v>33.729999999999997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hidden="1" customHeight="1">
      <c r="A22" s="9"/>
      <c r="B22" s="29"/>
      <c r="C22" s="29"/>
      <c r="D22" s="29"/>
      <c r="E22" s="13" t="s">
        <v>46</v>
      </c>
      <c r="F22" s="13"/>
      <c r="G22" s="30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hidden="1" customHeight="1">
      <c r="A23" s="9"/>
      <c r="B23" s="17">
        <v>45691</v>
      </c>
      <c r="C23" s="18">
        <v>0</v>
      </c>
      <c r="D23" s="18">
        <v>13105</v>
      </c>
      <c r="E23" s="19" t="s">
        <v>31</v>
      </c>
      <c r="F23" s="20">
        <v>20309</v>
      </c>
      <c r="G23" s="31">
        <v>1145.18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hidden="1" customHeight="1">
      <c r="A24" s="9"/>
      <c r="B24" s="23"/>
      <c r="C24" s="23"/>
      <c r="D24" s="23"/>
      <c r="E24" s="24" t="s">
        <v>165</v>
      </c>
      <c r="F24" s="24"/>
      <c r="G24" s="25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hidden="1" customHeight="1">
      <c r="A25" s="9"/>
      <c r="B25" s="11">
        <v>45691</v>
      </c>
      <c r="C25" s="12">
        <v>0</v>
      </c>
      <c r="D25" s="12">
        <v>0</v>
      </c>
      <c r="E25" s="26" t="s">
        <v>52</v>
      </c>
      <c r="F25" s="27">
        <v>9903</v>
      </c>
      <c r="G25" s="15">
        <v>1108.82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hidden="1" customHeight="1">
      <c r="A26" s="9"/>
      <c r="B26" s="29"/>
      <c r="C26" s="29"/>
      <c r="D26" s="29"/>
      <c r="E26" s="13" t="s">
        <v>53</v>
      </c>
      <c r="F26" s="13"/>
      <c r="G26" s="30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75" hidden="1" customHeight="1">
      <c r="A27" s="9"/>
      <c r="B27" s="17">
        <v>45692</v>
      </c>
      <c r="C27" s="18">
        <v>0</v>
      </c>
      <c r="D27" s="18">
        <v>14397</v>
      </c>
      <c r="E27" s="19" t="s">
        <v>57</v>
      </c>
      <c r="F27" s="20">
        <v>41337405446532</v>
      </c>
      <c r="G27" s="21">
        <v>2000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28.5" hidden="1" customHeight="1">
      <c r="A28" s="9"/>
      <c r="B28" s="23"/>
      <c r="C28" s="23"/>
      <c r="D28" s="23"/>
      <c r="E28" s="24" t="s">
        <v>208</v>
      </c>
      <c r="F28" s="24"/>
      <c r="G28" s="25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>
      <c r="A29" s="33" t="s">
        <v>140</v>
      </c>
      <c r="B29" s="34">
        <v>45692</v>
      </c>
      <c r="C29" s="35">
        <v>0</v>
      </c>
      <c r="D29" s="35">
        <v>14138</v>
      </c>
      <c r="E29" s="36" t="s">
        <v>141</v>
      </c>
      <c r="F29" s="37">
        <v>202502030059176</v>
      </c>
      <c r="G29" s="38">
        <v>2877.71</v>
      </c>
      <c r="H29" s="57" t="s">
        <v>209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hidden="1" customHeight="1">
      <c r="A30" s="9"/>
      <c r="B30" s="29"/>
      <c r="C30" s="29"/>
      <c r="D30" s="29"/>
      <c r="E30" s="13" t="s">
        <v>143</v>
      </c>
      <c r="F30" s="13"/>
      <c r="G30" s="30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customHeight="1">
      <c r="A31" s="33" t="s">
        <v>140</v>
      </c>
      <c r="B31" s="41">
        <v>45692</v>
      </c>
      <c r="C31" s="42">
        <v>0</v>
      </c>
      <c r="D31" s="42">
        <v>14138</v>
      </c>
      <c r="E31" s="43" t="s">
        <v>141</v>
      </c>
      <c r="F31" s="44">
        <v>202502030059178</v>
      </c>
      <c r="G31" s="45">
        <v>1232.8399999999999</v>
      </c>
      <c r="H31" s="57" t="s">
        <v>209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hidden="1" customHeight="1">
      <c r="A32" s="9"/>
      <c r="B32" s="23"/>
      <c r="C32" s="23"/>
      <c r="D32" s="23"/>
      <c r="E32" s="24" t="s">
        <v>143</v>
      </c>
      <c r="F32" s="24"/>
      <c r="G32" s="25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.75" customHeight="1">
      <c r="A33" s="33" t="s">
        <v>140</v>
      </c>
      <c r="B33" s="34">
        <v>45692</v>
      </c>
      <c r="C33" s="35">
        <v>0</v>
      </c>
      <c r="D33" s="35">
        <v>14138</v>
      </c>
      <c r="E33" s="36" t="s">
        <v>141</v>
      </c>
      <c r="F33" s="37">
        <v>202502030059180</v>
      </c>
      <c r="G33" s="38">
        <v>804.25</v>
      </c>
      <c r="H33" s="57" t="s">
        <v>210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 hidden="1" customHeight="1">
      <c r="A34" s="9"/>
      <c r="B34" s="29"/>
      <c r="C34" s="29"/>
      <c r="D34" s="29"/>
      <c r="E34" s="13" t="s">
        <v>143</v>
      </c>
      <c r="F34" s="13"/>
      <c r="G34" s="30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75" customHeight="1">
      <c r="A35" s="33" t="s">
        <v>140</v>
      </c>
      <c r="B35" s="41">
        <v>45692</v>
      </c>
      <c r="C35" s="42">
        <v>0</v>
      </c>
      <c r="D35" s="42">
        <v>14138</v>
      </c>
      <c r="E35" s="43" t="s">
        <v>141</v>
      </c>
      <c r="F35" s="44">
        <v>202502030059182</v>
      </c>
      <c r="G35" s="45">
        <v>1668.08</v>
      </c>
      <c r="H35" s="57" t="s">
        <v>210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hidden="1" customHeight="1">
      <c r="A36" s="9"/>
      <c r="B36" s="23"/>
      <c r="C36" s="23"/>
      <c r="D36" s="23"/>
      <c r="E36" s="24" t="s">
        <v>143</v>
      </c>
      <c r="F36" s="24"/>
      <c r="G36" s="25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customHeight="1">
      <c r="A37" s="33" t="s">
        <v>140</v>
      </c>
      <c r="B37" s="34">
        <v>45692</v>
      </c>
      <c r="C37" s="35">
        <v>0</v>
      </c>
      <c r="D37" s="35">
        <v>14138</v>
      </c>
      <c r="E37" s="36" t="s">
        <v>141</v>
      </c>
      <c r="F37" s="37">
        <v>202502030059188</v>
      </c>
      <c r="G37" s="38">
        <v>9096.92</v>
      </c>
      <c r="H37" s="57" t="s">
        <v>211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75" hidden="1" customHeight="1">
      <c r="A38" s="9"/>
      <c r="B38" s="29"/>
      <c r="C38" s="29"/>
      <c r="D38" s="29"/>
      <c r="E38" s="13" t="s">
        <v>143</v>
      </c>
      <c r="F38" s="13"/>
      <c r="G38" s="30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hidden="1" customHeight="1">
      <c r="A39" s="9"/>
      <c r="B39" s="17">
        <v>45692</v>
      </c>
      <c r="C39" s="18">
        <v>0</v>
      </c>
      <c r="D39" s="18">
        <v>13105</v>
      </c>
      <c r="E39" s="19" t="s">
        <v>80</v>
      </c>
      <c r="F39" s="20">
        <v>20401</v>
      </c>
      <c r="G39" s="31">
        <v>175.72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hidden="1" customHeight="1">
      <c r="A40" s="9"/>
      <c r="B40" s="23"/>
      <c r="C40" s="23"/>
      <c r="D40" s="23"/>
      <c r="E40" s="24" t="s">
        <v>81</v>
      </c>
      <c r="F40" s="24"/>
      <c r="G40" s="25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hidden="1" customHeight="1">
      <c r="A41" s="9"/>
      <c r="B41" s="11">
        <v>45692</v>
      </c>
      <c r="C41" s="12">
        <v>0</v>
      </c>
      <c r="D41" s="12">
        <v>13105</v>
      </c>
      <c r="E41" s="26" t="s">
        <v>31</v>
      </c>
      <c r="F41" s="27">
        <v>20402</v>
      </c>
      <c r="G41" s="28">
        <v>1518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28.5" hidden="1" customHeight="1">
      <c r="A42" s="9"/>
      <c r="B42" s="29"/>
      <c r="C42" s="29"/>
      <c r="D42" s="29"/>
      <c r="E42" s="13" t="s">
        <v>68</v>
      </c>
      <c r="F42" s="13"/>
      <c r="G42" s="30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hidden="1" customHeight="1">
      <c r="A43" s="9"/>
      <c r="B43" s="17">
        <v>45692</v>
      </c>
      <c r="C43" s="18">
        <v>0</v>
      </c>
      <c r="D43" s="18">
        <v>13105</v>
      </c>
      <c r="E43" s="19" t="s">
        <v>31</v>
      </c>
      <c r="F43" s="20">
        <v>20403</v>
      </c>
      <c r="G43" s="31">
        <v>6324.55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28.5" hidden="1" customHeight="1">
      <c r="A44" s="9"/>
      <c r="B44" s="23"/>
      <c r="C44" s="23"/>
      <c r="D44" s="23"/>
      <c r="E44" s="24" t="s">
        <v>95</v>
      </c>
      <c r="F44" s="24"/>
      <c r="G44" s="25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hidden="1" customHeight="1">
      <c r="A45" s="9"/>
      <c r="B45" s="11">
        <v>45692</v>
      </c>
      <c r="C45" s="12">
        <v>0</v>
      </c>
      <c r="D45" s="12">
        <v>13105</v>
      </c>
      <c r="E45" s="26" t="s">
        <v>31</v>
      </c>
      <c r="F45" s="27">
        <v>20404</v>
      </c>
      <c r="G45" s="28">
        <v>3248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28.5" hidden="1" customHeight="1">
      <c r="A46" s="9"/>
      <c r="B46" s="29"/>
      <c r="C46" s="29"/>
      <c r="D46" s="29"/>
      <c r="E46" s="13" t="s">
        <v>32</v>
      </c>
      <c r="F46" s="13"/>
      <c r="G46" s="30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hidden="1" customHeight="1">
      <c r="A47" s="9"/>
      <c r="B47" s="17">
        <v>45692</v>
      </c>
      <c r="C47" s="18">
        <v>0</v>
      </c>
      <c r="D47" s="18">
        <v>13105</v>
      </c>
      <c r="E47" s="19" t="s">
        <v>31</v>
      </c>
      <c r="F47" s="20">
        <v>20405</v>
      </c>
      <c r="G47" s="31">
        <v>1110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hidden="1" customHeight="1">
      <c r="A48" s="9"/>
      <c r="B48" s="23"/>
      <c r="C48" s="23"/>
      <c r="D48" s="23"/>
      <c r="E48" s="24" t="s">
        <v>66</v>
      </c>
      <c r="F48" s="24"/>
      <c r="G48" s="25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hidden="1" customHeight="1">
      <c r="A49" s="9"/>
      <c r="B49" s="11">
        <v>45692</v>
      </c>
      <c r="C49" s="12">
        <v>0</v>
      </c>
      <c r="D49" s="12">
        <v>13105</v>
      </c>
      <c r="E49" s="26" t="s">
        <v>31</v>
      </c>
      <c r="F49" s="27">
        <v>20406</v>
      </c>
      <c r="G49" s="28">
        <v>2209.86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28.5" hidden="1" customHeight="1">
      <c r="A50" s="9"/>
      <c r="B50" s="29"/>
      <c r="C50" s="29"/>
      <c r="D50" s="29"/>
      <c r="E50" s="13" t="s">
        <v>65</v>
      </c>
      <c r="F50" s="13"/>
      <c r="G50" s="30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hidden="1" customHeight="1">
      <c r="A51" s="9"/>
      <c r="B51" s="17">
        <v>45692</v>
      </c>
      <c r="C51" s="18">
        <v>0</v>
      </c>
      <c r="D51" s="18">
        <v>13105</v>
      </c>
      <c r="E51" s="19" t="s">
        <v>31</v>
      </c>
      <c r="F51" s="20">
        <v>20407</v>
      </c>
      <c r="G51" s="31">
        <v>562.38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28.5" hidden="1" customHeight="1">
      <c r="A52" s="9"/>
      <c r="B52" s="23"/>
      <c r="C52" s="23"/>
      <c r="D52" s="23"/>
      <c r="E52" s="24" t="s">
        <v>45</v>
      </c>
      <c r="F52" s="24"/>
      <c r="G52" s="25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hidden="1" customHeight="1">
      <c r="A53" s="9"/>
      <c r="B53" s="11">
        <v>45692</v>
      </c>
      <c r="C53" s="12">
        <v>0</v>
      </c>
      <c r="D53" s="12">
        <v>13105</v>
      </c>
      <c r="E53" s="26" t="s">
        <v>31</v>
      </c>
      <c r="F53" s="27">
        <v>20408</v>
      </c>
      <c r="G53" s="28">
        <v>266.25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28.5" hidden="1" customHeight="1">
      <c r="A54" s="9"/>
      <c r="B54" s="29"/>
      <c r="C54" s="29"/>
      <c r="D54" s="29"/>
      <c r="E54" s="13" t="s">
        <v>45</v>
      </c>
      <c r="F54" s="13"/>
      <c r="G54" s="30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hidden="1" customHeight="1">
      <c r="A55" s="9"/>
      <c r="B55" s="17">
        <v>45692</v>
      </c>
      <c r="C55" s="18">
        <v>0</v>
      </c>
      <c r="D55" s="18">
        <v>13105</v>
      </c>
      <c r="E55" s="19" t="s">
        <v>31</v>
      </c>
      <c r="F55" s="20">
        <v>20409</v>
      </c>
      <c r="G55" s="31">
        <v>399.08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28.5" hidden="1" customHeight="1">
      <c r="A56" s="9"/>
      <c r="B56" s="23"/>
      <c r="C56" s="23"/>
      <c r="D56" s="23"/>
      <c r="E56" s="24" t="s">
        <v>45</v>
      </c>
      <c r="F56" s="24"/>
      <c r="G56" s="25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hidden="1" customHeight="1">
      <c r="A57" s="9"/>
      <c r="B57" s="11">
        <v>45692</v>
      </c>
      <c r="C57" s="12">
        <v>0</v>
      </c>
      <c r="D57" s="12">
        <v>13105</v>
      </c>
      <c r="E57" s="26" t="s">
        <v>31</v>
      </c>
      <c r="F57" s="27">
        <v>20410</v>
      </c>
      <c r="G57" s="28">
        <v>257.20999999999998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28.5" hidden="1" customHeight="1">
      <c r="A58" s="9"/>
      <c r="B58" s="29"/>
      <c r="C58" s="29"/>
      <c r="D58" s="29"/>
      <c r="E58" s="13" t="s">
        <v>45</v>
      </c>
      <c r="F58" s="13"/>
      <c r="G58" s="30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75" hidden="1" customHeight="1">
      <c r="A59" s="9"/>
      <c r="B59" s="17">
        <v>45692</v>
      </c>
      <c r="C59" s="18">
        <v>0</v>
      </c>
      <c r="D59" s="18">
        <v>13105</v>
      </c>
      <c r="E59" s="19" t="s">
        <v>31</v>
      </c>
      <c r="F59" s="20">
        <v>20411</v>
      </c>
      <c r="G59" s="31">
        <v>235.16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28.5" hidden="1" customHeight="1">
      <c r="A60" s="9"/>
      <c r="B60" s="23"/>
      <c r="C60" s="23"/>
      <c r="D60" s="23"/>
      <c r="E60" s="24" t="s">
        <v>45</v>
      </c>
      <c r="F60" s="24"/>
      <c r="G60" s="25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hidden="1" customHeight="1">
      <c r="A61" s="9"/>
      <c r="B61" s="11">
        <v>45692</v>
      </c>
      <c r="C61" s="12">
        <v>0</v>
      </c>
      <c r="D61" s="12">
        <v>13105</v>
      </c>
      <c r="E61" s="26" t="s">
        <v>31</v>
      </c>
      <c r="F61" s="27">
        <v>20412</v>
      </c>
      <c r="G61" s="28">
        <v>29.41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 hidden="1" customHeight="1">
      <c r="A62" s="9"/>
      <c r="B62" s="29"/>
      <c r="C62" s="29"/>
      <c r="D62" s="29"/>
      <c r="E62" s="13" t="s">
        <v>46</v>
      </c>
      <c r="F62" s="13"/>
      <c r="G62" s="30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hidden="1" customHeight="1">
      <c r="A63" s="9"/>
      <c r="B63" s="17">
        <v>45692</v>
      </c>
      <c r="C63" s="18">
        <v>0</v>
      </c>
      <c r="D63" s="18">
        <v>13105</v>
      </c>
      <c r="E63" s="19" t="s">
        <v>31</v>
      </c>
      <c r="F63" s="20">
        <v>20413</v>
      </c>
      <c r="G63" s="31">
        <v>247.62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28.5" hidden="1" customHeight="1">
      <c r="A64" s="9"/>
      <c r="B64" s="23"/>
      <c r="C64" s="23"/>
      <c r="D64" s="23"/>
      <c r="E64" s="24" t="s">
        <v>69</v>
      </c>
      <c r="F64" s="24"/>
      <c r="G64" s="25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hidden="1" customHeight="1">
      <c r="A65" s="9"/>
      <c r="B65" s="11">
        <v>45692</v>
      </c>
      <c r="C65" s="12">
        <v>0</v>
      </c>
      <c r="D65" s="12">
        <v>13105</v>
      </c>
      <c r="E65" s="26" t="s">
        <v>31</v>
      </c>
      <c r="F65" s="27">
        <v>20414</v>
      </c>
      <c r="G65" s="28">
        <v>250.88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hidden="1" customHeight="1">
      <c r="A66" s="9"/>
      <c r="B66" s="29"/>
      <c r="C66" s="29"/>
      <c r="D66" s="29"/>
      <c r="E66" s="13" t="s">
        <v>109</v>
      </c>
      <c r="F66" s="13"/>
      <c r="G66" s="30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hidden="1" customHeight="1">
      <c r="A67" s="9"/>
      <c r="B67" s="17">
        <v>45692</v>
      </c>
      <c r="C67" s="18">
        <v>0</v>
      </c>
      <c r="D67" s="18">
        <v>13105</v>
      </c>
      <c r="E67" s="19" t="s">
        <v>31</v>
      </c>
      <c r="F67" s="20">
        <v>20415</v>
      </c>
      <c r="G67" s="31">
        <v>516.1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hidden="1" customHeight="1">
      <c r="A68" s="9"/>
      <c r="B68" s="23"/>
      <c r="C68" s="23"/>
      <c r="D68" s="23"/>
      <c r="E68" s="24" t="s">
        <v>109</v>
      </c>
      <c r="F68" s="24"/>
      <c r="G68" s="25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hidden="1" customHeight="1">
      <c r="A69" s="9"/>
      <c r="B69" s="11">
        <v>45692</v>
      </c>
      <c r="C69" s="12">
        <v>0</v>
      </c>
      <c r="D69" s="12">
        <v>13105</v>
      </c>
      <c r="E69" s="26" t="s">
        <v>31</v>
      </c>
      <c r="F69" s="27">
        <v>20416</v>
      </c>
      <c r="G69" s="28">
        <v>252.21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hidden="1" customHeight="1">
      <c r="A70" s="9"/>
      <c r="B70" s="29"/>
      <c r="C70" s="29"/>
      <c r="D70" s="29"/>
      <c r="E70" s="13" t="s">
        <v>109</v>
      </c>
      <c r="F70" s="13"/>
      <c r="G70" s="30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hidden="1" customHeight="1">
      <c r="A71" s="9"/>
      <c r="B71" s="17">
        <v>45692</v>
      </c>
      <c r="C71" s="18">
        <v>0</v>
      </c>
      <c r="D71" s="18">
        <v>0</v>
      </c>
      <c r="E71" s="19" t="s">
        <v>59</v>
      </c>
      <c r="F71" s="20">
        <v>9903</v>
      </c>
      <c r="G71" s="31">
        <v>77.37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hidden="1" customHeight="1">
      <c r="A72" s="9"/>
      <c r="B72" s="23"/>
      <c r="C72" s="23"/>
      <c r="D72" s="23"/>
      <c r="E72" s="24" t="s">
        <v>53</v>
      </c>
      <c r="F72" s="24"/>
      <c r="G72" s="25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hidden="1" customHeight="1">
      <c r="A73" s="9"/>
      <c r="B73" s="11">
        <v>45693</v>
      </c>
      <c r="C73" s="12">
        <v>1106</v>
      </c>
      <c r="D73" s="12">
        <v>99015</v>
      </c>
      <c r="E73" s="26" t="s">
        <v>27</v>
      </c>
      <c r="F73" s="27">
        <v>551106000031574</v>
      </c>
      <c r="G73" s="15">
        <v>12117.57</v>
      </c>
      <c r="H73" s="9" t="s">
        <v>212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28.5" hidden="1" customHeight="1">
      <c r="A74" s="9"/>
      <c r="B74" s="29"/>
      <c r="C74" s="29"/>
      <c r="D74" s="29"/>
      <c r="E74" s="13" t="s">
        <v>213</v>
      </c>
      <c r="F74" s="13"/>
      <c r="G74" s="30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hidden="1" customHeight="1">
      <c r="A75" s="9"/>
      <c r="B75" s="17">
        <v>45693</v>
      </c>
      <c r="C75" s="18">
        <v>0</v>
      </c>
      <c r="D75" s="18">
        <v>14175</v>
      </c>
      <c r="E75" s="19" t="s">
        <v>62</v>
      </c>
      <c r="F75" s="20">
        <v>368920293</v>
      </c>
      <c r="G75" s="21">
        <v>9500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28.5" hidden="1" customHeight="1">
      <c r="A76" s="9"/>
      <c r="B76" s="23"/>
      <c r="C76" s="23"/>
      <c r="D76" s="23"/>
      <c r="E76" s="24" t="s">
        <v>97</v>
      </c>
      <c r="F76" s="24"/>
      <c r="G76" s="25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hidden="1" customHeight="1">
      <c r="A77" s="9"/>
      <c r="B77" s="11">
        <v>45693</v>
      </c>
      <c r="C77" s="12">
        <v>0</v>
      </c>
      <c r="D77" s="12">
        <v>14397</v>
      </c>
      <c r="E77" s="26" t="s">
        <v>57</v>
      </c>
      <c r="F77" s="27">
        <v>51543390726822</v>
      </c>
      <c r="G77" s="15">
        <v>130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28.5" hidden="1" customHeight="1">
      <c r="A78" s="9"/>
      <c r="B78" s="29"/>
      <c r="C78" s="29"/>
      <c r="D78" s="29"/>
      <c r="E78" s="13" t="s">
        <v>214</v>
      </c>
      <c r="F78" s="13"/>
      <c r="G78" s="30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hidden="1" customHeight="1">
      <c r="A79" s="9"/>
      <c r="B79" s="17">
        <v>45693</v>
      </c>
      <c r="C79" s="18">
        <v>0</v>
      </c>
      <c r="D79" s="18">
        <v>14397</v>
      </c>
      <c r="E79" s="19" t="s">
        <v>57</v>
      </c>
      <c r="F79" s="20">
        <v>387835653088721</v>
      </c>
      <c r="G79" s="21">
        <v>203.55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28.5" hidden="1" customHeight="1">
      <c r="A80" s="9"/>
      <c r="B80" s="23"/>
      <c r="C80" s="23"/>
      <c r="D80" s="23"/>
      <c r="E80" s="24" t="s">
        <v>215</v>
      </c>
      <c r="F80" s="24"/>
      <c r="G80" s="25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hidden="1" customHeight="1">
      <c r="A81" s="9"/>
      <c r="B81" s="11">
        <v>45693</v>
      </c>
      <c r="C81" s="12">
        <v>0</v>
      </c>
      <c r="D81" s="12">
        <v>13105</v>
      </c>
      <c r="E81" s="26" t="s">
        <v>80</v>
      </c>
      <c r="F81" s="27">
        <v>20501</v>
      </c>
      <c r="G81" s="28">
        <v>42.53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hidden="1" customHeight="1">
      <c r="A82" s="9"/>
      <c r="B82" s="29"/>
      <c r="C82" s="29"/>
      <c r="D82" s="29"/>
      <c r="E82" s="13" t="s">
        <v>81</v>
      </c>
      <c r="F82" s="13"/>
      <c r="G82" s="30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hidden="1" customHeight="1">
      <c r="A83" s="9"/>
      <c r="B83" s="17">
        <v>45693</v>
      </c>
      <c r="C83" s="18">
        <v>0</v>
      </c>
      <c r="D83" s="18">
        <v>13105</v>
      </c>
      <c r="E83" s="19" t="s">
        <v>80</v>
      </c>
      <c r="F83" s="20">
        <v>20502</v>
      </c>
      <c r="G83" s="31">
        <v>246.64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hidden="1" customHeight="1">
      <c r="A84" s="9"/>
      <c r="B84" s="23"/>
      <c r="C84" s="23"/>
      <c r="D84" s="23"/>
      <c r="E84" s="24" t="s">
        <v>81</v>
      </c>
      <c r="F84" s="24"/>
      <c r="G84" s="25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hidden="1" customHeight="1">
      <c r="A85" s="9"/>
      <c r="B85" s="11">
        <v>45693</v>
      </c>
      <c r="C85" s="12">
        <v>0</v>
      </c>
      <c r="D85" s="12">
        <v>13105</v>
      </c>
      <c r="E85" s="26" t="s">
        <v>80</v>
      </c>
      <c r="F85" s="27">
        <v>20503</v>
      </c>
      <c r="G85" s="28">
        <v>578.29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hidden="1" customHeight="1">
      <c r="A86" s="9"/>
      <c r="B86" s="29"/>
      <c r="C86" s="29"/>
      <c r="D86" s="29"/>
      <c r="E86" s="13" t="s">
        <v>81</v>
      </c>
      <c r="F86" s="13"/>
      <c r="G86" s="30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hidden="1" customHeight="1">
      <c r="A87" s="9"/>
      <c r="B87" s="17">
        <v>45693</v>
      </c>
      <c r="C87" s="18">
        <v>0</v>
      </c>
      <c r="D87" s="18">
        <v>13105</v>
      </c>
      <c r="E87" s="19" t="s">
        <v>31</v>
      </c>
      <c r="F87" s="20">
        <v>20504</v>
      </c>
      <c r="G87" s="31">
        <v>5511.43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28.5" hidden="1" customHeight="1">
      <c r="A88" s="9"/>
      <c r="B88" s="23"/>
      <c r="C88" s="23"/>
      <c r="D88" s="23"/>
      <c r="E88" s="24" t="s">
        <v>32</v>
      </c>
      <c r="F88" s="24"/>
      <c r="G88" s="25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hidden="1" customHeight="1">
      <c r="A89" s="9"/>
      <c r="B89" s="11">
        <v>45693</v>
      </c>
      <c r="C89" s="12">
        <v>0</v>
      </c>
      <c r="D89" s="12">
        <v>13105</v>
      </c>
      <c r="E89" s="26" t="s">
        <v>31</v>
      </c>
      <c r="F89" s="27">
        <v>20505</v>
      </c>
      <c r="G89" s="28">
        <v>1418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hidden="1" customHeight="1">
      <c r="A90" s="9"/>
      <c r="B90" s="29"/>
      <c r="C90" s="29"/>
      <c r="D90" s="29"/>
      <c r="E90" s="13" t="s">
        <v>66</v>
      </c>
      <c r="F90" s="13"/>
      <c r="G90" s="30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hidden="1" customHeight="1">
      <c r="A91" s="9"/>
      <c r="B91" s="17">
        <v>45693</v>
      </c>
      <c r="C91" s="18">
        <v>0</v>
      </c>
      <c r="D91" s="18">
        <v>13105</v>
      </c>
      <c r="E91" s="19" t="s">
        <v>31</v>
      </c>
      <c r="F91" s="20">
        <v>20506</v>
      </c>
      <c r="G91" s="31">
        <v>173.35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hidden="1" customHeight="1">
      <c r="A92" s="9"/>
      <c r="B92" s="23"/>
      <c r="C92" s="23"/>
      <c r="D92" s="23"/>
      <c r="E92" s="24" t="s">
        <v>216</v>
      </c>
      <c r="F92" s="24"/>
      <c r="G92" s="25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hidden="1" customHeight="1">
      <c r="A93" s="9"/>
      <c r="B93" s="11">
        <v>45693</v>
      </c>
      <c r="C93" s="12">
        <v>0</v>
      </c>
      <c r="D93" s="12">
        <v>13105</v>
      </c>
      <c r="E93" s="26" t="s">
        <v>31</v>
      </c>
      <c r="F93" s="27">
        <v>20507</v>
      </c>
      <c r="G93" s="28">
        <v>780.96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hidden="1" customHeight="1">
      <c r="A94" s="9"/>
      <c r="B94" s="29"/>
      <c r="C94" s="29"/>
      <c r="D94" s="29"/>
      <c r="E94" s="13" t="s">
        <v>217</v>
      </c>
      <c r="F94" s="13"/>
      <c r="G94" s="30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hidden="1" customHeight="1">
      <c r="A95" s="9"/>
      <c r="B95" s="17">
        <v>45693</v>
      </c>
      <c r="C95" s="18">
        <v>0</v>
      </c>
      <c r="D95" s="18">
        <v>13105</v>
      </c>
      <c r="E95" s="19" t="s">
        <v>31</v>
      </c>
      <c r="F95" s="20">
        <v>20508</v>
      </c>
      <c r="G95" s="31">
        <v>250.88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hidden="1" customHeight="1">
      <c r="A96" s="9"/>
      <c r="B96" s="23"/>
      <c r="C96" s="23"/>
      <c r="D96" s="23"/>
      <c r="E96" s="24" t="s">
        <v>109</v>
      </c>
      <c r="F96" s="24"/>
      <c r="G96" s="25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hidden="1" customHeight="1">
      <c r="A97" s="9"/>
      <c r="B97" s="11">
        <v>45693</v>
      </c>
      <c r="C97" s="12">
        <v>0</v>
      </c>
      <c r="D97" s="12">
        <v>13105</v>
      </c>
      <c r="E97" s="26" t="s">
        <v>31</v>
      </c>
      <c r="F97" s="27">
        <v>20509</v>
      </c>
      <c r="G97" s="28">
        <v>327.78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28.5" hidden="1" customHeight="1">
      <c r="A98" s="9"/>
      <c r="B98" s="29"/>
      <c r="C98" s="29"/>
      <c r="D98" s="29"/>
      <c r="E98" s="13" t="s">
        <v>69</v>
      </c>
      <c r="F98" s="13"/>
      <c r="G98" s="30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hidden="1" customHeight="1">
      <c r="A99" s="9"/>
      <c r="B99" s="17">
        <v>45693</v>
      </c>
      <c r="C99" s="18">
        <v>0</v>
      </c>
      <c r="D99" s="18">
        <v>13105</v>
      </c>
      <c r="E99" s="19" t="s">
        <v>31</v>
      </c>
      <c r="F99" s="20">
        <v>20510</v>
      </c>
      <c r="G99" s="31">
        <v>3361.99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hidden="1" customHeight="1">
      <c r="A100" s="9"/>
      <c r="B100" s="23"/>
      <c r="C100" s="23"/>
      <c r="D100" s="23"/>
      <c r="E100" s="24" t="s">
        <v>55</v>
      </c>
      <c r="F100" s="24"/>
      <c r="G100" s="25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hidden="1" customHeight="1">
      <c r="A101" s="9"/>
      <c r="B101" s="11">
        <v>45693</v>
      </c>
      <c r="C101" s="12">
        <v>0</v>
      </c>
      <c r="D101" s="12">
        <v>13105</v>
      </c>
      <c r="E101" s="26" t="s">
        <v>118</v>
      </c>
      <c r="F101" s="27">
        <v>20511</v>
      </c>
      <c r="G101" s="28">
        <v>130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28.5" hidden="1" customHeight="1">
      <c r="A102" s="9"/>
      <c r="B102" s="29"/>
      <c r="C102" s="29"/>
      <c r="D102" s="29"/>
      <c r="E102" s="13" t="s">
        <v>218</v>
      </c>
      <c r="F102" s="13"/>
      <c r="G102" s="30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hidden="1" customHeight="1">
      <c r="A103" s="9"/>
      <c r="B103" s="17">
        <v>45693</v>
      </c>
      <c r="C103" s="18">
        <v>0</v>
      </c>
      <c r="D103" s="18">
        <v>13113</v>
      </c>
      <c r="E103" s="19" t="s">
        <v>72</v>
      </c>
      <c r="F103" s="20">
        <v>890361200502323</v>
      </c>
      <c r="G103" s="31">
        <v>73.8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hidden="1" customHeight="1">
      <c r="A104" s="9"/>
      <c r="B104" s="23"/>
      <c r="C104" s="23"/>
      <c r="D104" s="23"/>
      <c r="E104" s="24" t="s">
        <v>219</v>
      </c>
      <c r="F104" s="24"/>
      <c r="G104" s="25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hidden="1" customHeight="1">
      <c r="A105" s="9"/>
      <c r="B105" s="11">
        <v>45693</v>
      </c>
      <c r="C105" s="12">
        <v>0</v>
      </c>
      <c r="D105" s="12">
        <v>0</v>
      </c>
      <c r="E105" s="26" t="s">
        <v>59</v>
      </c>
      <c r="F105" s="27">
        <v>9903</v>
      </c>
      <c r="G105" s="28">
        <v>9055.4699999999993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hidden="1" customHeight="1">
      <c r="A106" s="9"/>
      <c r="B106" s="29"/>
      <c r="C106" s="29"/>
      <c r="D106" s="29"/>
      <c r="E106" s="13" t="s">
        <v>53</v>
      </c>
      <c r="F106" s="13"/>
      <c r="G106" s="30">
        <v>0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hidden="1" customHeight="1">
      <c r="A107" s="9"/>
      <c r="B107" s="17">
        <v>45694</v>
      </c>
      <c r="C107" s="18">
        <v>128</v>
      </c>
      <c r="D107" s="18">
        <v>99021</v>
      </c>
      <c r="E107" s="19" t="s">
        <v>27</v>
      </c>
      <c r="F107" s="20">
        <v>610128000064860</v>
      </c>
      <c r="G107" s="21">
        <v>1309.4100000000001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hidden="1" customHeight="1">
      <c r="A108" s="9"/>
      <c r="B108" s="23"/>
      <c r="C108" s="23"/>
      <c r="D108" s="23"/>
      <c r="E108" s="24" t="s">
        <v>220</v>
      </c>
      <c r="F108" s="24"/>
      <c r="G108" s="25">
        <v>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hidden="1" customHeight="1">
      <c r="A109" s="9"/>
      <c r="B109" s="11">
        <v>45694</v>
      </c>
      <c r="C109" s="12">
        <v>0</v>
      </c>
      <c r="D109" s="12">
        <v>14397</v>
      </c>
      <c r="E109" s="26" t="s">
        <v>57</v>
      </c>
      <c r="F109" s="27">
        <v>61117124555762</v>
      </c>
      <c r="G109" s="15">
        <v>321.16000000000003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28.5" hidden="1" customHeight="1">
      <c r="A110" s="9"/>
      <c r="B110" s="29"/>
      <c r="C110" s="29"/>
      <c r="D110" s="29"/>
      <c r="E110" s="13" t="s">
        <v>221</v>
      </c>
      <c r="F110" s="13"/>
      <c r="G110" s="30">
        <v>0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hidden="1" customHeight="1">
      <c r="A111" s="9"/>
      <c r="B111" s="17">
        <v>45694</v>
      </c>
      <c r="C111" s="18">
        <v>0</v>
      </c>
      <c r="D111" s="18">
        <v>14397</v>
      </c>
      <c r="E111" s="19" t="s">
        <v>57</v>
      </c>
      <c r="F111" s="20">
        <v>388605469221961</v>
      </c>
      <c r="G111" s="21">
        <v>5339.42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28.5" hidden="1" customHeight="1">
      <c r="A112" s="9"/>
      <c r="B112" s="23"/>
      <c r="C112" s="23"/>
      <c r="D112" s="23"/>
      <c r="E112" s="24" t="s">
        <v>222</v>
      </c>
      <c r="F112" s="24"/>
      <c r="G112" s="25">
        <v>0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hidden="1" customHeight="1">
      <c r="A113" s="9"/>
      <c r="B113" s="11">
        <v>45694</v>
      </c>
      <c r="C113" s="12">
        <v>0</v>
      </c>
      <c r="D113" s="12">
        <v>13105</v>
      </c>
      <c r="E113" s="26" t="s">
        <v>80</v>
      </c>
      <c r="F113" s="27">
        <v>20601</v>
      </c>
      <c r="G113" s="28">
        <v>1269.18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hidden="1" customHeight="1">
      <c r="A114" s="9"/>
      <c r="B114" s="29"/>
      <c r="C114" s="29"/>
      <c r="D114" s="29"/>
      <c r="E114" s="13" t="s">
        <v>81</v>
      </c>
      <c r="F114" s="13"/>
      <c r="G114" s="30">
        <v>0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hidden="1" customHeight="1">
      <c r="A115" s="9"/>
      <c r="B115" s="17">
        <v>45694</v>
      </c>
      <c r="C115" s="18">
        <v>0</v>
      </c>
      <c r="D115" s="18">
        <v>13105</v>
      </c>
      <c r="E115" s="19" t="s">
        <v>31</v>
      </c>
      <c r="F115" s="20">
        <v>20602</v>
      </c>
      <c r="G115" s="31">
        <v>3178.37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28.5" hidden="1" customHeight="1">
      <c r="A116" s="9"/>
      <c r="B116" s="23"/>
      <c r="C116" s="23"/>
      <c r="D116" s="23"/>
      <c r="E116" s="24" t="s">
        <v>95</v>
      </c>
      <c r="F116" s="24"/>
      <c r="G116" s="25">
        <v>0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hidden="1" customHeight="1">
      <c r="A117" s="9"/>
      <c r="B117" s="11">
        <v>45694</v>
      </c>
      <c r="C117" s="12">
        <v>0</v>
      </c>
      <c r="D117" s="12">
        <v>13105</v>
      </c>
      <c r="E117" s="26" t="s">
        <v>31</v>
      </c>
      <c r="F117" s="27">
        <v>20603</v>
      </c>
      <c r="G117" s="28">
        <v>333.18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hidden="1" customHeight="1">
      <c r="A118" s="9"/>
      <c r="B118" s="29"/>
      <c r="C118" s="29"/>
      <c r="D118" s="29"/>
      <c r="E118" s="13" t="s">
        <v>38</v>
      </c>
      <c r="F118" s="13"/>
      <c r="G118" s="30">
        <v>0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hidden="1" customHeight="1">
      <c r="A119" s="9"/>
      <c r="B119" s="17">
        <v>45694</v>
      </c>
      <c r="C119" s="18">
        <v>0</v>
      </c>
      <c r="D119" s="18">
        <v>13105</v>
      </c>
      <c r="E119" s="19" t="s">
        <v>31</v>
      </c>
      <c r="F119" s="20">
        <v>20604</v>
      </c>
      <c r="G119" s="31">
        <v>1004.16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hidden="1" customHeight="1">
      <c r="A120" s="9"/>
      <c r="B120" s="23"/>
      <c r="C120" s="23"/>
      <c r="D120" s="23"/>
      <c r="E120" s="24" t="s">
        <v>109</v>
      </c>
      <c r="F120" s="24"/>
      <c r="G120" s="25">
        <v>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hidden="1" customHeight="1">
      <c r="A121" s="9"/>
      <c r="B121" s="11">
        <v>45694</v>
      </c>
      <c r="C121" s="12">
        <v>0</v>
      </c>
      <c r="D121" s="12">
        <v>13105</v>
      </c>
      <c r="E121" s="26" t="s">
        <v>31</v>
      </c>
      <c r="F121" s="27">
        <v>20605</v>
      </c>
      <c r="G121" s="28">
        <v>389.11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28.5" hidden="1" customHeight="1">
      <c r="A122" s="9"/>
      <c r="B122" s="29"/>
      <c r="C122" s="29"/>
      <c r="D122" s="29"/>
      <c r="E122" s="13" t="s">
        <v>45</v>
      </c>
      <c r="F122" s="13"/>
      <c r="G122" s="30">
        <v>0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hidden="1" customHeight="1">
      <c r="A123" s="9"/>
      <c r="B123" s="17">
        <v>45694</v>
      </c>
      <c r="C123" s="18">
        <v>0</v>
      </c>
      <c r="D123" s="18">
        <v>13105</v>
      </c>
      <c r="E123" s="19" t="s">
        <v>31</v>
      </c>
      <c r="F123" s="20">
        <v>20606</v>
      </c>
      <c r="G123" s="31">
        <v>240.31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28.5" hidden="1" customHeight="1">
      <c r="A124" s="9"/>
      <c r="B124" s="23"/>
      <c r="C124" s="23"/>
      <c r="D124" s="23"/>
      <c r="E124" s="24" t="s">
        <v>41</v>
      </c>
      <c r="F124" s="24"/>
      <c r="G124" s="25">
        <v>0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hidden="1" customHeight="1">
      <c r="A125" s="9"/>
      <c r="B125" s="11">
        <v>45694</v>
      </c>
      <c r="C125" s="12">
        <v>0</v>
      </c>
      <c r="D125" s="12">
        <v>13105</v>
      </c>
      <c r="E125" s="26" t="s">
        <v>31</v>
      </c>
      <c r="F125" s="27">
        <v>20607</v>
      </c>
      <c r="G125" s="28">
        <v>255.55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28.5" hidden="1" customHeight="1">
      <c r="A126" s="9"/>
      <c r="B126" s="29"/>
      <c r="C126" s="29"/>
      <c r="D126" s="29"/>
      <c r="E126" s="13" t="s">
        <v>41</v>
      </c>
      <c r="F126" s="13"/>
      <c r="G126" s="30">
        <v>0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hidden="1" customHeight="1">
      <c r="A127" s="9"/>
      <c r="B127" s="17">
        <v>45694</v>
      </c>
      <c r="C127" s="18">
        <v>0</v>
      </c>
      <c r="D127" s="18">
        <v>13105</v>
      </c>
      <c r="E127" s="19" t="s">
        <v>31</v>
      </c>
      <c r="F127" s="20">
        <v>20608</v>
      </c>
      <c r="G127" s="31">
        <v>303.94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hidden="1" customHeight="1">
      <c r="A128" s="9"/>
      <c r="B128" s="23"/>
      <c r="C128" s="23"/>
      <c r="D128" s="23"/>
      <c r="E128" s="24" t="s">
        <v>47</v>
      </c>
      <c r="F128" s="24"/>
      <c r="G128" s="25">
        <v>0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hidden="1" customHeight="1">
      <c r="A129" s="9"/>
      <c r="B129" s="11">
        <v>45694</v>
      </c>
      <c r="C129" s="12">
        <v>0</v>
      </c>
      <c r="D129" s="12">
        <v>13105</v>
      </c>
      <c r="E129" s="26" t="s">
        <v>31</v>
      </c>
      <c r="F129" s="27">
        <v>20609</v>
      </c>
      <c r="G129" s="28">
        <v>123.62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28.5" hidden="1" customHeight="1">
      <c r="A130" s="9"/>
      <c r="B130" s="29"/>
      <c r="C130" s="29"/>
      <c r="D130" s="29"/>
      <c r="E130" s="13" t="s">
        <v>223</v>
      </c>
      <c r="F130" s="13"/>
      <c r="G130" s="30">
        <v>0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hidden="1" customHeight="1">
      <c r="A131" s="9"/>
      <c r="B131" s="17">
        <v>45694</v>
      </c>
      <c r="C131" s="18">
        <v>0</v>
      </c>
      <c r="D131" s="18">
        <v>13105</v>
      </c>
      <c r="E131" s="19" t="s">
        <v>31</v>
      </c>
      <c r="F131" s="20">
        <v>20610</v>
      </c>
      <c r="G131" s="31">
        <v>360.01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28.5" hidden="1" customHeight="1">
      <c r="A132" s="9"/>
      <c r="B132" s="23"/>
      <c r="C132" s="23"/>
      <c r="D132" s="23"/>
      <c r="E132" s="24" t="s">
        <v>223</v>
      </c>
      <c r="F132" s="24"/>
      <c r="G132" s="25">
        <v>0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hidden="1" customHeight="1">
      <c r="A133" s="9"/>
      <c r="B133" s="11">
        <v>45694</v>
      </c>
      <c r="C133" s="12">
        <v>0</v>
      </c>
      <c r="D133" s="12">
        <v>13105</v>
      </c>
      <c r="E133" s="26" t="s">
        <v>31</v>
      </c>
      <c r="F133" s="27">
        <v>20611</v>
      </c>
      <c r="G133" s="28">
        <v>337.11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hidden="1" customHeight="1">
      <c r="A134" s="9"/>
      <c r="B134" s="29"/>
      <c r="C134" s="29"/>
      <c r="D134" s="29"/>
      <c r="E134" s="13" t="s">
        <v>66</v>
      </c>
      <c r="F134" s="13"/>
      <c r="G134" s="30">
        <v>0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hidden="1" customHeight="1">
      <c r="A135" s="9"/>
      <c r="B135" s="17">
        <v>45694</v>
      </c>
      <c r="C135" s="18">
        <v>0</v>
      </c>
      <c r="D135" s="18">
        <v>13105</v>
      </c>
      <c r="E135" s="19" t="s">
        <v>31</v>
      </c>
      <c r="F135" s="20">
        <v>20612</v>
      </c>
      <c r="G135" s="31">
        <v>271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 hidden="1" customHeight="1">
      <c r="A136" s="9"/>
      <c r="B136" s="23"/>
      <c r="C136" s="23"/>
      <c r="D136" s="23"/>
      <c r="E136" s="24" t="s">
        <v>51</v>
      </c>
      <c r="F136" s="24"/>
      <c r="G136" s="25">
        <v>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75" hidden="1" customHeight="1">
      <c r="A137" s="9"/>
      <c r="B137" s="11">
        <v>45694</v>
      </c>
      <c r="C137" s="12">
        <v>0</v>
      </c>
      <c r="D137" s="12">
        <v>0</v>
      </c>
      <c r="E137" s="26" t="s">
        <v>52</v>
      </c>
      <c r="F137" s="27">
        <v>9903</v>
      </c>
      <c r="G137" s="15">
        <v>1095.55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75" hidden="1" customHeight="1">
      <c r="A138" s="9"/>
      <c r="B138" s="29"/>
      <c r="C138" s="29"/>
      <c r="D138" s="29"/>
      <c r="E138" s="13" t="s">
        <v>53</v>
      </c>
      <c r="F138" s="13"/>
      <c r="G138" s="30">
        <v>0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75" hidden="1" customHeight="1">
      <c r="A139" s="9"/>
      <c r="B139" s="17">
        <v>45695</v>
      </c>
      <c r="C139" s="18">
        <v>0</v>
      </c>
      <c r="D139" s="18">
        <v>13105</v>
      </c>
      <c r="E139" s="19" t="s">
        <v>31</v>
      </c>
      <c r="F139" s="20">
        <v>20701</v>
      </c>
      <c r="G139" s="31">
        <v>1580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28.5" hidden="1" customHeight="1">
      <c r="A140" s="9"/>
      <c r="B140" s="23"/>
      <c r="C140" s="23"/>
      <c r="D140" s="23"/>
      <c r="E140" s="24" t="s">
        <v>37</v>
      </c>
      <c r="F140" s="24"/>
      <c r="G140" s="25">
        <v>0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75" hidden="1" customHeight="1">
      <c r="A141" s="9"/>
      <c r="B141" s="11">
        <v>45695</v>
      </c>
      <c r="C141" s="12">
        <v>0</v>
      </c>
      <c r="D141" s="12">
        <v>13105</v>
      </c>
      <c r="E141" s="26" t="s">
        <v>31</v>
      </c>
      <c r="F141" s="27">
        <v>20702</v>
      </c>
      <c r="G141" s="28">
        <v>193.24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75" hidden="1" customHeight="1">
      <c r="A142" s="9"/>
      <c r="B142" s="29"/>
      <c r="C142" s="29"/>
      <c r="D142" s="29"/>
      <c r="E142" s="13" t="s">
        <v>47</v>
      </c>
      <c r="F142" s="13"/>
      <c r="G142" s="30">
        <v>0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75" hidden="1" customHeight="1">
      <c r="A143" s="9"/>
      <c r="B143" s="17">
        <v>45695</v>
      </c>
      <c r="C143" s="18">
        <v>0</v>
      </c>
      <c r="D143" s="18">
        <v>13105</v>
      </c>
      <c r="E143" s="19" t="s">
        <v>31</v>
      </c>
      <c r="F143" s="20">
        <v>20703</v>
      </c>
      <c r="G143" s="31">
        <v>285.7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28.5" hidden="1" customHeight="1">
      <c r="A144" s="9"/>
      <c r="B144" s="23"/>
      <c r="C144" s="23"/>
      <c r="D144" s="23"/>
      <c r="E144" s="24" t="s">
        <v>45</v>
      </c>
      <c r="F144" s="24"/>
      <c r="G144" s="25">
        <v>0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.75" hidden="1" customHeight="1">
      <c r="A145" s="9"/>
      <c r="B145" s="11">
        <v>45695</v>
      </c>
      <c r="C145" s="12">
        <v>0</v>
      </c>
      <c r="D145" s="12">
        <v>13105</v>
      </c>
      <c r="E145" s="26" t="s">
        <v>31</v>
      </c>
      <c r="F145" s="27">
        <v>20704</v>
      </c>
      <c r="G145" s="28">
        <v>347.08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28.5" hidden="1" customHeight="1">
      <c r="A146" s="9"/>
      <c r="B146" s="29"/>
      <c r="C146" s="29"/>
      <c r="D146" s="29"/>
      <c r="E146" s="13" t="s">
        <v>45</v>
      </c>
      <c r="F146" s="13"/>
      <c r="G146" s="30">
        <v>0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75" hidden="1" customHeight="1">
      <c r="A147" s="9"/>
      <c r="B147" s="17">
        <v>45695</v>
      </c>
      <c r="C147" s="18">
        <v>0</v>
      </c>
      <c r="D147" s="18">
        <v>13105</v>
      </c>
      <c r="E147" s="19" t="s">
        <v>31</v>
      </c>
      <c r="F147" s="20">
        <v>20705</v>
      </c>
      <c r="G147" s="31">
        <v>781.13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75" hidden="1" customHeight="1">
      <c r="A148" s="9"/>
      <c r="B148" s="23"/>
      <c r="C148" s="23"/>
      <c r="D148" s="23"/>
      <c r="E148" s="24" t="s">
        <v>78</v>
      </c>
      <c r="F148" s="24"/>
      <c r="G148" s="25">
        <v>0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75" hidden="1" customHeight="1">
      <c r="A149" s="9"/>
      <c r="B149" s="11">
        <v>45695</v>
      </c>
      <c r="C149" s="12">
        <v>0</v>
      </c>
      <c r="D149" s="12">
        <v>13105</v>
      </c>
      <c r="E149" s="26" t="s">
        <v>31</v>
      </c>
      <c r="F149" s="27">
        <v>20706</v>
      </c>
      <c r="G149" s="28">
        <v>19.989999999999998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75" hidden="1" customHeight="1">
      <c r="A150" s="9"/>
      <c r="B150" s="29"/>
      <c r="C150" s="29"/>
      <c r="D150" s="29"/>
      <c r="E150" s="13" t="s">
        <v>46</v>
      </c>
      <c r="F150" s="13"/>
      <c r="G150" s="30">
        <v>0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75" hidden="1" customHeight="1">
      <c r="A151" s="9"/>
      <c r="B151" s="17">
        <v>45695</v>
      </c>
      <c r="C151" s="18">
        <v>0</v>
      </c>
      <c r="D151" s="18">
        <v>13105</v>
      </c>
      <c r="E151" s="19" t="s">
        <v>31</v>
      </c>
      <c r="F151" s="20">
        <v>20707</v>
      </c>
      <c r="G151" s="31">
        <v>314.76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75" hidden="1" customHeight="1">
      <c r="A152" s="9"/>
      <c r="B152" s="23"/>
      <c r="C152" s="23"/>
      <c r="D152" s="23"/>
      <c r="E152" s="24" t="s">
        <v>38</v>
      </c>
      <c r="F152" s="24"/>
      <c r="G152" s="25">
        <v>0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75" hidden="1" customHeight="1">
      <c r="A153" s="9"/>
      <c r="B153" s="11">
        <v>45695</v>
      </c>
      <c r="C153" s="12">
        <v>0</v>
      </c>
      <c r="D153" s="12">
        <v>13105</v>
      </c>
      <c r="E153" s="26" t="s">
        <v>31</v>
      </c>
      <c r="F153" s="27">
        <v>20708</v>
      </c>
      <c r="G153" s="28">
        <v>161.27000000000001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75" hidden="1" customHeight="1">
      <c r="A154" s="9"/>
      <c r="B154" s="29"/>
      <c r="C154" s="29"/>
      <c r="D154" s="29"/>
      <c r="E154" s="13" t="s">
        <v>111</v>
      </c>
      <c r="F154" s="13"/>
      <c r="G154" s="30">
        <v>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75" hidden="1" customHeight="1">
      <c r="A155" s="9"/>
      <c r="B155" s="17">
        <v>45695</v>
      </c>
      <c r="C155" s="18">
        <v>0</v>
      </c>
      <c r="D155" s="18">
        <v>13105</v>
      </c>
      <c r="E155" s="19" t="s">
        <v>31</v>
      </c>
      <c r="F155" s="20">
        <v>20709</v>
      </c>
      <c r="G155" s="31">
        <v>108.68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75" hidden="1" customHeight="1">
      <c r="A156" s="9"/>
      <c r="B156" s="23"/>
      <c r="C156" s="23"/>
      <c r="D156" s="23"/>
      <c r="E156" s="24" t="s">
        <v>56</v>
      </c>
      <c r="F156" s="24"/>
      <c r="G156" s="25">
        <v>0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.75" hidden="1" customHeight="1">
      <c r="A157" s="9"/>
      <c r="B157" s="11">
        <v>45695</v>
      </c>
      <c r="C157" s="12">
        <v>0</v>
      </c>
      <c r="D157" s="12">
        <v>13105</v>
      </c>
      <c r="E157" s="26" t="s">
        <v>31</v>
      </c>
      <c r="F157" s="27">
        <v>20710</v>
      </c>
      <c r="G157" s="28">
        <v>31.65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75" hidden="1" customHeight="1">
      <c r="A158" s="9"/>
      <c r="B158" s="29"/>
      <c r="C158" s="29"/>
      <c r="D158" s="29"/>
      <c r="E158" s="13" t="s">
        <v>56</v>
      </c>
      <c r="F158" s="13"/>
      <c r="G158" s="30">
        <v>0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75" hidden="1" customHeight="1">
      <c r="A159" s="9"/>
      <c r="B159" s="17">
        <v>45695</v>
      </c>
      <c r="C159" s="18">
        <v>0</v>
      </c>
      <c r="D159" s="18">
        <v>13105</v>
      </c>
      <c r="E159" s="19" t="s">
        <v>118</v>
      </c>
      <c r="F159" s="20">
        <v>20711</v>
      </c>
      <c r="G159" s="31">
        <v>312.29000000000002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 hidden="1" customHeight="1">
      <c r="A160" s="9"/>
      <c r="B160" s="23"/>
      <c r="C160" s="23"/>
      <c r="D160" s="23"/>
      <c r="E160" s="24" t="s">
        <v>224</v>
      </c>
      <c r="F160" s="24"/>
      <c r="G160" s="25">
        <v>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.75" hidden="1" customHeight="1">
      <c r="A161" s="9"/>
      <c r="B161" s="11">
        <v>45695</v>
      </c>
      <c r="C161" s="12">
        <v>0</v>
      </c>
      <c r="D161" s="12">
        <v>0</v>
      </c>
      <c r="E161" s="26" t="s">
        <v>52</v>
      </c>
      <c r="F161" s="27">
        <v>9903</v>
      </c>
      <c r="G161" s="15">
        <v>4135.79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.75" hidden="1" customHeight="1">
      <c r="A162" s="9"/>
      <c r="B162" s="29"/>
      <c r="C162" s="29"/>
      <c r="D162" s="29"/>
      <c r="E162" s="13" t="s">
        <v>53</v>
      </c>
      <c r="F162" s="13"/>
      <c r="G162" s="30">
        <v>0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.75" hidden="1" customHeight="1">
      <c r="A163" s="9"/>
      <c r="B163" s="17">
        <v>45698</v>
      </c>
      <c r="C163" s="18">
        <v>984</v>
      </c>
      <c r="D163" s="18">
        <v>99015</v>
      </c>
      <c r="E163" s="19" t="s">
        <v>27</v>
      </c>
      <c r="F163" s="20">
        <v>550984000024887</v>
      </c>
      <c r="G163" s="21">
        <v>2665.6</v>
      </c>
      <c r="H163" s="9" t="s">
        <v>89</v>
      </c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28.5" hidden="1" customHeight="1">
      <c r="A164" s="9"/>
      <c r="B164" s="23"/>
      <c r="C164" s="23"/>
      <c r="D164" s="23"/>
      <c r="E164" s="24" t="s">
        <v>225</v>
      </c>
      <c r="F164" s="24"/>
      <c r="G164" s="25">
        <v>0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.75" hidden="1" customHeight="1">
      <c r="A165" s="9"/>
      <c r="B165" s="11">
        <v>45698</v>
      </c>
      <c r="C165" s="12">
        <v>1845</v>
      </c>
      <c r="D165" s="12">
        <v>99021</v>
      </c>
      <c r="E165" s="26" t="s">
        <v>27</v>
      </c>
      <c r="F165" s="27">
        <v>611845000040070</v>
      </c>
      <c r="G165" s="15">
        <v>632.55999999999995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28.5" hidden="1" customHeight="1">
      <c r="A166" s="9"/>
      <c r="B166" s="29"/>
      <c r="C166" s="29"/>
      <c r="D166" s="29"/>
      <c r="E166" s="13" t="s">
        <v>226</v>
      </c>
      <c r="F166" s="13"/>
      <c r="G166" s="30">
        <v>0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.75" hidden="1" customHeight="1">
      <c r="A167" s="9"/>
      <c r="B167" s="17">
        <v>45698</v>
      </c>
      <c r="C167" s="18">
        <v>0</v>
      </c>
      <c r="D167" s="18">
        <v>14397</v>
      </c>
      <c r="E167" s="19" t="s">
        <v>57</v>
      </c>
      <c r="F167" s="20">
        <v>101351217896802</v>
      </c>
      <c r="G167" s="21">
        <v>6500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28.5" hidden="1" customHeight="1">
      <c r="A168" s="9"/>
      <c r="B168" s="23"/>
      <c r="C168" s="23"/>
      <c r="D168" s="23"/>
      <c r="E168" s="24" t="s">
        <v>227</v>
      </c>
      <c r="F168" s="24"/>
      <c r="G168" s="25">
        <v>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.75" hidden="1" customHeight="1">
      <c r="A169" s="9"/>
      <c r="B169" s="11">
        <v>45698</v>
      </c>
      <c r="C169" s="12">
        <v>0</v>
      </c>
      <c r="D169" s="12">
        <v>14397</v>
      </c>
      <c r="E169" s="26" t="s">
        <v>57</v>
      </c>
      <c r="F169" s="27">
        <v>392252411731821</v>
      </c>
      <c r="G169" s="15">
        <v>1808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28.5" hidden="1" customHeight="1">
      <c r="A170" s="9"/>
      <c r="B170" s="29"/>
      <c r="C170" s="29"/>
      <c r="D170" s="29"/>
      <c r="E170" s="13" t="s">
        <v>228</v>
      </c>
      <c r="F170" s="13"/>
      <c r="G170" s="30">
        <v>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75" hidden="1" customHeight="1">
      <c r="A171" s="9"/>
      <c r="B171" s="17">
        <v>45698</v>
      </c>
      <c r="C171" s="18">
        <v>1533</v>
      </c>
      <c r="D171" s="18">
        <v>99008</v>
      </c>
      <c r="E171" s="19" t="s">
        <v>29</v>
      </c>
      <c r="F171" s="20">
        <v>423989</v>
      </c>
      <c r="G171" s="31">
        <v>310.19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75" hidden="1" customHeight="1">
      <c r="A172" s="9"/>
      <c r="B172" s="23"/>
      <c r="C172" s="23"/>
      <c r="D172" s="23"/>
      <c r="E172" s="24" t="s">
        <v>229</v>
      </c>
      <c r="F172" s="24"/>
      <c r="G172" s="25">
        <v>0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.75" hidden="1" customHeight="1">
      <c r="A173" s="9"/>
      <c r="B173" s="11">
        <v>45698</v>
      </c>
      <c r="C173" s="12">
        <v>0</v>
      </c>
      <c r="D173" s="12">
        <v>13105</v>
      </c>
      <c r="E173" s="26" t="s">
        <v>118</v>
      </c>
      <c r="F173" s="27">
        <v>21001</v>
      </c>
      <c r="G173" s="28">
        <v>304.41000000000003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.75" hidden="1" customHeight="1">
      <c r="A174" s="9"/>
      <c r="B174" s="29"/>
      <c r="C174" s="29"/>
      <c r="D174" s="29"/>
      <c r="E174" s="13" t="s">
        <v>230</v>
      </c>
      <c r="F174" s="13"/>
      <c r="G174" s="30">
        <v>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.75" hidden="1" customHeight="1">
      <c r="A175" s="9"/>
      <c r="B175" s="17">
        <v>45698</v>
      </c>
      <c r="C175" s="18">
        <v>0</v>
      </c>
      <c r="D175" s="18">
        <v>13105</v>
      </c>
      <c r="E175" s="19" t="s">
        <v>80</v>
      </c>
      <c r="F175" s="20">
        <v>21002</v>
      </c>
      <c r="G175" s="31">
        <v>254.03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.75" hidden="1" customHeight="1">
      <c r="A176" s="9"/>
      <c r="B176" s="23"/>
      <c r="C176" s="23"/>
      <c r="D176" s="23"/>
      <c r="E176" s="24" t="s">
        <v>81</v>
      </c>
      <c r="F176" s="24"/>
      <c r="G176" s="25">
        <v>0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.75" hidden="1" customHeight="1">
      <c r="A177" s="9"/>
      <c r="B177" s="11">
        <v>45698</v>
      </c>
      <c r="C177" s="12">
        <v>0</v>
      </c>
      <c r="D177" s="12">
        <v>13105</v>
      </c>
      <c r="E177" s="26" t="s">
        <v>31</v>
      </c>
      <c r="F177" s="27">
        <v>21003</v>
      </c>
      <c r="G177" s="28">
        <v>512.54999999999995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.75" hidden="1" customHeight="1">
      <c r="A178" s="9"/>
      <c r="B178" s="29"/>
      <c r="C178" s="29"/>
      <c r="D178" s="29"/>
      <c r="E178" s="13" t="s">
        <v>66</v>
      </c>
      <c r="F178" s="13"/>
      <c r="G178" s="30">
        <v>0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.75" hidden="1" customHeight="1">
      <c r="A179" s="9"/>
      <c r="B179" s="17">
        <v>45698</v>
      </c>
      <c r="C179" s="18">
        <v>0</v>
      </c>
      <c r="D179" s="18">
        <v>13105</v>
      </c>
      <c r="E179" s="19" t="s">
        <v>31</v>
      </c>
      <c r="F179" s="20">
        <v>21004</v>
      </c>
      <c r="G179" s="31">
        <v>319.43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.75" hidden="1" customHeight="1">
      <c r="A180" s="9"/>
      <c r="B180" s="23"/>
      <c r="C180" s="23"/>
      <c r="D180" s="23"/>
      <c r="E180" s="24" t="s">
        <v>231</v>
      </c>
      <c r="F180" s="24"/>
      <c r="G180" s="25">
        <v>0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.75" hidden="1" customHeight="1">
      <c r="A181" s="9"/>
      <c r="B181" s="11">
        <v>45698</v>
      </c>
      <c r="C181" s="12">
        <v>0</v>
      </c>
      <c r="D181" s="12">
        <v>13105</v>
      </c>
      <c r="E181" s="26" t="s">
        <v>31</v>
      </c>
      <c r="F181" s="27">
        <v>21005</v>
      </c>
      <c r="G181" s="28">
        <v>267.05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28.5" hidden="1" customHeight="1">
      <c r="A182" s="9"/>
      <c r="B182" s="29"/>
      <c r="C182" s="29"/>
      <c r="D182" s="29"/>
      <c r="E182" s="13" t="s">
        <v>45</v>
      </c>
      <c r="F182" s="13"/>
      <c r="G182" s="30">
        <v>0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.75" hidden="1" customHeight="1">
      <c r="A183" s="9"/>
      <c r="B183" s="17">
        <v>45698</v>
      </c>
      <c r="C183" s="18">
        <v>0</v>
      </c>
      <c r="D183" s="18">
        <v>13105</v>
      </c>
      <c r="E183" s="19" t="s">
        <v>31</v>
      </c>
      <c r="F183" s="20">
        <v>21006</v>
      </c>
      <c r="G183" s="31">
        <v>300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75" hidden="1" customHeight="1">
      <c r="A184" s="9"/>
      <c r="B184" s="23"/>
      <c r="C184" s="23"/>
      <c r="D184" s="23"/>
      <c r="E184" s="24" t="s">
        <v>86</v>
      </c>
      <c r="F184" s="24"/>
      <c r="G184" s="25">
        <v>0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.75" hidden="1" customHeight="1">
      <c r="A185" s="9"/>
      <c r="B185" s="11">
        <v>45698</v>
      </c>
      <c r="C185" s="12">
        <v>0</v>
      </c>
      <c r="D185" s="12">
        <v>13105</v>
      </c>
      <c r="E185" s="26" t="s">
        <v>118</v>
      </c>
      <c r="F185" s="27">
        <v>21007</v>
      </c>
      <c r="G185" s="28">
        <v>400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28.5" hidden="1" customHeight="1">
      <c r="A186" s="9"/>
      <c r="B186" s="29"/>
      <c r="C186" s="29"/>
      <c r="D186" s="29"/>
      <c r="E186" s="13" t="s">
        <v>232</v>
      </c>
      <c r="F186" s="13"/>
      <c r="G186" s="30">
        <v>0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.75" hidden="1" customHeight="1">
      <c r="A187" s="9"/>
      <c r="B187" s="17">
        <v>45698</v>
      </c>
      <c r="C187" s="18">
        <v>0</v>
      </c>
      <c r="D187" s="18">
        <v>13105</v>
      </c>
      <c r="E187" s="19" t="s">
        <v>80</v>
      </c>
      <c r="F187" s="20">
        <v>21008</v>
      </c>
      <c r="G187" s="31">
        <v>5.52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.75" hidden="1" customHeight="1">
      <c r="A188" s="9"/>
      <c r="B188" s="23"/>
      <c r="C188" s="23"/>
      <c r="D188" s="23"/>
      <c r="E188" s="24" t="s">
        <v>81</v>
      </c>
      <c r="F188" s="24"/>
      <c r="G188" s="25">
        <v>0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.75" hidden="1" customHeight="1">
      <c r="A189" s="9"/>
      <c r="B189" s="11">
        <v>45698</v>
      </c>
      <c r="C189" s="12">
        <v>0</v>
      </c>
      <c r="D189" s="12">
        <v>13013</v>
      </c>
      <c r="E189" s="26" t="s">
        <v>87</v>
      </c>
      <c r="F189" s="27">
        <v>46301</v>
      </c>
      <c r="G189" s="28">
        <v>54.12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.75" hidden="1" customHeight="1">
      <c r="A190" s="9"/>
      <c r="B190" s="29"/>
      <c r="C190" s="29"/>
      <c r="D190" s="29"/>
      <c r="E190" s="13" t="s">
        <v>88</v>
      </c>
      <c r="F190" s="13"/>
      <c r="G190" s="30">
        <v>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75" hidden="1" customHeight="1">
      <c r="A191" s="9"/>
      <c r="B191" s="17">
        <v>45698</v>
      </c>
      <c r="C191" s="18">
        <v>0</v>
      </c>
      <c r="D191" s="18">
        <v>0</v>
      </c>
      <c r="E191" s="19" t="s">
        <v>59</v>
      </c>
      <c r="F191" s="20">
        <v>9903</v>
      </c>
      <c r="G191" s="31">
        <v>8878.86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 hidden="1" customHeight="1">
      <c r="A192" s="9"/>
      <c r="B192" s="23"/>
      <c r="C192" s="23"/>
      <c r="D192" s="23"/>
      <c r="E192" s="24" t="s">
        <v>53</v>
      </c>
      <c r="F192" s="24"/>
      <c r="G192" s="25">
        <v>0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75" hidden="1" customHeight="1">
      <c r="A193" s="9"/>
      <c r="B193" s="11">
        <v>45699</v>
      </c>
      <c r="C193" s="12">
        <v>0</v>
      </c>
      <c r="D193" s="12">
        <v>14397</v>
      </c>
      <c r="E193" s="26" t="s">
        <v>57</v>
      </c>
      <c r="F193" s="27">
        <v>111144298454992</v>
      </c>
      <c r="G193" s="15">
        <v>79.709999999999994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28.5" hidden="1" customHeight="1">
      <c r="A194" s="9"/>
      <c r="B194" s="29"/>
      <c r="C194" s="29"/>
      <c r="D194" s="29"/>
      <c r="E194" s="13" t="s">
        <v>233</v>
      </c>
      <c r="F194" s="13"/>
      <c r="G194" s="30">
        <v>0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75" hidden="1" customHeight="1">
      <c r="A195" s="9"/>
      <c r="B195" s="17">
        <v>45699</v>
      </c>
      <c r="C195" s="18">
        <v>0</v>
      </c>
      <c r="D195" s="18">
        <v>14397</v>
      </c>
      <c r="E195" s="19" t="s">
        <v>57</v>
      </c>
      <c r="F195" s="20">
        <v>111322173890402</v>
      </c>
      <c r="G195" s="21">
        <v>2600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28.5" hidden="1" customHeight="1">
      <c r="A196" s="9"/>
      <c r="B196" s="23"/>
      <c r="C196" s="23"/>
      <c r="D196" s="23"/>
      <c r="E196" s="24" t="s">
        <v>234</v>
      </c>
      <c r="F196" s="24"/>
      <c r="G196" s="25">
        <v>0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75" hidden="1" customHeight="1">
      <c r="A197" s="9"/>
      <c r="B197" s="11">
        <v>45699</v>
      </c>
      <c r="C197" s="12">
        <v>0</v>
      </c>
      <c r="D197" s="12">
        <v>13105</v>
      </c>
      <c r="E197" s="26" t="s">
        <v>80</v>
      </c>
      <c r="F197" s="27">
        <v>21101</v>
      </c>
      <c r="G197" s="28">
        <v>324.48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 hidden="1" customHeight="1">
      <c r="A198" s="9"/>
      <c r="B198" s="29"/>
      <c r="C198" s="29"/>
      <c r="D198" s="29"/>
      <c r="E198" s="13" t="s">
        <v>81</v>
      </c>
      <c r="F198" s="13"/>
      <c r="G198" s="30">
        <v>0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75" hidden="1" customHeight="1">
      <c r="A199" s="9"/>
      <c r="B199" s="17">
        <v>45699</v>
      </c>
      <c r="C199" s="18">
        <v>0</v>
      </c>
      <c r="D199" s="18">
        <v>13105</v>
      </c>
      <c r="E199" s="19" t="s">
        <v>34</v>
      </c>
      <c r="F199" s="20">
        <v>21102</v>
      </c>
      <c r="G199" s="31">
        <v>158.41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hidden="1" customHeight="1">
      <c r="A200" s="9"/>
      <c r="B200" s="23"/>
      <c r="C200" s="23"/>
      <c r="D200" s="23"/>
      <c r="E200" s="24" t="s">
        <v>108</v>
      </c>
      <c r="F200" s="24"/>
      <c r="G200" s="25">
        <v>0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.75" hidden="1" customHeight="1">
      <c r="A201" s="9"/>
      <c r="B201" s="11">
        <v>45699</v>
      </c>
      <c r="C201" s="12">
        <v>0</v>
      </c>
      <c r="D201" s="12">
        <v>13105</v>
      </c>
      <c r="E201" s="26" t="s">
        <v>31</v>
      </c>
      <c r="F201" s="27">
        <v>21103</v>
      </c>
      <c r="G201" s="28">
        <v>369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75" hidden="1" customHeight="1">
      <c r="A202" s="9"/>
      <c r="B202" s="29"/>
      <c r="C202" s="29"/>
      <c r="D202" s="29"/>
      <c r="E202" s="13" t="s">
        <v>51</v>
      </c>
      <c r="F202" s="13"/>
      <c r="G202" s="30">
        <v>0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.75" hidden="1" customHeight="1">
      <c r="A203" s="9"/>
      <c r="B203" s="17">
        <v>45699</v>
      </c>
      <c r="C203" s="18">
        <v>0</v>
      </c>
      <c r="D203" s="18">
        <v>13105</v>
      </c>
      <c r="E203" s="19" t="s">
        <v>31</v>
      </c>
      <c r="F203" s="20">
        <v>21104</v>
      </c>
      <c r="G203" s="31">
        <v>779.3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.75" hidden="1" customHeight="1">
      <c r="A204" s="9"/>
      <c r="B204" s="23"/>
      <c r="C204" s="23"/>
      <c r="D204" s="23"/>
      <c r="E204" s="24" t="s">
        <v>235</v>
      </c>
      <c r="F204" s="24"/>
      <c r="G204" s="25">
        <v>0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.75" hidden="1" customHeight="1">
      <c r="A205" s="9"/>
      <c r="B205" s="11">
        <v>45699</v>
      </c>
      <c r="C205" s="12">
        <v>0</v>
      </c>
      <c r="D205" s="12">
        <v>13105</v>
      </c>
      <c r="E205" s="26" t="s">
        <v>80</v>
      </c>
      <c r="F205" s="27">
        <v>21105</v>
      </c>
      <c r="G205" s="28">
        <v>472.87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75" hidden="1" customHeight="1">
      <c r="A206" s="9"/>
      <c r="B206" s="29"/>
      <c r="C206" s="29"/>
      <c r="D206" s="29"/>
      <c r="E206" s="13" t="s">
        <v>81</v>
      </c>
      <c r="F206" s="13"/>
      <c r="G206" s="30">
        <v>0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.75" hidden="1" customHeight="1">
      <c r="A207" s="9"/>
      <c r="B207" s="17">
        <v>45699</v>
      </c>
      <c r="C207" s="18">
        <v>0</v>
      </c>
      <c r="D207" s="18">
        <v>0</v>
      </c>
      <c r="E207" s="19" t="s">
        <v>59</v>
      </c>
      <c r="F207" s="20">
        <v>9903</v>
      </c>
      <c r="G207" s="31">
        <v>575.65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75" hidden="1" customHeight="1">
      <c r="A208" s="9"/>
      <c r="B208" s="23"/>
      <c r="C208" s="23"/>
      <c r="D208" s="23"/>
      <c r="E208" s="24" t="s">
        <v>53</v>
      </c>
      <c r="F208" s="24"/>
      <c r="G208" s="25">
        <v>0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75" hidden="1" customHeight="1">
      <c r="A209" s="9"/>
      <c r="B209" s="11">
        <v>45700</v>
      </c>
      <c r="C209" s="12">
        <v>2084</v>
      </c>
      <c r="D209" s="12">
        <v>99021</v>
      </c>
      <c r="E209" s="26" t="s">
        <v>27</v>
      </c>
      <c r="F209" s="27">
        <v>612084000112119</v>
      </c>
      <c r="G209" s="15">
        <v>1297.1500000000001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28.5" hidden="1" customHeight="1">
      <c r="A210" s="9"/>
      <c r="B210" s="29"/>
      <c r="C210" s="29"/>
      <c r="D210" s="29"/>
      <c r="E210" s="13" t="s">
        <v>236</v>
      </c>
      <c r="F210" s="13"/>
      <c r="G210" s="30">
        <v>0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.75" hidden="1" customHeight="1">
      <c r="A211" s="9"/>
      <c r="B211" s="17">
        <v>45700</v>
      </c>
      <c r="C211" s="18">
        <v>0</v>
      </c>
      <c r="D211" s="18">
        <v>14397</v>
      </c>
      <c r="E211" s="19" t="s">
        <v>57</v>
      </c>
      <c r="F211" s="20">
        <v>121151107984422</v>
      </c>
      <c r="G211" s="21">
        <v>7800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28.5" hidden="1" customHeight="1">
      <c r="A212" s="9"/>
      <c r="B212" s="23"/>
      <c r="C212" s="23"/>
      <c r="D212" s="23"/>
      <c r="E212" s="24" t="s">
        <v>237</v>
      </c>
      <c r="F212" s="24"/>
      <c r="G212" s="25">
        <v>0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.75" hidden="1" customHeight="1">
      <c r="A213" s="9"/>
      <c r="B213" s="11">
        <v>45700</v>
      </c>
      <c r="C213" s="12">
        <v>1533</v>
      </c>
      <c r="D213" s="12">
        <v>99008</v>
      </c>
      <c r="E213" s="26" t="s">
        <v>29</v>
      </c>
      <c r="F213" s="27">
        <v>436778</v>
      </c>
      <c r="G213" s="28">
        <v>163.91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75" hidden="1" customHeight="1">
      <c r="A214" s="9"/>
      <c r="B214" s="29"/>
      <c r="C214" s="29"/>
      <c r="D214" s="29"/>
      <c r="E214" s="13" t="s">
        <v>238</v>
      </c>
      <c r="F214" s="13"/>
      <c r="G214" s="30">
        <v>0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.75" hidden="1" customHeight="1">
      <c r="A215" s="9"/>
      <c r="B215" s="17">
        <v>45700</v>
      </c>
      <c r="C215" s="18">
        <v>0</v>
      </c>
      <c r="D215" s="18">
        <v>13105</v>
      </c>
      <c r="E215" s="19" t="s">
        <v>80</v>
      </c>
      <c r="F215" s="20">
        <v>21201</v>
      </c>
      <c r="G215" s="31">
        <v>20068.14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75" hidden="1" customHeight="1">
      <c r="A216" s="9"/>
      <c r="B216" s="23"/>
      <c r="C216" s="23"/>
      <c r="D216" s="23"/>
      <c r="E216" s="24" t="s">
        <v>81</v>
      </c>
      <c r="F216" s="24"/>
      <c r="G216" s="25">
        <v>0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.75" hidden="1" customHeight="1">
      <c r="A217" s="9"/>
      <c r="B217" s="11">
        <v>45700</v>
      </c>
      <c r="C217" s="12">
        <v>0</v>
      </c>
      <c r="D217" s="12">
        <v>13105</v>
      </c>
      <c r="E217" s="26" t="s">
        <v>80</v>
      </c>
      <c r="F217" s="27">
        <v>21202</v>
      </c>
      <c r="G217" s="28">
        <v>60.16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 hidden="1" customHeight="1">
      <c r="A218" s="9"/>
      <c r="B218" s="29"/>
      <c r="C218" s="29"/>
      <c r="D218" s="29"/>
      <c r="E218" s="13" t="s">
        <v>81</v>
      </c>
      <c r="F218" s="13"/>
      <c r="G218" s="30">
        <v>0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.75" hidden="1" customHeight="1">
      <c r="A219" s="9"/>
      <c r="B219" s="17">
        <v>45700</v>
      </c>
      <c r="C219" s="18">
        <v>0</v>
      </c>
      <c r="D219" s="18">
        <v>0</v>
      </c>
      <c r="E219" s="19" t="s">
        <v>52</v>
      </c>
      <c r="F219" s="20">
        <v>9903</v>
      </c>
      <c r="G219" s="21">
        <v>11195.06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.75" hidden="1" customHeight="1">
      <c r="A220" s="9"/>
      <c r="B220" s="23"/>
      <c r="C220" s="23"/>
      <c r="D220" s="23"/>
      <c r="E220" s="24" t="s">
        <v>53</v>
      </c>
      <c r="F220" s="24"/>
      <c r="G220" s="25">
        <v>0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hidden="1" customHeight="1">
      <c r="A221" s="9"/>
      <c r="B221" s="11">
        <v>45701</v>
      </c>
      <c r="C221" s="12">
        <v>1706</v>
      </c>
      <c r="D221" s="12">
        <v>99015</v>
      </c>
      <c r="E221" s="26" t="s">
        <v>27</v>
      </c>
      <c r="F221" s="27">
        <v>551706000011732</v>
      </c>
      <c r="G221" s="15">
        <v>217.36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28.5" hidden="1" customHeight="1">
      <c r="A222" s="9"/>
      <c r="B222" s="29"/>
      <c r="C222" s="29"/>
      <c r="D222" s="29"/>
      <c r="E222" s="13" t="s">
        <v>239</v>
      </c>
      <c r="F222" s="13"/>
      <c r="G222" s="30">
        <v>0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5.75" hidden="1" customHeight="1">
      <c r="A223" s="9"/>
      <c r="B223" s="17">
        <v>45701</v>
      </c>
      <c r="C223" s="18">
        <v>0</v>
      </c>
      <c r="D223" s="18">
        <v>14397</v>
      </c>
      <c r="E223" s="19" t="s">
        <v>57</v>
      </c>
      <c r="F223" s="20">
        <v>131018282155522</v>
      </c>
      <c r="G223" s="21">
        <v>2000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28.5" hidden="1" customHeight="1">
      <c r="A224" s="9"/>
      <c r="B224" s="23"/>
      <c r="C224" s="23"/>
      <c r="D224" s="23"/>
      <c r="E224" s="24" t="s">
        <v>240</v>
      </c>
      <c r="F224" s="24"/>
      <c r="G224" s="25">
        <v>0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5.75" hidden="1" customHeight="1">
      <c r="A225" s="9"/>
      <c r="B225" s="11">
        <v>45701</v>
      </c>
      <c r="C225" s="12">
        <v>0</v>
      </c>
      <c r="D225" s="12">
        <v>14397</v>
      </c>
      <c r="E225" s="26" t="s">
        <v>57</v>
      </c>
      <c r="F225" s="27">
        <v>131336491266682</v>
      </c>
      <c r="G225" s="15">
        <v>9707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28.5" hidden="1" customHeight="1">
      <c r="A226" s="9"/>
      <c r="B226" s="29"/>
      <c r="C226" s="29"/>
      <c r="D226" s="29"/>
      <c r="E226" s="13" t="s">
        <v>241</v>
      </c>
      <c r="F226" s="13"/>
      <c r="G226" s="30">
        <v>0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5.75" hidden="1" customHeight="1">
      <c r="A227" s="9"/>
      <c r="B227" s="17">
        <v>45701</v>
      </c>
      <c r="C227" s="18">
        <v>0</v>
      </c>
      <c r="D227" s="18">
        <v>14397</v>
      </c>
      <c r="E227" s="19" t="s">
        <v>57</v>
      </c>
      <c r="F227" s="20">
        <v>131412366466162</v>
      </c>
      <c r="G227" s="21">
        <v>184.4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28.5" hidden="1" customHeight="1">
      <c r="A228" s="9"/>
      <c r="B228" s="23"/>
      <c r="C228" s="23"/>
      <c r="D228" s="23"/>
      <c r="E228" s="24" t="s">
        <v>242</v>
      </c>
      <c r="F228" s="24"/>
      <c r="G228" s="25">
        <v>0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5.75" customHeight="1">
      <c r="A229" s="33" t="s">
        <v>140</v>
      </c>
      <c r="B229" s="34">
        <v>45701</v>
      </c>
      <c r="C229" s="35">
        <v>0</v>
      </c>
      <c r="D229" s="35">
        <v>14138</v>
      </c>
      <c r="E229" s="36" t="s">
        <v>141</v>
      </c>
      <c r="F229" s="37">
        <v>202502120001560</v>
      </c>
      <c r="G229" s="38">
        <v>1668.08</v>
      </c>
      <c r="H229" s="57" t="s">
        <v>243</v>
      </c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.75" hidden="1" customHeight="1">
      <c r="A230" s="9"/>
      <c r="B230" s="29"/>
      <c r="C230" s="29"/>
      <c r="D230" s="29"/>
      <c r="E230" s="13" t="s">
        <v>143</v>
      </c>
      <c r="F230" s="13"/>
      <c r="G230" s="30">
        <v>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5.75" hidden="1" customHeight="1">
      <c r="A231" s="9"/>
      <c r="B231" s="17">
        <v>45701</v>
      </c>
      <c r="C231" s="18">
        <v>1533</v>
      </c>
      <c r="D231" s="18">
        <v>99008</v>
      </c>
      <c r="E231" s="19" t="s">
        <v>29</v>
      </c>
      <c r="F231" s="20">
        <v>581627</v>
      </c>
      <c r="G231" s="31">
        <v>326.51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5.75" hidden="1" customHeight="1">
      <c r="A232" s="9"/>
      <c r="B232" s="23"/>
      <c r="C232" s="23"/>
      <c r="D232" s="23"/>
      <c r="E232" s="24" t="s">
        <v>244</v>
      </c>
      <c r="F232" s="24"/>
      <c r="G232" s="25">
        <v>0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5.75" hidden="1" customHeight="1">
      <c r="A233" s="9"/>
      <c r="B233" s="11">
        <v>45701</v>
      </c>
      <c r="C233" s="12">
        <v>0</v>
      </c>
      <c r="D233" s="12">
        <v>13105</v>
      </c>
      <c r="E233" s="26" t="s">
        <v>31</v>
      </c>
      <c r="F233" s="27">
        <v>21301</v>
      </c>
      <c r="G233" s="28">
        <v>335.1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28.5" hidden="1" customHeight="1">
      <c r="A234" s="9"/>
      <c r="B234" s="29"/>
      <c r="C234" s="29"/>
      <c r="D234" s="29"/>
      <c r="E234" s="13" t="s">
        <v>45</v>
      </c>
      <c r="F234" s="13"/>
      <c r="G234" s="30">
        <v>0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5.75" hidden="1" customHeight="1">
      <c r="A235" s="9"/>
      <c r="B235" s="17">
        <v>45701</v>
      </c>
      <c r="C235" s="18">
        <v>0</v>
      </c>
      <c r="D235" s="18">
        <v>13105</v>
      </c>
      <c r="E235" s="19" t="s">
        <v>31</v>
      </c>
      <c r="F235" s="20">
        <v>21302</v>
      </c>
      <c r="G235" s="31">
        <v>560.57000000000005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28.5" hidden="1" customHeight="1">
      <c r="A236" s="9"/>
      <c r="B236" s="23"/>
      <c r="C236" s="23"/>
      <c r="D236" s="23"/>
      <c r="E236" s="24" t="s">
        <v>45</v>
      </c>
      <c r="F236" s="24"/>
      <c r="G236" s="25">
        <v>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5.75" hidden="1" customHeight="1">
      <c r="A237" s="9"/>
      <c r="B237" s="11">
        <v>45701</v>
      </c>
      <c r="C237" s="12">
        <v>0</v>
      </c>
      <c r="D237" s="12">
        <v>13105</v>
      </c>
      <c r="E237" s="26" t="s">
        <v>31</v>
      </c>
      <c r="F237" s="27">
        <v>21303</v>
      </c>
      <c r="G237" s="28">
        <v>429.75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28.5" hidden="1" customHeight="1">
      <c r="A238" s="9"/>
      <c r="B238" s="29"/>
      <c r="C238" s="29"/>
      <c r="D238" s="29"/>
      <c r="E238" s="13" t="s">
        <v>45</v>
      </c>
      <c r="F238" s="13"/>
      <c r="G238" s="30">
        <v>0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5.75" hidden="1" customHeight="1">
      <c r="A239" s="9"/>
      <c r="B239" s="17">
        <v>45701</v>
      </c>
      <c r="C239" s="18">
        <v>0</v>
      </c>
      <c r="D239" s="18">
        <v>13105</v>
      </c>
      <c r="E239" s="19" t="s">
        <v>31</v>
      </c>
      <c r="F239" s="20">
        <v>21304</v>
      </c>
      <c r="G239" s="31">
        <v>429.75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28.5" hidden="1" customHeight="1">
      <c r="A240" s="9"/>
      <c r="B240" s="23"/>
      <c r="C240" s="23"/>
      <c r="D240" s="23"/>
      <c r="E240" s="24" t="s">
        <v>45</v>
      </c>
      <c r="F240" s="24"/>
      <c r="G240" s="25">
        <v>0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5.75" hidden="1" customHeight="1">
      <c r="A241" s="9"/>
      <c r="B241" s="11">
        <v>45701</v>
      </c>
      <c r="C241" s="12">
        <v>0</v>
      </c>
      <c r="D241" s="12">
        <v>13105</v>
      </c>
      <c r="E241" s="26" t="s">
        <v>31</v>
      </c>
      <c r="F241" s="27">
        <v>21305</v>
      </c>
      <c r="G241" s="28">
        <v>363.96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28.5" hidden="1" customHeight="1">
      <c r="A242" s="9"/>
      <c r="B242" s="29"/>
      <c r="C242" s="29"/>
      <c r="D242" s="29"/>
      <c r="E242" s="13" t="s">
        <v>110</v>
      </c>
      <c r="F242" s="13"/>
      <c r="G242" s="30">
        <v>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5.75" hidden="1" customHeight="1">
      <c r="A243" s="9"/>
      <c r="B243" s="17">
        <v>45701</v>
      </c>
      <c r="C243" s="18">
        <v>0</v>
      </c>
      <c r="D243" s="18">
        <v>13105</v>
      </c>
      <c r="E243" s="19" t="s">
        <v>31</v>
      </c>
      <c r="F243" s="20">
        <v>21306</v>
      </c>
      <c r="G243" s="31">
        <v>960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5.75" hidden="1" customHeight="1">
      <c r="A244" s="9"/>
      <c r="B244" s="23"/>
      <c r="C244" s="23"/>
      <c r="D244" s="23"/>
      <c r="E244" s="24" t="s">
        <v>85</v>
      </c>
      <c r="F244" s="24"/>
      <c r="G244" s="25">
        <v>0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5.75" hidden="1" customHeight="1">
      <c r="A245" s="9"/>
      <c r="B245" s="11">
        <v>45701</v>
      </c>
      <c r="C245" s="12">
        <v>0</v>
      </c>
      <c r="D245" s="12">
        <v>13105</v>
      </c>
      <c r="E245" s="26" t="s">
        <v>31</v>
      </c>
      <c r="F245" s="27">
        <v>21307</v>
      </c>
      <c r="G245" s="28">
        <v>2021.58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5.75" hidden="1" customHeight="1">
      <c r="A246" s="9"/>
      <c r="B246" s="29"/>
      <c r="C246" s="29"/>
      <c r="D246" s="29"/>
      <c r="E246" s="13" t="s">
        <v>121</v>
      </c>
      <c r="F246" s="13"/>
      <c r="G246" s="30">
        <v>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5.75" hidden="1" customHeight="1">
      <c r="A247" s="9"/>
      <c r="B247" s="17">
        <v>45701</v>
      </c>
      <c r="C247" s="18">
        <v>0</v>
      </c>
      <c r="D247" s="18">
        <v>13105</v>
      </c>
      <c r="E247" s="19" t="s">
        <v>118</v>
      </c>
      <c r="F247" s="20">
        <v>21308</v>
      </c>
      <c r="G247" s="31">
        <v>609.4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28.5" hidden="1" customHeight="1">
      <c r="A248" s="9"/>
      <c r="B248" s="23"/>
      <c r="C248" s="23"/>
      <c r="D248" s="23"/>
      <c r="E248" s="24" t="s">
        <v>245</v>
      </c>
      <c r="F248" s="24"/>
      <c r="G248" s="25">
        <v>0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.75" hidden="1" customHeight="1">
      <c r="A249" s="9"/>
      <c r="B249" s="11">
        <v>45701</v>
      </c>
      <c r="C249" s="12">
        <v>0</v>
      </c>
      <c r="D249" s="12">
        <v>13105</v>
      </c>
      <c r="E249" s="26" t="s">
        <v>118</v>
      </c>
      <c r="F249" s="27">
        <v>21309</v>
      </c>
      <c r="G249" s="28">
        <v>3969.42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28.5" hidden="1" customHeight="1">
      <c r="A250" s="9"/>
      <c r="B250" s="29"/>
      <c r="C250" s="29"/>
      <c r="D250" s="29"/>
      <c r="E250" s="13" t="s">
        <v>246</v>
      </c>
      <c r="F250" s="13"/>
      <c r="G250" s="30">
        <v>0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5.75" hidden="1" customHeight="1">
      <c r="A251" s="9"/>
      <c r="B251" s="17">
        <v>45701</v>
      </c>
      <c r="C251" s="18">
        <v>0</v>
      </c>
      <c r="D251" s="18">
        <v>13105</v>
      </c>
      <c r="E251" s="19" t="s">
        <v>31</v>
      </c>
      <c r="F251" s="20">
        <v>21310</v>
      </c>
      <c r="G251" s="31">
        <v>258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28.5" hidden="1" customHeight="1">
      <c r="A252" s="9"/>
      <c r="B252" s="23"/>
      <c r="C252" s="23"/>
      <c r="D252" s="23"/>
      <c r="E252" s="24" t="s">
        <v>41</v>
      </c>
      <c r="F252" s="24"/>
      <c r="G252" s="25">
        <v>0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5.75" hidden="1" customHeight="1">
      <c r="A253" s="9"/>
      <c r="B253" s="11">
        <v>45701</v>
      </c>
      <c r="C253" s="12">
        <v>0</v>
      </c>
      <c r="D253" s="12">
        <v>13105</v>
      </c>
      <c r="E253" s="26" t="s">
        <v>31</v>
      </c>
      <c r="F253" s="27">
        <v>21311</v>
      </c>
      <c r="G253" s="28">
        <v>303.47000000000003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28.5" hidden="1" customHeight="1">
      <c r="A254" s="9"/>
      <c r="B254" s="29"/>
      <c r="C254" s="29"/>
      <c r="D254" s="29"/>
      <c r="E254" s="13" t="s">
        <v>41</v>
      </c>
      <c r="F254" s="13"/>
      <c r="G254" s="30">
        <v>0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5.75" hidden="1" customHeight="1">
      <c r="A255" s="9"/>
      <c r="B255" s="17">
        <v>45701</v>
      </c>
      <c r="C255" s="18">
        <v>0</v>
      </c>
      <c r="D255" s="18">
        <v>13105</v>
      </c>
      <c r="E255" s="19" t="s">
        <v>31</v>
      </c>
      <c r="F255" s="20">
        <v>21312</v>
      </c>
      <c r="G255" s="31">
        <v>509.6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28.5" hidden="1" customHeight="1">
      <c r="A256" s="9"/>
      <c r="B256" s="23"/>
      <c r="C256" s="23"/>
      <c r="D256" s="23"/>
      <c r="E256" s="24" t="s">
        <v>41</v>
      </c>
      <c r="F256" s="24"/>
      <c r="G256" s="25">
        <v>0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.75" hidden="1" customHeight="1">
      <c r="A257" s="9"/>
      <c r="B257" s="11">
        <v>45701</v>
      </c>
      <c r="C257" s="12">
        <v>0</v>
      </c>
      <c r="D257" s="12">
        <v>13105</v>
      </c>
      <c r="E257" s="26" t="s">
        <v>31</v>
      </c>
      <c r="F257" s="27">
        <v>21313</v>
      </c>
      <c r="G257" s="28">
        <v>355.2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.75" hidden="1" customHeight="1">
      <c r="A258" s="9"/>
      <c r="B258" s="29"/>
      <c r="C258" s="29"/>
      <c r="D258" s="29"/>
      <c r="E258" s="13" t="s">
        <v>163</v>
      </c>
      <c r="F258" s="13"/>
      <c r="G258" s="30">
        <v>0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.75" hidden="1" customHeight="1">
      <c r="A259" s="9"/>
      <c r="B259" s="17">
        <v>45701</v>
      </c>
      <c r="C259" s="18">
        <v>0</v>
      </c>
      <c r="D259" s="18">
        <v>13105</v>
      </c>
      <c r="E259" s="19" t="s">
        <v>31</v>
      </c>
      <c r="F259" s="20">
        <v>21314</v>
      </c>
      <c r="G259" s="31">
        <v>241.85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.75" hidden="1" customHeight="1">
      <c r="A260" s="9"/>
      <c r="B260" s="23"/>
      <c r="C260" s="23"/>
      <c r="D260" s="23"/>
      <c r="E260" s="24" t="s">
        <v>247</v>
      </c>
      <c r="F260" s="24"/>
      <c r="G260" s="25">
        <v>0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.75" hidden="1" customHeight="1">
      <c r="A261" s="9"/>
      <c r="B261" s="11">
        <v>45701</v>
      </c>
      <c r="C261" s="12">
        <v>0</v>
      </c>
      <c r="D261" s="12">
        <v>13105</v>
      </c>
      <c r="E261" s="26" t="s">
        <v>31</v>
      </c>
      <c r="F261" s="27">
        <v>21315</v>
      </c>
      <c r="G261" s="28">
        <v>359.9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28.5" hidden="1" customHeight="1">
      <c r="A262" s="9"/>
      <c r="B262" s="29"/>
      <c r="C262" s="29"/>
      <c r="D262" s="29"/>
      <c r="E262" s="13" t="s">
        <v>223</v>
      </c>
      <c r="F262" s="13"/>
      <c r="G262" s="30">
        <v>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.75" hidden="1" customHeight="1">
      <c r="A263" s="9"/>
      <c r="B263" s="17">
        <v>45701</v>
      </c>
      <c r="C263" s="18">
        <v>0</v>
      </c>
      <c r="D263" s="18">
        <v>13105</v>
      </c>
      <c r="E263" s="19" t="s">
        <v>31</v>
      </c>
      <c r="F263" s="20">
        <v>21316</v>
      </c>
      <c r="G263" s="31">
        <v>123.58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28.5" hidden="1" customHeight="1">
      <c r="A264" s="9"/>
      <c r="B264" s="23"/>
      <c r="C264" s="23"/>
      <c r="D264" s="23"/>
      <c r="E264" s="24" t="s">
        <v>223</v>
      </c>
      <c r="F264" s="24"/>
      <c r="G264" s="25">
        <v>0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.75" hidden="1" customHeight="1">
      <c r="A265" s="9"/>
      <c r="B265" s="11">
        <v>45701</v>
      </c>
      <c r="C265" s="12">
        <v>0</v>
      </c>
      <c r="D265" s="12">
        <v>13105</v>
      </c>
      <c r="E265" s="26" t="s">
        <v>31</v>
      </c>
      <c r="F265" s="27">
        <v>21317</v>
      </c>
      <c r="G265" s="28">
        <v>529.09</v>
      </c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.75" hidden="1" customHeight="1">
      <c r="A266" s="9"/>
      <c r="B266" s="29"/>
      <c r="C266" s="29"/>
      <c r="D266" s="29"/>
      <c r="E266" s="13" t="s">
        <v>109</v>
      </c>
      <c r="F266" s="13"/>
      <c r="G266" s="30">
        <v>0</v>
      </c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.75" hidden="1" customHeight="1">
      <c r="A267" s="9"/>
      <c r="B267" s="17">
        <v>45701</v>
      </c>
      <c r="C267" s="18">
        <v>0</v>
      </c>
      <c r="D267" s="18">
        <v>13105</v>
      </c>
      <c r="E267" s="19" t="s">
        <v>31</v>
      </c>
      <c r="F267" s="20">
        <v>21318</v>
      </c>
      <c r="G267" s="31">
        <v>969.92</v>
      </c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.75" hidden="1" customHeight="1">
      <c r="A268" s="9"/>
      <c r="B268" s="23"/>
      <c r="C268" s="23"/>
      <c r="D268" s="23"/>
      <c r="E268" s="24" t="s">
        <v>109</v>
      </c>
      <c r="F268" s="24"/>
      <c r="G268" s="25">
        <v>0</v>
      </c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.75" hidden="1" customHeight="1">
      <c r="A269" s="9"/>
      <c r="B269" s="11">
        <v>45701</v>
      </c>
      <c r="C269" s="12">
        <v>0</v>
      </c>
      <c r="D269" s="12">
        <v>13105</v>
      </c>
      <c r="E269" s="26" t="s">
        <v>31</v>
      </c>
      <c r="F269" s="27">
        <v>21319</v>
      </c>
      <c r="G269" s="28">
        <v>119.53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.75" hidden="1" customHeight="1">
      <c r="A270" s="9"/>
      <c r="B270" s="29"/>
      <c r="C270" s="29"/>
      <c r="D270" s="29"/>
      <c r="E270" s="13" t="s">
        <v>109</v>
      </c>
      <c r="F270" s="13"/>
      <c r="G270" s="30">
        <v>0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.75" hidden="1" customHeight="1">
      <c r="A271" s="9"/>
      <c r="B271" s="17">
        <v>45701</v>
      </c>
      <c r="C271" s="18">
        <v>0</v>
      </c>
      <c r="D271" s="18">
        <v>13105</v>
      </c>
      <c r="E271" s="19" t="s">
        <v>31</v>
      </c>
      <c r="F271" s="20">
        <v>21320</v>
      </c>
      <c r="G271" s="31">
        <v>263.97000000000003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.75" hidden="1" customHeight="1">
      <c r="A272" s="9"/>
      <c r="B272" s="23"/>
      <c r="C272" s="23"/>
      <c r="D272" s="23"/>
      <c r="E272" s="24" t="s">
        <v>38</v>
      </c>
      <c r="F272" s="24"/>
      <c r="G272" s="25">
        <v>0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5.75" hidden="1" customHeight="1">
      <c r="A273" s="9"/>
      <c r="B273" s="11">
        <v>45701</v>
      </c>
      <c r="C273" s="12">
        <v>0</v>
      </c>
      <c r="D273" s="12">
        <v>13105</v>
      </c>
      <c r="E273" s="26" t="s">
        <v>31</v>
      </c>
      <c r="F273" s="27">
        <v>21321</v>
      </c>
      <c r="G273" s="28">
        <v>407.4</v>
      </c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.75" hidden="1" customHeight="1">
      <c r="A274" s="9"/>
      <c r="B274" s="29"/>
      <c r="C274" s="29"/>
      <c r="D274" s="29"/>
      <c r="E274" s="13" t="s">
        <v>38</v>
      </c>
      <c r="F274" s="13"/>
      <c r="G274" s="30">
        <v>0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.75" hidden="1" customHeight="1">
      <c r="A275" s="9"/>
      <c r="B275" s="17">
        <v>45701</v>
      </c>
      <c r="C275" s="18">
        <v>0</v>
      </c>
      <c r="D275" s="18">
        <v>13105</v>
      </c>
      <c r="E275" s="19" t="s">
        <v>31</v>
      </c>
      <c r="F275" s="20">
        <v>21322</v>
      </c>
      <c r="G275" s="31">
        <v>106.44</v>
      </c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28.5" hidden="1" customHeight="1">
      <c r="A276" s="9"/>
      <c r="B276" s="23"/>
      <c r="C276" s="23"/>
      <c r="D276" s="23"/>
      <c r="E276" s="24" t="s">
        <v>126</v>
      </c>
      <c r="F276" s="24"/>
      <c r="G276" s="25">
        <v>0</v>
      </c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.75" hidden="1" customHeight="1">
      <c r="A277" s="9"/>
      <c r="B277" s="11">
        <v>45701</v>
      </c>
      <c r="C277" s="12">
        <v>0</v>
      </c>
      <c r="D277" s="12">
        <v>13105</v>
      </c>
      <c r="E277" s="26" t="s">
        <v>31</v>
      </c>
      <c r="F277" s="27">
        <v>21323</v>
      </c>
      <c r="G277" s="28">
        <v>103.05</v>
      </c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5.75" hidden="1" customHeight="1">
      <c r="A278" s="9"/>
      <c r="B278" s="29"/>
      <c r="C278" s="29"/>
      <c r="D278" s="29"/>
      <c r="E278" s="13" t="s">
        <v>125</v>
      </c>
      <c r="F278" s="13"/>
      <c r="G278" s="30">
        <v>0</v>
      </c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5.75" hidden="1" customHeight="1">
      <c r="A279" s="9"/>
      <c r="B279" s="17">
        <v>45701</v>
      </c>
      <c r="C279" s="18">
        <v>0</v>
      </c>
      <c r="D279" s="18">
        <v>13113</v>
      </c>
      <c r="E279" s="19" t="s">
        <v>189</v>
      </c>
      <c r="F279" s="20">
        <v>870441100152629</v>
      </c>
      <c r="G279" s="31">
        <v>10</v>
      </c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28.5" hidden="1" customHeight="1">
      <c r="A280" s="9"/>
      <c r="B280" s="23"/>
      <c r="C280" s="23"/>
      <c r="D280" s="23"/>
      <c r="E280" s="24" t="s">
        <v>248</v>
      </c>
      <c r="F280" s="24"/>
      <c r="G280" s="25">
        <v>0</v>
      </c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5.75" hidden="1" customHeight="1">
      <c r="A281" s="9"/>
      <c r="B281" s="11">
        <v>45701</v>
      </c>
      <c r="C281" s="12">
        <v>0</v>
      </c>
      <c r="D281" s="12">
        <v>0</v>
      </c>
      <c r="E281" s="26" t="s">
        <v>52</v>
      </c>
      <c r="F281" s="27">
        <v>9903</v>
      </c>
      <c r="G281" s="15">
        <v>890.2</v>
      </c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.75" hidden="1" customHeight="1">
      <c r="A282" s="9"/>
      <c r="B282" s="29"/>
      <c r="C282" s="29"/>
      <c r="D282" s="29"/>
      <c r="E282" s="13" t="s">
        <v>53</v>
      </c>
      <c r="F282" s="13"/>
      <c r="G282" s="30">
        <v>0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.75" hidden="1" customHeight="1">
      <c r="A283" s="9"/>
      <c r="B283" s="17">
        <v>45702</v>
      </c>
      <c r="C283" s="18">
        <v>2256</v>
      </c>
      <c r="D283" s="18">
        <v>99021</v>
      </c>
      <c r="E283" s="19" t="s">
        <v>27</v>
      </c>
      <c r="F283" s="20">
        <v>612256000106555</v>
      </c>
      <c r="G283" s="21">
        <v>1108.75</v>
      </c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.75" hidden="1" customHeight="1">
      <c r="A284" s="9"/>
      <c r="B284" s="23"/>
      <c r="C284" s="23"/>
      <c r="D284" s="23"/>
      <c r="E284" s="24" t="s">
        <v>249</v>
      </c>
      <c r="F284" s="24"/>
      <c r="G284" s="25">
        <v>0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5.75" hidden="1" customHeight="1">
      <c r="A285" s="9"/>
      <c r="B285" s="11">
        <v>45702</v>
      </c>
      <c r="C285" s="12">
        <v>0</v>
      </c>
      <c r="D285" s="12">
        <v>14397</v>
      </c>
      <c r="E285" s="26" t="s">
        <v>57</v>
      </c>
      <c r="F285" s="27">
        <v>141008554814872</v>
      </c>
      <c r="G285" s="15">
        <v>206.39</v>
      </c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28.5" hidden="1" customHeight="1">
      <c r="A286" s="9"/>
      <c r="B286" s="29"/>
      <c r="C286" s="29"/>
      <c r="D286" s="29"/>
      <c r="E286" s="13" t="s">
        <v>250</v>
      </c>
      <c r="F286" s="13"/>
      <c r="G286" s="30">
        <v>0</v>
      </c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5.75" hidden="1" customHeight="1">
      <c r="A287" s="9"/>
      <c r="B287" s="17">
        <v>45702</v>
      </c>
      <c r="C287" s="18">
        <v>0</v>
      </c>
      <c r="D287" s="18">
        <v>14397</v>
      </c>
      <c r="E287" s="19" t="s">
        <v>57</v>
      </c>
      <c r="F287" s="20">
        <v>141350331934002</v>
      </c>
      <c r="G287" s="21">
        <v>87.15</v>
      </c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28.5" hidden="1" customHeight="1">
      <c r="A288" s="9"/>
      <c r="B288" s="23"/>
      <c r="C288" s="23"/>
      <c r="D288" s="23"/>
      <c r="E288" s="24" t="s">
        <v>251</v>
      </c>
      <c r="F288" s="24"/>
      <c r="G288" s="25">
        <v>0</v>
      </c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5.75" hidden="1" customHeight="1">
      <c r="A289" s="9"/>
      <c r="B289" s="11">
        <v>45702</v>
      </c>
      <c r="C289" s="12">
        <v>0</v>
      </c>
      <c r="D289" s="12">
        <v>14397</v>
      </c>
      <c r="E289" s="26" t="s">
        <v>57</v>
      </c>
      <c r="F289" s="27">
        <v>141709106794612</v>
      </c>
      <c r="G289" s="15">
        <v>18923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28.5" hidden="1" customHeight="1">
      <c r="A290" s="9"/>
      <c r="B290" s="29"/>
      <c r="C290" s="29"/>
      <c r="D290" s="29"/>
      <c r="E290" s="13" t="s">
        <v>252</v>
      </c>
      <c r="F290" s="13"/>
      <c r="G290" s="30">
        <v>0</v>
      </c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.75" hidden="1" customHeight="1">
      <c r="A291" s="9"/>
      <c r="B291" s="17">
        <v>45702</v>
      </c>
      <c r="C291" s="18">
        <v>0</v>
      </c>
      <c r="D291" s="18">
        <v>14397</v>
      </c>
      <c r="E291" s="19" t="s">
        <v>57</v>
      </c>
      <c r="F291" s="20">
        <v>141714118713862</v>
      </c>
      <c r="G291" s="21">
        <v>100</v>
      </c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28.5" hidden="1" customHeight="1">
      <c r="A292" s="9"/>
      <c r="B292" s="23"/>
      <c r="C292" s="23"/>
      <c r="D292" s="23"/>
      <c r="E292" s="24" t="s">
        <v>253</v>
      </c>
      <c r="F292" s="24"/>
      <c r="G292" s="25">
        <v>0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.75" customHeight="1">
      <c r="A293" s="33" t="s">
        <v>140</v>
      </c>
      <c r="B293" s="34">
        <v>45702</v>
      </c>
      <c r="C293" s="35">
        <v>0</v>
      </c>
      <c r="D293" s="35">
        <v>14138</v>
      </c>
      <c r="E293" s="36" t="s">
        <v>141</v>
      </c>
      <c r="F293" s="37">
        <v>202502130013218</v>
      </c>
      <c r="G293" s="38">
        <v>1662.95</v>
      </c>
      <c r="H293" s="47" t="s">
        <v>254</v>
      </c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5.75" hidden="1" customHeight="1">
      <c r="A294" s="9"/>
      <c r="B294" s="29"/>
      <c r="C294" s="29"/>
      <c r="D294" s="29"/>
      <c r="E294" s="13" t="s">
        <v>143</v>
      </c>
      <c r="F294" s="13"/>
      <c r="G294" s="30">
        <v>0</v>
      </c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5.75" customHeight="1">
      <c r="A295" s="33" t="s">
        <v>140</v>
      </c>
      <c r="B295" s="41">
        <v>45702</v>
      </c>
      <c r="C295" s="42">
        <v>0</v>
      </c>
      <c r="D295" s="42">
        <v>14138</v>
      </c>
      <c r="E295" s="43" t="s">
        <v>141</v>
      </c>
      <c r="F295" s="44">
        <v>202502130013221</v>
      </c>
      <c r="G295" s="45">
        <v>1668.08</v>
      </c>
      <c r="H295" s="47" t="s">
        <v>255</v>
      </c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5.75" hidden="1" customHeight="1">
      <c r="A296" s="9"/>
      <c r="B296" s="23"/>
      <c r="C296" s="23"/>
      <c r="D296" s="23"/>
      <c r="E296" s="24" t="s">
        <v>143</v>
      </c>
      <c r="F296" s="24"/>
      <c r="G296" s="25">
        <v>0</v>
      </c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5.75" hidden="1" customHeight="1">
      <c r="A297" s="9"/>
      <c r="B297" s="11">
        <v>45702</v>
      </c>
      <c r="C297" s="12">
        <v>0</v>
      </c>
      <c r="D297" s="12">
        <v>13105</v>
      </c>
      <c r="E297" s="26" t="s">
        <v>80</v>
      </c>
      <c r="F297" s="27">
        <v>21401</v>
      </c>
      <c r="G297" s="28">
        <v>639.17999999999995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5.75" hidden="1" customHeight="1">
      <c r="A298" s="9"/>
      <c r="B298" s="29"/>
      <c r="C298" s="29"/>
      <c r="D298" s="29"/>
      <c r="E298" s="13" t="s">
        <v>81</v>
      </c>
      <c r="F298" s="13"/>
      <c r="G298" s="30">
        <v>0</v>
      </c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5.75" hidden="1" customHeight="1">
      <c r="A299" s="9"/>
      <c r="B299" s="17">
        <v>45702</v>
      </c>
      <c r="C299" s="18">
        <v>0</v>
      </c>
      <c r="D299" s="18">
        <v>13105</v>
      </c>
      <c r="E299" s="19" t="s">
        <v>31</v>
      </c>
      <c r="F299" s="20">
        <v>21402</v>
      </c>
      <c r="G299" s="31">
        <v>2295</v>
      </c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28.5" hidden="1" customHeight="1">
      <c r="A300" s="9"/>
      <c r="B300" s="23"/>
      <c r="C300" s="23"/>
      <c r="D300" s="23"/>
      <c r="E300" s="24" t="s">
        <v>65</v>
      </c>
      <c r="F300" s="24"/>
      <c r="G300" s="25">
        <v>0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5.75" hidden="1" customHeight="1">
      <c r="A301" s="9"/>
      <c r="B301" s="11">
        <v>45702</v>
      </c>
      <c r="C301" s="12">
        <v>0</v>
      </c>
      <c r="D301" s="12">
        <v>13105</v>
      </c>
      <c r="E301" s="26" t="s">
        <v>34</v>
      </c>
      <c r="F301" s="27">
        <v>21403</v>
      </c>
      <c r="G301" s="28">
        <v>957.81</v>
      </c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5.75" hidden="1" customHeight="1">
      <c r="A302" s="9"/>
      <c r="B302" s="29"/>
      <c r="C302" s="29"/>
      <c r="D302" s="29"/>
      <c r="E302" s="13" t="s">
        <v>207</v>
      </c>
      <c r="F302" s="13"/>
      <c r="G302" s="30">
        <v>0</v>
      </c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.75" hidden="1" customHeight="1">
      <c r="A303" s="9"/>
      <c r="B303" s="17">
        <v>45702</v>
      </c>
      <c r="C303" s="18">
        <v>0</v>
      </c>
      <c r="D303" s="18">
        <v>13105</v>
      </c>
      <c r="E303" s="19" t="s">
        <v>123</v>
      </c>
      <c r="F303" s="20">
        <v>21404</v>
      </c>
      <c r="G303" s="31">
        <v>125.94</v>
      </c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5.75" hidden="1" customHeight="1">
      <c r="A304" s="9"/>
      <c r="B304" s="23"/>
      <c r="C304" s="23"/>
      <c r="D304" s="23"/>
      <c r="E304" s="24" t="s">
        <v>124</v>
      </c>
      <c r="F304" s="24"/>
      <c r="G304" s="25">
        <v>0</v>
      </c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5.75" hidden="1" customHeight="1">
      <c r="A305" s="9"/>
      <c r="B305" s="11">
        <v>45702</v>
      </c>
      <c r="C305" s="12">
        <v>0</v>
      </c>
      <c r="D305" s="12">
        <v>13105</v>
      </c>
      <c r="E305" s="26" t="s">
        <v>31</v>
      </c>
      <c r="F305" s="27">
        <v>21405</v>
      </c>
      <c r="G305" s="28">
        <v>210.68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28.5" hidden="1" customHeight="1">
      <c r="A306" s="9"/>
      <c r="B306" s="29"/>
      <c r="C306" s="29"/>
      <c r="D306" s="29"/>
      <c r="E306" s="13" t="s">
        <v>45</v>
      </c>
      <c r="F306" s="13"/>
      <c r="G306" s="30">
        <v>0</v>
      </c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5.75" hidden="1" customHeight="1">
      <c r="A307" s="9"/>
      <c r="B307" s="17">
        <v>45702</v>
      </c>
      <c r="C307" s="18">
        <v>0</v>
      </c>
      <c r="D307" s="18">
        <v>13105</v>
      </c>
      <c r="E307" s="19" t="s">
        <v>31</v>
      </c>
      <c r="F307" s="20">
        <v>21406</v>
      </c>
      <c r="G307" s="31">
        <v>119.53</v>
      </c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5.75" hidden="1" customHeight="1">
      <c r="A308" s="9"/>
      <c r="B308" s="23"/>
      <c r="C308" s="23"/>
      <c r="D308" s="23"/>
      <c r="E308" s="24" t="s">
        <v>109</v>
      </c>
      <c r="F308" s="24"/>
      <c r="G308" s="25">
        <v>0</v>
      </c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5.75" hidden="1" customHeight="1">
      <c r="A309" s="9"/>
      <c r="B309" s="11">
        <v>45702</v>
      </c>
      <c r="C309" s="12">
        <v>0</v>
      </c>
      <c r="D309" s="12">
        <v>13105</v>
      </c>
      <c r="E309" s="26" t="s">
        <v>31</v>
      </c>
      <c r="F309" s="27">
        <v>21407</v>
      </c>
      <c r="G309" s="28">
        <v>152.46</v>
      </c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5.75" hidden="1" customHeight="1">
      <c r="A310" s="9"/>
      <c r="B310" s="29"/>
      <c r="C310" s="29"/>
      <c r="D310" s="29"/>
      <c r="E310" s="13" t="s">
        <v>111</v>
      </c>
      <c r="F310" s="13"/>
      <c r="G310" s="30">
        <v>0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5.75" hidden="1" customHeight="1">
      <c r="A311" s="9"/>
      <c r="B311" s="17">
        <v>45702</v>
      </c>
      <c r="C311" s="18">
        <v>0</v>
      </c>
      <c r="D311" s="18">
        <v>13105</v>
      </c>
      <c r="E311" s="19" t="s">
        <v>80</v>
      </c>
      <c r="F311" s="20">
        <v>21408</v>
      </c>
      <c r="G311" s="31">
        <v>18023.400000000001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5.75" hidden="1" customHeight="1">
      <c r="A312" s="9"/>
      <c r="B312" s="23"/>
      <c r="C312" s="23"/>
      <c r="D312" s="23"/>
      <c r="E312" s="24" t="s">
        <v>81</v>
      </c>
      <c r="F312" s="24"/>
      <c r="G312" s="25">
        <v>0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5.75" hidden="1" customHeight="1">
      <c r="A313" s="9"/>
      <c r="B313" s="11">
        <v>45702</v>
      </c>
      <c r="C313" s="12">
        <v>0</v>
      </c>
      <c r="D313" s="12">
        <v>13105</v>
      </c>
      <c r="E313" s="26" t="s">
        <v>31</v>
      </c>
      <c r="F313" s="27">
        <v>21409</v>
      </c>
      <c r="G313" s="28">
        <v>2227.1</v>
      </c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28.5" hidden="1" customHeight="1">
      <c r="A314" s="9"/>
      <c r="B314" s="29"/>
      <c r="C314" s="29"/>
      <c r="D314" s="29"/>
      <c r="E314" s="13" t="s">
        <v>256</v>
      </c>
      <c r="F314" s="13"/>
      <c r="G314" s="30">
        <v>0</v>
      </c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5.75" hidden="1" customHeight="1">
      <c r="A315" s="9"/>
      <c r="B315" s="17">
        <v>45702</v>
      </c>
      <c r="C315" s="18">
        <v>0</v>
      </c>
      <c r="D315" s="18">
        <v>13105</v>
      </c>
      <c r="E315" s="19" t="s">
        <v>31</v>
      </c>
      <c r="F315" s="20">
        <v>21410</v>
      </c>
      <c r="G315" s="31">
        <v>384</v>
      </c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28.5" hidden="1" customHeight="1">
      <c r="A316" s="9"/>
      <c r="B316" s="23"/>
      <c r="C316" s="23"/>
      <c r="D316" s="23"/>
      <c r="E316" s="24" t="s">
        <v>256</v>
      </c>
      <c r="F316" s="24"/>
      <c r="G316" s="25">
        <v>0</v>
      </c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5.75" hidden="1" customHeight="1">
      <c r="A317" s="9"/>
      <c r="B317" s="11">
        <v>45702</v>
      </c>
      <c r="C317" s="12">
        <v>0</v>
      </c>
      <c r="D317" s="12">
        <v>0</v>
      </c>
      <c r="E317" s="26" t="s">
        <v>52</v>
      </c>
      <c r="F317" s="27">
        <v>9903</v>
      </c>
      <c r="G317" s="15">
        <v>1378.78</v>
      </c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5.75" hidden="1" customHeight="1">
      <c r="A318" s="9"/>
      <c r="B318" s="29"/>
      <c r="C318" s="29"/>
      <c r="D318" s="29"/>
      <c r="E318" s="13" t="s">
        <v>53</v>
      </c>
      <c r="F318" s="13"/>
      <c r="G318" s="30">
        <v>0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5.75" customHeight="1">
      <c r="A319" s="9"/>
      <c r="B319" s="17">
        <v>45705</v>
      </c>
      <c r="C319" s="18">
        <v>0</v>
      </c>
      <c r="D319" s="18">
        <v>14056</v>
      </c>
      <c r="E319" s="19" t="s">
        <v>257</v>
      </c>
      <c r="F319" s="20">
        <v>589246000000</v>
      </c>
      <c r="G319" s="21">
        <v>6153.1</v>
      </c>
      <c r="H319" s="9" t="s">
        <v>258</v>
      </c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28.5" hidden="1" customHeight="1">
      <c r="A320" s="9"/>
      <c r="B320" s="23"/>
      <c r="C320" s="23"/>
      <c r="D320" s="23"/>
      <c r="E320" s="24" t="s">
        <v>259</v>
      </c>
      <c r="F320" s="24"/>
      <c r="G320" s="25">
        <v>0</v>
      </c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5.75" hidden="1" customHeight="1">
      <c r="A321" s="9"/>
      <c r="B321" s="11">
        <v>45705</v>
      </c>
      <c r="C321" s="12">
        <v>0</v>
      </c>
      <c r="D321" s="12">
        <v>14397</v>
      </c>
      <c r="E321" s="26" t="s">
        <v>57</v>
      </c>
      <c r="F321" s="27">
        <v>171627243145442</v>
      </c>
      <c r="G321" s="15">
        <v>2180</v>
      </c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28.5" hidden="1" customHeight="1">
      <c r="A322" s="9"/>
      <c r="B322" s="29"/>
      <c r="C322" s="29"/>
      <c r="D322" s="29"/>
      <c r="E322" s="13" t="s">
        <v>260</v>
      </c>
      <c r="F322" s="13"/>
      <c r="G322" s="30">
        <v>0</v>
      </c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5.75" customHeight="1">
      <c r="A323" s="33" t="s">
        <v>140</v>
      </c>
      <c r="B323" s="41">
        <v>45705</v>
      </c>
      <c r="C323" s="42">
        <v>0</v>
      </c>
      <c r="D323" s="42">
        <v>14138</v>
      </c>
      <c r="E323" s="43" t="s">
        <v>141</v>
      </c>
      <c r="F323" s="44">
        <v>202502140011459</v>
      </c>
      <c r="G323" s="45">
        <v>873.94</v>
      </c>
      <c r="H323" s="57" t="s">
        <v>261</v>
      </c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5.75" hidden="1" customHeight="1">
      <c r="A324" s="9"/>
      <c r="B324" s="23"/>
      <c r="C324" s="23"/>
      <c r="D324" s="23"/>
      <c r="E324" s="24" t="s">
        <v>143</v>
      </c>
      <c r="F324" s="24"/>
      <c r="G324" s="25">
        <v>0</v>
      </c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5.75" customHeight="1">
      <c r="A325" s="33" t="s">
        <v>140</v>
      </c>
      <c r="B325" s="34">
        <v>45705</v>
      </c>
      <c r="C325" s="35">
        <v>0</v>
      </c>
      <c r="D325" s="35">
        <v>14138</v>
      </c>
      <c r="E325" s="36" t="s">
        <v>141</v>
      </c>
      <c r="F325" s="37">
        <v>202502140011460</v>
      </c>
      <c r="G325" s="38">
        <v>1476.65</v>
      </c>
      <c r="H325" s="57" t="s">
        <v>262</v>
      </c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2" hidden="1" customHeight="1">
      <c r="A326" s="9"/>
      <c r="B326" s="29"/>
      <c r="C326" s="29"/>
      <c r="D326" s="29"/>
      <c r="E326" s="13" t="s">
        <v>143</v>
      </c>
      <c r="F326" s="13"/>
      <c r="G326" s="30">
        <v>0</v>
      </c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5.75" customHeight="1">
      <c r="A327" s="33" t="s">
        <v>140</v>
      </c>
      <c r="B327" s="41">
        <v>45705</v>
      </c>
      <c r="C327" s="42">
        <v>0</v>
      </c>
      <c r="D327" s="42">
        <v>14138</v>
      </c>
      <c r="E327" s="43" t="s">
        <v>141</v>
      </c>
      <c r="F327" s="44">
        <v>202502140011466</v>
      </c>
      <c r="G327" s="45">
        <v>2750.89</v>
      </c>
      <c r="H327" s="47" t="s">
        <v>263</v>
      </c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5.75" hidden="1" customHeight="1">
      <c r="A328" s="9"/>
      <c r="B328" s="23"/>
      <c r="C328" s="23"/>
      <c r="D328" s="23"/>
      <c r="E328" s="24" t="s">
        <v>143</v>
      </c>
      <c r="F328" s="24"/>
      <c r="G328" s="25">
        <v>0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5.75" hidden="1" customHeight="1">
      <c r="A329" s="9"/>
      <c r="B329" s="11">
        <v>45705</v>
      </c>
      <c r="C329" s="12">
        <v>1533</v>
      </c>
      <c r="D329" s="12">
        <v>99008</v>
      </c>
      <c r="E329" s="26" t="s">
        <v>29</v>
      </c>
      <c r="F329" s="27">
        <v>795646</v>
      </c>
      <c r="G329" s="28">
        <v>324.95999999999998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5.75" hidden="1" customHeight="1">
      <c r="A330" s="9"/>
      <c r="B330" s="29"/>
      <c r="C330" s="29"/>
      <c r="D330" s="29"/>
      <c r="E330" s="13" t="s">
        <v>264</v>
      </c>
      <c r="F330" s="13"/>
      <c r="G330" s="30">
        <v>0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5.75" hidden="1" customHeight="1">
      <c r="A331" s="9"/>
      <c r="B331" s="17">
        <v>45705</v>
      </c>
      <c r="C331" s="18">
        <v>0</v>
      </c>
      <c r="D331" s="18">
        <v>13105</v>
      </c>
      <c r="E331" s="19" t="s">
        <v>118</v>
      </c>
      <c r="F331" s="20">
        <v>21701</v>
      </c>
      <c r="G331" s="31">
        <v>315.91000000000003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5.75" hidden="1" customHeight="1">
      <c r="A332" s="9"/>
      <c r="B332" s="23"/>
      <c r="C332" s="23"/>
      <c r="D332" s="23"/>
      <c r="E332" s="24" t="s">
        <v>265</v>
      </c>
      <c r="F332" s="24"/>
      <c r="G332" s="25">
        <v>0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5.75" hidden="1" customHeight="1">
      <c r="A333" s="9"/>
      <c r="B333" s="11">
        <v>45705</v>
      </c>
      <c r="C333" s="12">
        <v>0</v>
      </c>
      <c r="D333" s="12">
        <v>13105</v>
      </c>
      <c r="E333" s="26" t="s">
        <v>80</v>
      </c>
      <c r="F333" s="27">
        <v>21702</v>
      </c>
      <c r="G333" s="28">
        <v>66.540000000000006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5.75" hidden="1" customHeight="1">
      <c r="A334" s="9"/>
      <c r="B334" s="29"/>
      <c r="C334" s="29"/>
      <c r="D334" s="29"/>
      <c r="E334" s="13" t="s">
        <v>81</v>
      </c>
      <c r="F334" s="13"/>
      <c r="G334" s="30">
        <v>0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5.75" hidden="1" customHeight="1">
      <c r="A335" s="9"/>
      <c r="B335" s="17">
        <v>45705</v>
      </c>
      <c r="C335" s="18">
        <v>0</v>
      </c>
      <c r="D335" s="18">
        <v>13105</v>
      </c>
      <c r="E335" s="19" t="s">
        <v>80</v>
      </c>
      <c r="F335" s="20">
        <v>21703</v>
      </c>
      <c r="G335" s="31">
        <v>145.75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5.75" hidden="1" customHeight="1">
      <c r="A336" s="9"/>
      <c r="B336" s="23"/>
      <c r="C336" s="23"/>
      <c r="D336" s="23"/>
      <c r="E336" s="24" t="s">
        <v>81</v>
      </c>
      <c r="F336" s="24"/>
      <c r="G336" s="25">
        <v>0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5.75" hidden="1" customHeight="1">
      <c r="A337" s="9"/>
      <c r="B337" s="11">
        <v>45705</v>
      </c>
      <c r="C337" s="12">
        <v>0</v>
      </c>
      <c r="D337" s="12">
        <v>13105</v>
      </c>
      <c r="E337" s="26" t="s">
        <v>80</v>
      </c>
      <c r="F337" s="27">
        <v>21704</v>
      </c>
      <c r="G337" s="28">
        <v>1732.82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5.75" hidden="1" customHeight="1">
      <c r="A338" s="9"/>
      <c r="B338" s="29"/>
      <c r="C338" s="29"/>
      <c r="D338" s="29"/>
      <c r="E338" s="13" t="s">
        <v>81</v>
      </c>
      <c r="F338" s="13"/>
      <c r="G338" s="30">
        <v>0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5.75" hidden="1" customHeight="1">
      <c r="A339" s="9"/>
      <c r="B339" s="17">
        <v>45705</v>
      </c>
      <c r="C339" s="18">
        <v>0</v>
      </c>
      <c r="D339" s="18">
        <v>13105</v>
      </c>
      <c r="E339" s="19" t="s">
        <v>80</v>
      </c>
      <c r="F339" s="20">
        <v>21705</v>
      </c>
      <c r="G339" s="31">
        <v>32.04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5.75" hidden="1" customHeight="1">
      <c r="A340" s="9"/>
      <c r="B340" s="23"/>
      <c r="C340" s="23"/>
      <c r="D340" s="23"/>
      <c r="E340" s="24" t="s">
        <v>81</v>
      </c>
      <c r="F340" s="24"/>
      <c r="G340" s="25">
        <v>0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5.75" hidden="1" customHeight="1">
      <c r="A341" s="9"/>
      <c r="B341" s="11">
        <v>45705</v>
      </c>
      <c r="C341" s="12">
        <v>0</v>
      </c>
      <c r="D341" s="12">
        <v>13105</v>
      </c>
      <c r="E341" s="26" t="s">
        <v>80</v>
      </c>
      <c r="F341" s="27">
        <v>21706</v>
      </c>
      <c r="G341" s="28">
        <v>846.56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5.75" hidden="1" customHeight="1">
      <c r="A342" s="9"/>
      <c r="B342" s="29"/>
      <c r="C342" s="29"/>
      <c r="D342" s="29"/>
      <c r="E342" s="13" t="s">
        <v>81</v>
      </c>
      <c r="F342" s="13"/>
      <c r="G342" s="30">
        <v>0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5.75" hidden="1" customHeight="1">
      <c r="A343" s="9"/>
      <c r="B343" s="17">
        <v>45705</v>
      </c>
      <c r="C343" s="18">
        <v>0</v>
      </c>
      <c r="D343" s="18">
        <v>13105</v>
      </c>
      <c r="E343" s="19" t="s">
        <v>31</v>
      </c>
      <c r="F343" s="20">
        <v>21707</v>
      </c>
      <c r="G343" s="31">
        <v>371.1</v>
      </c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5.75" hidden="1" customHeight="1">
      <c r="A344" s="9"/>
      <c r="B344" s="23"/>
      <c r="C344" s="23"/>
      <c r="D344" s="23"/>
      <c r="E344" s="24" t="s">
        <v>183</v>
      </c>
      <c r="F344" s="24"/>
      <c r="G344" s="25">
        <v>0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5.75" hidden="1" customHeight="1">
      <c r="A345" s="9"/>
      <c r="B345" s="11">
        <v>45705</v>
      </c>
      <c r="C345" s="12">
        <v>0</v>
      </c>
      <c r="D345" s="12">
        <v>13105</v>
      </c>
      <c r="E345" s="26" t="s">
        <v>31</v>
      </c>
      <c r="F345" s="27">
        <v>21708</v>
      </c>
      <c r="G345" s="28">
        <v>6400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28.5" hidden="1" customHeight="1">
      <c r="A346" s="9"/>
      <c r="B346" s="29"/>
      <c r="C346" s="29"/>
      <c r="D346" s="29"/>
      <c r="E346" s="13" t="s">
        <v>32</v>
      </c>
      <c r="F346" s="13"/>
      <c r="G346" s="30">
        <v>0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5.75" hidden="1" customHeight="1">
      <c r="A347" s="9"/>
      <c r="B347" s="17">
        <v>45705</v>
      </c>
      <c r="C347" s="18">
        <v>0</v>
      </c>
      <c r="D347" s="18">
        <v>13105</v>
      </c>
      <c r="E347" s="19" t="s">
        <v>31</v>
      </c>
      <c r="F347" s="20">
        <v>21709</v>
      </c>
      <c r="G347" s="31">
        <v>1200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5.75" hidden="1" customHeight="1">
      <c r="A348" s="9"/>
      <c r="B348" s="23"/>
      <c r="C348" s="23"/>
      <c r="D348" s="23"/>
      <c r="E348" s="24" t="s">
        <v>85</v>
      </c>
      <c r="F348" s="24"/>
      <c r="G348" s="25">
        <v>0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5.75" hidden="1" customHeight="1">
      <c r="A349" s="9"/>
      <c r="B349" s="11">
        <v>45705</v>
      </c>
      <c r="C349" s="12">
        <v>0</v>
      </c>
      <c r="D349" s="12">
        <v>13105</v>
      </c>
      <c r="E349" s="26" t="s">
        <v>31</v>
      </c>
      <c r="F349" s="27">
        <v>21710</v>
      </c>
      <c r="G349" s="28">
        <v>189.9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5.75" hidden="1" customHeight="1">
      <c r="A350" s="9"/>
      <c r="B350" s="29"/>
      <c r="C350" s="29"/>
      <c r="D350" s="29"/>
      <c r="E350" s="13" t="s">
        <v>266</v>
      </c>
      <c r="F350" s="13"/>
      <c r="G350" s="30">
        <v>0</v>
      </c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5.75" hidden="1" customHeight="1">
      <c r="A351" s="9"/>
      <c r="B351" s="17">
        <v>45705</v>
      </c>
      <c r="C351" s="18">
        <v>0</v>
      </c>
      <c r="D351" s="18">
        <v>13105</v>
      </c>
      <c r="E351" s="19" t="s">
        <v>31</v>
      </c>
      <c r="F351" s="20">
        <v>21711</v>
      </c>
      <c r="G351" s="31">
        <v>246.8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28.5" hidden="1" customHeight="1">
      <c r="A352" s="9"/>
      <c r="B352" s="23"/>
      <c r="C352" s="23"/>
      <c r="D352" s="23"/>
      <c r="E352" s="24" t="s">
        <v>69</v>
      </c>
      <c r="F352" s="24"/>
      <c r="G352" s="25">
        <v>0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.75" hidden="1" customHeight="1">
      <c r="A353" s="9"/>
      <c r="B353" s="11">
        <v>45705</v>
      </c>
      <c r="C353" s="12">
        <v>0</v>
      </c>
      <c r="D353" s="12">
        <v>13105</v>
      </c>
      <c r="E353" s="26" t="s">
        <v>31</v>
      </c>
      <c r="F353" s="27">
        <v>21712</v>
      </c>
      <c r="G353" s="28">
        <v>389.11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28.5" hidden="1" customHeight="1">
      <c r="A354" s="9"/>
      <c r="B354" s="29"/>
      <c r="C354" s="29"/>
      <c r="D354" s="29"/>
      <c r="E354" s="13" t="s">
        <v>45</v>
      </c>
      <c r="F354" s="13"/>
      <c r="G354" s="30">
        <v>0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5.75" hidden="1" customHeight="1">
      <c r="A355" s="9"/>
      <c r="B355" s="17">
        <v>45705</v>
      </c>
      <c r="C355" s="18">
        <v>0</v>
      </c>
      <c r="D355" s="18">
        <v>13105</v>
      </c>
      <c r="E355" s="19" t="s">
        <v>31</v>
      </c>
      <c r="F355" s="20">
        <v>21713</v>
      </c>
      <c r="G355" s="31">
        <v>362.7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.75" hidden="1" customHeight="1">
      <c r="A356" s="9"/>
      <c r="B356" s="23"/>
      <c r="C356" s="23"/>
      <c r="D356" s="23"/>
      <c r="E356" s="24" t="s">
        <v>48</v>
      </c>
      <c r="F356" s="24"/>
      <c r="G356" s="25">
        <v>0</v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.75" hidden="1" customHeight="1">
      <c r="A357" s="9"/>
      <c r="B357" s="11">
        <v>45705</v>
      </c>
      <c r="C357" s="12">
        <v>0</v>
      </c>
      <c r="D357" s="12">
        <v>13105</v>
      </c>
      <c r="E357" s="26" t="s">
        <v>31</v>
      </c>
      <c r="F357" s="27">
        <v>21714</v>
      </c>
      <c r="G357" s="28">
        <v>121.96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28.5" hidden="1" customHeight="1">
      <c r="A358" s="9"/>
      <c r="B358" s="29"/>
      <c r="C358" s="29"/>
      <c r="D358" s="29"/>
      <c r="E358" s="13" t="s">
        <v>223</v>
      </c>
      <c r="F358" s="13"/>
      <c r="G358" s="30">
        <v>0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5.75" hidden="1" customHeight="1">
      <c r="A359" s="9"/>
      <c r="B359" s="17">
        <v>45705</v>
      </c>
      <c r="C359" s="18">
        <v>0</v>
      </c>
      <c r="D359" s="18">
        <v>13105</v>
      </c>
      <c r="E359" s="19" t="s">
        <v>31</v>
      </c>
      <c r="F359" s="20">
        <v>21715</v>
      </c>
      <c r="G359" s="31">
        <v>355.15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28.5" hidden="1" customHeight="1">
      <c r="A360" s="9"/>
      <c r="B360" s="23"/>
      <c r="C360" s="23"/>
      <c r="D360" s="23"/>
      <c r="E360" s="24" t="s">
        <v>223</v>
      </c>
      <c r="F360" s="24"/>
      <c r="G360" s="25">
        <v>0</v>
      </c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.75" hidden="1" customHeight="1">
      <c r="A361" s="9"/>
      <c r="B361" s="11">
        <v>45705</v>
      </c>
      <c r="C361" s="12">
        <v>0</v>
      </c>
      <c r="D361" s="12">
        <v>13105</v>
      </c>
      <c r="E361" s="26" t="s">
        <v>31</v>
      </c>
      <c r="F361" s="27">
        <v>21716</v>
      </c>
      <c r="G361" s="28">
        <v>119.52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.75" hidden="1" customHeight="1">
      <c r="A362" s="9"/>
      <c r="B362" s="29"/>
      <c r="C362" s="29"/>
      <c r="D362" s="29"/>
      <c r="E362" s="13" t="s">
        <v>109</v>
      </c>
      <c r="F362" s="13"/>
      <c r="G362" s="30">
        <v>0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5.75" hidden="1" customHeight="1">
      <c r="A363" s="9"/>
      <c r="B363" s="17">
        <v>45705</v>
      </c>
      <c r="C363" s="18">
        <v>0</v>
      </c>
      <c r="D363" s="18">
        <v>0</v>
      </c>
      <c r="E363" s="19" t="s">
        <v>59</v>
      </c>
      <c r="F363" s="20">
        <v>9903</v>
      </c>
      <c r="G363" s="31">
        <v>213.76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.75" hidden="1" customHeight="1">
      <c r="A364" s="9"/>
      <c r="B364" s="11">
        <v>45706</v>
      </c>
      <c r="C364" s="12">
        <v>1845</v>
      </c>
      <c r="D364" s="12">
        <v>99021</v>
      </c>
      <c r="E364" s="26" t="s">
        <v>27</v>
      </c>
      <c r="F364" s="27">
        <v>611845000040070</v>
      </c>
      <c r="G364" s="15">
        <v>70.739999999999995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28.5" hidden="1" customHeight="1">
      <c r="A365" s="9"/>
      <c r="B365" s="29"/>
      <c r="C365" s="29"/>
      <c r="D365" s="29"/>
      <c r="E365" s="13" t="s">
        <v>267</v>
      </c>
      <c r="F365" s="13"/>
      <c r="G365" s="30">
        <v>0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.75" hidden="1" customHeight="1">
      <c r="A366" s="9"/>
      <c r="B366" s="17">
        <v>45706</v>
      </c>
      <c r="C366" s="18">
        <v>5072</v>
      </c>
      <c r="D366" s="18">
        <v>99021</v>
      </c>
      <c r="E366" s="19" t="s">
        <v>27</v>
      </c>
      <c r="F366" s="20">
        <v>615072000004700</v>
      </c>
      <c r="G366" s="21">
        <v>1545.94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.75" hidden="1" customHeight="1">
      <c r="A367" s="9"/>
      <c r="B367" s="23"/>
      <c r="C367" s="23"/>
      <c r="D367" s="23"/>
      <c r="E367" s="24" t="s">
        <v>268</v>
      </c>
      <c r="F367" s="24"/>
      <c r="G367" s="25">
        <v>0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.75" hidden="1" customHeight="1">
      <c r="A368" s="9"/>
      <c r="B368" s="11">
        <v>45706</v>
      </c>
      <c r="C368" s="12">
        <v>0</v>
      </c>
      <c r="D368" s="12">
        <v>14397</v>
      </c>
      <c r="E368" s="26" t="s">
        <v>57</v>
      </c>
      <c r="F368" s="27">
        <v>181134137470402</v>
      </c>
      <c r="G368" s="15">
        <v>381.2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28.5" hidden="1" customHeight="1">
      <c r="A369" s="9"/>
      <c r="B369" s="29"/>
      <c r="C369" s="29"/>
      <c r="D369" s="29"/>
      <c r="E369" s="13" t="s">
        <v>269</v>
      </c>
      <c r="F369" s="13"/>
      <c r="G369" s="30">
        <v>0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.75" hidden="1" customHeight="1">
      <c r="A370" s="9"/>
      <c r="B370" s="17">
        <v>45706</v>
      </c>
      <c r="C370" s="18">
        <v>0</v>
      </c>
      <c r="D370" s="18">
        <v>14397</v>
      </c>
      <c r="E370" s="19" t="s">
        <v>57</v>
      </c>
      <c r="F370" s="20">
        <v>181229267376152</v>
      </c>
      <c r="G370" s="21">
        <v>120.82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28.5" hidden="1" customHeight="1">
      <c r="A371" s="9"/>
      <c r="B371" s="23"/>
      <c r="C371" s="23"/>
      <c r="D371" s="23"/>
      <c r="E371" s="24" t="s">
        <v>270</v>
      </c>
      <c r="F371" s="24"/>
      <c r="G371" s="25">
        <v>0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.75" hidden="1" customHeight="1">
      <c r="A372" s="9"/>
      <c r="B372" s="11">
        <v>45706</v>
      </c>
      <c r="C372" s="12">
        <v>0</v>
      </c>
      <c r="D372" s="12">
        <v>14397</v>
      </c>
      <c r="E372" s="26" t="s">
        <v>57</v>
      </c>
      <c r="F372" s="27">
        <v>181519371013732</v>
      </c>
      <c r="G372" s="15">
        <v>2150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28.5" hidden="1" customHeight="1">
      <c r="A373" s="9"/>
      <c r="B373" s="29"/>
      <c r="C373" s="29"/>
      <c r="D373" s="29"/>
      <c r="E373" s="13" t="s">
        <v>271</v>
      </c>
      <c r="F373" s="13"/>
      <c r="G373" s="30">
        <v>0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.75" hidden="1" customHeight="1">
      <c r="A374" s="9"/>
      <c r="B374" s="17">
        <v>45706</v>
      </c>
      <c r="C374" s="18">
        <v>0</v>
      </c>
      <c r="D374" s="18">
        <v>13105</v>
      </c>
      <c r="E374" s="19" t="s">
        <v>31</v>
      </c>
      <c r="F374" s="20">
        <v>21801</v>
      </c>
      <c r="G374" s="31">
        <v>171.72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5.75" hidden="1" customHeight="1">
      <c r="A375" s="9"/>
      <c r="B375" s="23"/>
      <c r="C375" s="23"/>
      <c r="D375" s="23"/>
      <c r="E375" s="24" t="s">
        <v>51</v>
      </c>
      <c r="F375" s="24"/>
      <c r="G375" s="25">
        <v>0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.75" hidden="1" customHeight="1">
      <c r="A376" s="9"/>
      <c r="B376" s="11">
        <v>45706</v>
      </c>
      <c r="C376" s="12">
        <v>0</v>
      </c>
      <c r="D376" s="12">
        <v>13105</v>
      </c>
      <c r="E376" s="26" t="s">
        <v>80</v>
      </c>
      <c r="F376" s="27">
        <v>21802</v>
      </c>
      <c r="G376" s="28">
        <v>2169.4499999999998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5.75" hidden="1" customHeight="1">
      <c r="A377" s="9"/>
      <c r="B377" s="29"/>
      <c r="C377" s="29"/>
      <c r="D377" s="29"/>
      <c r="E377" s="13" t="s">
        <v>81</v>
      </c>
      <c r="F377" s="13"/>
      <c r="G377" s="30">
        <v>0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.75" hidden="1" customHeight="1">
      <c r="A378" s="9"/>
      <c r="B378" s="17">
        <v>45706</v>
      </c>
      <c r="C378" s="18">
        <v>0</v>
      </c>
      <c r="D378" s="18">
        <v>13105</v>
      </c>
      <c r="E378" s="19" t="s">
        <v>31</v>
      </c>
      <c r="F378" s="20">
        <v>21803</v>
      </c>
      <c r="G378" s="31">
        <v>419.33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5.75" hidden="1" customHeight="1">
      <c r="A379" s="9"/>
      <c r="B379" s="23"/>
      <c r="C379" s="23"/>
      <c r="D379" s="23"/>
      <c r="E379" s="24" t="s">
        <v>109</v>
      </c>
      <c r="F379" s="24"/>
      <c r="G379" s="25">
        <v>0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.75" hidden="1" customHeight="1">
      <c r="A380" s="9"/>
      <c r="B380" s="11">
        <v>45706</v>
      </c>
      <c r="C380" s="12">
        <v>0</v>
      </c>
      <c r="D380" s="12">
        <v>13105</v>
      </c>
      <c r="E380" s="26" t="s">
        <v>31</v>
      </c>
      <c r="F380" s="27">
        <v>21804</v>
      </c>
      <c r="G380" s="28">
        <v>235.65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.75" hidden="1" customHeight="1">
      <c r="A381" s="9"/>
      <c r="B381" s="29"/>
      <c r="C381" s="29"/>
      <c r="D381" s="29"/>
      <c r="E381" s="13" t="s">
        <v>247</v>
      </c>
      <c r="F381" s="13"/>
      <c r="G381" s="30">
        <v>0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.75" hidden="1" customHeight="1">
      <c r="A382" s="9"/>
      <c r="B382" s="17">
        <v>45706</v>
      </c>
      <c r="C382" s="18">
        <v>0</v>
      </c>
      <c r="D382" s="18">
        <v>13105</v>
      </c>
      <c r="E382" s="19" t="s">
        <v>31</v>
      </c>
      <c r="F382" s="20">
        <v>21805</v>
      </c>
      <c r="G382" s="31">
        <v>245.94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.75" hidden="1" customHeight="1">
      <c r="A383" s="9"/>
      <c r="B383" s="23"/>
      <c r="C383" s="23"/>
      <c r="D383" s="23"/>
      <c r="E383" s="24" t="s">
        <v>48</v>
      </c>
      <c r="F383" s="24"/>
      <c r="G383" s="25">
        <v>0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.75" hidden="1" customHeight="1">
      <c r="A384" s="9"/>
      <c r="B384" s="11">
        <v>45706</v>
      </c>
      <c r="C384" s="12">
        <v>0</v>
      </c>
      <c r="D384" s="12">
        <v>0</v>
      </c>
      <c r="E384" s="26" t="s">
        <v>59</v>
      </c>
      <c r="F384" s="27">
        <v>9903</v>
      </c>
      <c r="G384" s="28">
        <v>1026.6099999999999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5.75" hidden="1" customHeight="1">
      <c r="A385" s="9"/>
      <c r="B385" s="29"/>
      <c r="C385" s="29"/>
      <c r="D385" s="29"/>
      <c r="E385" s="13" t="s">
        <v>53</v>
      </c>
      <c r="F385" s="13"/>
      <c r="G385" s="30">
        <v>0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.75" hidden="1" customHeight="1">
      <c r="A386" s="9"/>
      <c r="B386" s="17">
        <v>45707</v>
      </c>
      <c r="C386" s="18">
        <v>0</v>
      </c>
      <c r="D386" s="18">
        <v>14397</v>
      </c>
      <c r="E386" s="19" t="s">
        <v>57</v>
      </c>
      <c r="F386" s="20">
        <v>190958322918532</v>
      </c>
      <c r="G386" s="21">
        <v>289.95999999999998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28.5" hidden="1" customHeight="1">
      <c r="A387" s="9"/>
      <c r="B387" s="23"/>
      <c r="C387" s="23"/>
      <c r="D387" s="23"/>
      <c r="E387" s="24" t="s">
        <v>272</v>
      </c>
      <c r="F387" s="24"/>
      <c r="G387" s="25">
        <v>0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.75" hidden="1" customHeight="1">
      <c r="A388" s="9"/>
      <c r="B388" s="11">
        <v>45707</v>
      </c>
      <c r="C388" s="12">
        <v>0</v>
      </c>
      <c r="D388" s="12">
        <v>14397</v>
      </c>
      <c r="E388" s="26" t="s">
        <v>57</v>
      </c>
      <c r="F388" s="27">
        <v>399672202601251</v>
      </c>
      <c r="G388" s="15">
        <v>263.49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28.5" hidden="1" customHeight="1">
      <c r="A389" s="9"/>
      <c r="B389" s="29"/>
      <c r="C389" s="29"/>
      <c r="D389" s="29"/>
      <c r="E389" s="13" t="s">
        <v>273</v>
      </c>
      <c r="F389" s="13"/>
      <c r="G389" s="30">
        <v>0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.75" hidden="1" customHeight="1">
      <c r="A390" s="9"/>
      <c r="B390" s="17">
        <v>45707</v>
      </c>
      <c r="C390" s="18">
        <v>0</v>
      </c>
      <c r="D390" s="18">
        <v>14397</v>
      </c>
      <c r="E390" s="19" t="s">
        <v>57</v>
      </c>
      <c r="F390" s="20">
        <v>399906645275711</v>
      </c>
      <c r="G390" s="21">
        <v>1201.45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28.5" hidden="1" customHeight="1">
      <c r="A391" s="9"/>
      <c r="B391" s="23"/>
      <c r="C391" s="23"/>
      <c r="D391" s="23"/>
      <c r="E391" s="24" t="s">
        <v>274</v>
      </c>
      <c r="F391" s="24"/>
      <c r="G391" s="25">
        <v>0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.75" hidden="1" customHeight="1">
      <c r="A392" s="9"/>
      <c r="B392" s="11">
        <v>45707</v>
      </c>
      <c r="C392" s="12">
        <v>0</v>
      </c>
      <c r="D392" s="12">
        <v>13105</v>
      </c>
      <c r="E392" s="26" t="s">
        <v>31</v>
      </c>
      <c r="F392" s="27">
        <v>21901</v>
      </c>
      <c r="G392" s="28">
        <v>261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28.5" hidden="1" customHeight="1">
      <c r="A393" s="9"/>
      <c r="B393" s="29"/>
      <c r="C393" s="29"/>
      <c r="D393" s="29"/>
      <c r="E393" s="13" t="s">
        <v>41</v>
      </c>
      <c r="F393" s="13"/>
      <c r="G393" s="30">
        <v>0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.75" hidden="1" customHeight="1">
      <c r="A394" s="9"/>
      <c r="B394" s="17">
        <v>45707</v>
      </c>
      <c r="C394" s="18">
        <v>0</v>
      </c>
      <c r="D394" s="18">
        <v>13105</v>
      </c>
      <c r="E394" s="19" t="s">
        <v>31</v>
      </c>
      <c r="F394" s="20">
        <v>21902</v>
      </c>
      <c r="G394" s="31">
        <v>419.33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.75" hidden="1" customHeight="1">
      <c r="A395" s="9"/>
      <c r="B395" s="23"/>
      <c r="C395" s="23"/>
      <c r="D395" s="23"/>
      <c r="E395" s="24" t="s">
        <v>109</v>
      </c>
      <c r="F395" s="24"/>
      <c r="G395" s="25">
        <v>0</v>
      </c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.75" hidden="1" customHeight="1">
      <c r="A396" s="9"/>
      <c r="B396" s="11">
        <v>45707</v>
      </c>
      <c r="C396" s="12">
        <v>0</v>
      </c>
      <c r="D396" s="12">
        <v>13105</v>
      </c>
      <c r="E396" s="26" t="s">
        <v>31</v>
      </c>
      <c r="F396" s="27">
        <v>21903</v>
      </c>
      <c r="G396" s="28">
        <v>180.32</v>
      </c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5.75" hidden="1" customHeight="1">
      <c r="A397" s="9"/>
      <c r="B397" s="29"/>
      <c r="C397" s="29"/>
      <c r="D397" s="29"/>
      <c r="E397" s="13" t="s">
        <v>48</v>
      </c>
      <c r="F397" s="13"/>
      <c r="G397" s="30">
        <v>0</v>
      </c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.75" hidden="1" customHeight="1">
      <c r="A398" s="9"/>
      <c r="B398" s="17">
        <v>45707</v>
      </c>
      <c r="C398" s="18">
        <v>0</v>
      </c>
      <c r="D398" s="18">
        <v>13105</v>
      </c>
      <c r="E398" s="19" t="s">
        <v>118</v>
      </c>
      <c r="F398" s="20">
        <v>21904</v>
      </c>
      <c r="G398" s="31">
        <v>1201.45</v>
      </c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28.5" hidden="1" customHeight="1">
      <c r="A399" s="9"/>
      <c r="B399" s="23"/>
      <c r="C399" s="23"/>
      <c r="D399" s="23"/>
      <c r="E399" s="24" t="s">
        <v>275</v>
      </c>
      <c r="F399" s="24"/>
      <c r="G399" s="25">
        <v>0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.75" hidden="1" customHeight="1">
      <c r="A400" s="9"/>
      <c r="B400" s="11">
        <v>45707</v>
      </c>
      <c r="C400" s="12">
        <v>0</v>
      </c>
      <c r="D400" s="12">
        <v>0</v>
      </c>
      <c r="E400" s="26" t="s">
        <v>52</v>
      </c>
      <c r="F400" s="27">
        <v>9903</v>
      </c>
      <c r="G400" s="15">
        <v>307.2</v>
      </c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.75" hidden="1" customHeight="1">
      <c r="A401" s="9"/>
      <c r="B401" s="29"/>
      <c r="C401" s="29"/>
      <c r="D401" s="29"/>
      <c r="E401" s="13" t="s">
        <v>53</v>
      </c>
      <c r="F401" s="13"/>
      <c r="G401" s="30">
        <v>0</v>
      </c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5.75" hidden="1" customHeight="1">
      <c r="A402" s="9"/>
      <c r="B402" s="17">
        <v>45708</v>
      </c>
      <c r="C402" s="18">
        <v>2256</v>
      </c>
      <c r="D402" s="18">
        <v>99021</v>
      </c>
      <c r="E402" s="19" t="s">
        <v>27</v>
      </c>
      <c r="F402" s="20">
        <v>612256000106555</v>
      </c>
      <c r="G402" s="21">
        <v>1392.76</v>
      </c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.75" hidden="1" customHeight="1">
      <c r="A403" s="9"/>
      <c r="B403" s="23"/>
      <c r="C403" s="23"/>
      <c r="D403" s="23"/>
      <c r="E403" s="24" t="s">
        <v>276</v>
      </c>
      <c r="F403" s="24"/>
      <c r="G403" s="25">
        <v>0</v>
      </c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.75" hidden="1" customHeight="1">
      <c r="A404" s="9"/>
      <c r="B404" s="11">
        <v>45708</v>
      </c>
      <c r="C404" s="12">
        <v>0</v>
      </c>
      <c r="D404" s="12">
        <v>14397</v>
      </c>
      <c r="E404" s="26" t="s">
        <v>57</v>
      </c>
      <c r="F404" s="27">
        <v>200645226027032</v>
      </c>
      <c r="G404" s="15">
        <v>4000</v>
      </c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28.5" hidden="1" customHeight="1">
      <c r="A405" s="9"/>
      <c r="B405" s="29"/>
      <c r="C405" s="29"/>
      <c r="D405" s="29"/>
      <c r="E405" s="13" t="s">
        <v>277</v>
      </c>
      <c r="F405" s="13"/>
      <c r="G405" s="30">
        <v>0</v>
      </c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5.75" hidden="1" customHeight="1">
      <c r="A406" s="9"/>
      <c r="B406" s="17">
        <v>45708</v>
      </c>
      <c r="C406" s="18">
        <v>0</v>
      </c>
      <c r="D406" s="18">
        <v>14397</v>
      </c>
      <c r="E406" s="19" t="s">
        <v>57</v>
      </c>
      <c r="F406" s="20">
        <v>201701161622382</v>
      </c>
      <c r="G406" s="21">
        <v>381.19</v>
      </c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28.5" hidden="1" customHeight="1">
      <c r="A407" s="9"/>
      <c r="B407" s="23"/>
      <c r="C407" s="23"/>
      <c r="D407" s="23"/>
      <c r="E407" s="24" t="s">
        <v>278</v>
      </c>
      <c r="F407" s="24"/>
      <c r="G407" s="25">
        <v>0</v>
      </c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5.75" hidden="1" customHeight="1">
      <c r="A408" s="9"/>
      <c r="B408" s="11">
        <v>45708</v>
      </c>
      <c r="C408" s="12">
        <v>0</v>
      </c>
      <c r="D408" s="12">
        <v>14397</v>
      </c>
      <c r="E408" s="26" t="s">
        <v>57</v>
      </c>
      <c r="F408" s="27">
        <v>400731401201211</v>
      </c>
      <c r="G408" s="15">
        <v>5540</v>
      </c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28.5" hidden="1" customHeight="1">
      <c r="A409" s="9"/>
      <c r="B409" s="29"/>
      <c r="C409" s="29"/>
      <c r="D409" s="29"/>
      <c r="E409" s="13" t="s">
        <v>279</v>
      </c>
      <c r="F409" s="13"/>
      <c r="G409" s="30">
        <v>0</v>
      </c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5.75" hidden="1" customHeight="1">
      <c r="A410" s="9"/>
      <c r="B410" s="17">
        <v>45708</v>
      </c>
      <c r="C410" s="18">
        <v>1533</v>
      </c>
      <c r="D410" s="18">
        <v>99008</v>
      </c>
      <c r="E410" s="19" t="s">
        <v>29</v>
      </c>
      <c r="F410" s="20">
        <v>313904</v>
      </c>
      <c r="G410" s="31">
        <v>231.42</v>
      </c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5.75" hidden="1" customHeight="1">
      <c r="A411" s="9"/>
      <c r="B411" s="23"/>
      <c r="C411" s="23"/>
      <c r="D411" s="23"/>
      <c r="E411" s="24" t="s">
        <v>280</v>
      </c>
      <c r="F411" s="24"/>
      <c r="G411" s="25">
        <v>0</v>
      </c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.75" hidden="1" customHeight="1">
      <c r="A412" s="9"/>
      <c r="B412" s="11">
        <v>45708</v>
      </c>
      <c r="C412" s="12">
        <v>0</v>
      </c>
      <c r="D412" s="12">
        <v>13105</v>
      </c>
      <c r="E412" s="26" t="s">
        <v>31</v>
      </c>
      <c r="F412" s="27">
        <v>22001</v>
      </c>
      <c r="G412" s="28">
        <v>6332.99</v>
      </c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28.5" hidden="1" customHeight="1">
      <c r="A413" s="9"/>
      <c r="B413" s="29"/>
      <c r="C413" s="29"/>
      <c r="D413" s="29"/>
      <c r="E413" s="13" t="s">
        <v>95</v>
      </c>
      <c r="F413" s="13"/>
      <c r="G413" s="30">
        <v>0</v>
      </c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.75" hidden="1" customHeight="1">
      <c r="A414" s="9"/>
      <c r="B414" s="17">
        <v>45708</v>
      </c>
      <c r="C414" s="18">
        <v>0</v>
      </c>
      <c r="D414" s="18">
        <v>13105</v>
      </c>
      <c r="E414" s="19" t="s">
        <v>80</v>
      </c>
      <c r="F414" s="20">
        <v>22002</v>
      </c>
      <c r="G414" s="31">
        <v>554.13</v>
      </c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5.75" hidden="1" customHeight="1">
      <c r="A415" s="9"/>
      <c r="B415" s="23"/>
      <c r="C415" s="23"/>
      <c r="D415" s="23"/>
      <c r="E415" s="24" t="s">
        <v>84</v>
      </c>
      <c r="F415" s="24"/>
      <c r="G415" s="25">
        <v>0</v>
      </c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.75" hidden="1" customHeight="1">
      <c r="A416" s="9"/>
      <c r="B416" s="11">
        <v>45708</v>
      </c>
      <c r="C416" s="12">
        <v>0</v>
      </c>
      <c r="D416" s="12">
        <v>13105</v>
      </c>
      <c r="E416" s="26" t="s">
        <v>118</v>
      </c>
      <c r="F416" s="27">
        <v>22003</v>
      </c>
      <c r="G416" s="28">
        <v>1098.07</v>
      </c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28.5" hidden="1" customHeight="1">
      <c r="A417" s="9"/>
      <c r="B417" s="29"/>
      <c r="C417" s="29"/>
      <c r="D417" s="29"/>
      <c r="E417" s="13" t="s">
        <v>281</v>
      </c>
      <c r="F417" s="13"/>
      <c r="G417" s="30">
        <v>0</v>
      </c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.75" hidden="1" customHeight="1">
      <c r="A418" s="9"/>
      <c r="B418" s="17">
        <v>45708</v>
      </c>
      <c r="C418" s="18">
        <v>0</v>
      </c>
      <c r="D418" s="18">
        <v>13105</v>
      </c>
      <c r="E418" s="19" t="s">
        <v>31</v>
      </c>
      <c r="F418" s="20">
        <v>22004</v>
      </c>
      <c r="G418" s="31">
        <v>364.3</v>
      </c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5.75" hidden="1" customHeight="1">
      <c r="A419" s="9"/>
      <c r="B419" s="23"/>
      <c r="C419" s="23"/>
      <c r="D419" s="23"/>
      <c r="E419" s="24" t="s">
        <v>43</v>
      </c>
      <c r="F419" s="24"/>
      <c r="G419" s="25">
        <v>0</v>
      </c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.75" hidden="1" customHeight="1">
      <c r="A420" s="9"/>
      <c r="B420" s="11">
        <v>45708</v>
      </c>
      <c r="C420" s="12">
        <v>0</v>
      </c>
      <c r="D420" s="12">
        <v>13105</v>
      </c>
      <c r="E420" s="26" t="s">
        <v>31</v>
      </c>
      <c r="F420" s="27">
        <v>22005</v>
      </c>
      <c r="G420" s="28">
        <v>140</v>
      </c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28.5" hidden="1" customHeight="1">
      <c r="A421" s="9"/>
      <c r="B421" s="29"/>
      <c r="C421" s="29"/>
      <c r="D421" s="29"/>
      <c r="E421" s="13" t="s">
        <v>164</v>
      </c>
      <c r="F421" s="13"/>
      <c r="G421" s="30">
        <v>0</v>
      </c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5.75" hidden="1" customHeight="1">
      <c r="A422" s="9"/>
      <c r="B422" s="17">
        <v>45708</v>
      </c>
      <c r="C422" s="18">
        <v>0</v>
      </c>
      <c r="D422" s="18">
        <v>13105</v>
      </c>
      <c r="E422" s="19" t="s">
        <v>31</v>
      </c>
      <c r="F422" s="20">
        <v>22006</v>
      </c>
      <c r="G422" s="31">
        <v>801.01</v>
      </c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28.5" hidden="1" customHeight="1">
      <c r="A423" s="9"/>
      <c r="B423" s="23"/>
      <c r="C423" s="23"/>
      <c r="D423" s="23"/>
      <c r="E423" s="24" t="s">
        <v>178</v>
      </c>
      <c r="F423" s="24"/>
      <c r="G423" s="25">
        <v>0</v>
      </c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.75" hidden="1" customHeight="1">
      <c r="A424" s="9"/>
      <c r="B424" s="11">
        <v>45708</v>
      </c>
      <c r="C424" s="12">
        <v>0</v>
      </c>
      <c r="D424" s="12">
        <v>13105</v>
      </c>
      <c r="E424" s="26" t="s">
        <v>31</v>
      </c>
      <c r="F424" s="27">
        <v>22007</v>
      </c>
      <c r="G424" s="28">
        <v>1679.9</v>
      </c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28.5" hidden="1" customHeight="1">
      <c r="A425" s="9"/>
      <c r="B425" s="29"/>
      <c r="C425" s="29"/>
      <c r="D425" s="29"/>
      <c r="E425" s="13" t="s">
        <v>122</v>
      </c>
      <c r="F425" s="13"/>
      <c r="G425" s="30">
        <v>0</v>
      </c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5.75" hidden="1" customHeight="1">
      <c r="A426" s="9"/>
      <c r="B426" s="17">
        <v>45708</v>
      </c>
      <c r="C426" s="18">
        <v>0</v>
      </c>
      <c r="D426" s="18">
        <v>13105</v>
      </c>
      <c r="E426" s="19" t="s">
        <v>31</v>
      </c>
      <c r="F426" s="20">
        <v>22008</v>
      </c>
      <c r="G426" s="31">
        <v>298</v>
      </c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28.5" hidden="1" customHeight="1">
      <c r="A427" s="9"/>
      <c r="B427" s="23"/>
      <c r="C427" s="23"/>
      <c r="D427" s="23"/>
      <c r="E427" s="24" t="s">
        <v>41</v>
      </c>
      <c r="F427" s="24"/>
      <c r="G427" s="25">
        <v>0</v>
      </c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5.75" hidden="1" customHeight="1">
      <c r="A428" s="9"/>
      <c r="B428" s="11">
        <v>45708</v>
      </c>
      <c r="C428" s="12">
        <v>0</v>
      </c>
      <c r="D428" s="12">
        <v>13105</v>
      </c>
      <c r="E428" s="26" t="s">
        <v>31</v>
      </c>
      <c r="F428" s="27">
        <v>22009</v>
      </c>
      <c r="G428" s="28">
        <v>191.13</v>
      </c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28.5" hidden="1" customHeight="1">
      <c r="A429" s="9"/>
      <c r="B429" s="29"/>
      <c r="C429" s="29"/>
      <c r="D429" s="29"/>
      <c r="E429" s="13" t="s">
        <v>184</v>
      </c>
      <c r="F429" s="13"/>
      <c r="G429" s="30">
        <v>0</v>
      </c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.75" hidden="1" customHeight="1">
      <c r="A430" s="9"/>
      <c r="B430" s="17">
        <v>45708</v>
      </c>
      <c r="C430" s="18">
        <v>0</v>
      </c>
      <c r="D430" s="18">
        <v>0</v>
      </c>
      <c r="E430" s="19" t="s">
        <v>52</v>
      </c>
      <c r="F430" s="20">
        <v>9903</v>
      </c>
      <c r="G430" s="21">
        <v>377</v>
      </c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.75" hidden="1" customHeight="1">
      <c r="A431" s="9"/>
      <c r="B431" s="23"/>
      <c r="C431" s="23"/>
      <c r="D431" s="23"/>
      <c r="E431" s="24" t="s">
        <v>53</v>
      </c>
      <c r="F431" s="24"/>
      <c r="G431" s="25">
        <v>0</v>
      </c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.75" hidden="1" customHeight="1">
      <c r="A432" s="9"/>
      <c r="B432" s="11">
        <v>45709</v>
      </c>
      <c r="C432" s="12">
        <v>0</v>
      </c>
      <c r="D432" s="12">
        <v>14175</v>
      </c>
      <c r="E432" s="26" t="s">
        <v>62</v>
      </c>
      <c r="F432" s="27">
        <v>371059066</v>
      </c>
      <c r="G432" s="15">
        <v>23500</v>
      </c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28.5" hidden="1" customHeight="1">
      <c r="A433" s="9"/>
      <c r="B433" s="29"/>
      <c r="C433" s="29"/>
      <c r="D433" s="29"/>
      <c r="E433" s="13" t="s">
        <v>97</v>
      </c>
      <c r="F433" s="13"/>
      <c r="G433" s="30">
        <v>0</v>
      </c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5.75" hidden="1" customHeight="1">
      <c r="A434" s="9"/>
      <c r="B434" s="17">
        <v>45709</v>
      </c>
      <c r="C434" s="18">
        <v>0</v>
      </c>
      <c r="D434" s="18">
        <v>14397</v>
      </c>
      <c r="E434" s="19" t="s">
        <v>57</v>
      </c>
      <c r="F434" s="20">
        <v>211436380760622</v>
      </c>
      <c r="G434" s="21">
        <v>3500</v>
      </c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28.5" hidden="1" customHeight="1">
      <c r="A435" s="9"/>
      <c r="B435" s="23"/>
      <c r="C435" s="23"/>
      <c r="D435" s="23"/>
      <c r="E435" s="24" t="s">
        <v>282</v>
      </c>
      <c r="F435" s="24"/>
      <c r="G435" s="25">
        <v>0</v>
      </c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.75" hidden="1" customHeight="1">
      <c r="A436" s="9"/>
      <c r="B436" s="11">
        <v>45709</v>
      </c>
      <c r="C436" s="12">
        <v>0</v>
      </c>
      <c r="D436" s="12">
        <v>13105</v>
      </c>
      <c r="E436" s="26" t="s">
        <v>31</v>
      </c>
      <c r="F436" s="27">
        <v>22101</v>
      </c>
      <c r="G436" s="28">
        <v>12729.69</v>
      </c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28.5" hidden="1" customHeight="1">
      <c r="A437" s="9"/>
      <c r="B437" s="29"/>
      <c r="C437" s="29"/>
      <c r="D437" s="29"/>
      <c r="E437" s="13" t="s">
        <v>32</v>
      </c>
      <c r="F437" s="13"/>
      <c r="G437" s="30">
        <v>0</v>
      </c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5.75" hidden="1" customHeight="1">
      <c r="A438" s="9"/>
      <c r="B438" s="17">
        <v>45709</v>
      </c>
      <c r="C438" s="18">
        <v>0</v>
      </c>
      <c r="D438" s="18">
        <v>13105</v>
      </c>
      <c r="E438" s="19" t="s">
        <v>31</v>
      </c>
      <c r="F438" s="20">
        <v>22102</v>
      </c>
      <c r="G438" s="31">
        <v>3248.61</v>
      </c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28.5" hidden="1" customHeight="1">
      <c r="A439" s="9"/>
      <c r="B439" s="23"/>
      <c r="C439" s="23"/>
      <c r="D439" s="23"/>
      <c r="E439" s="24" t="s">
        <v>65</v>
      </c>
      <c r="F439" s="24"/>
      <c r="G439" s="25">
        <v>0</v>
      </c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5.75" hidden="1" customHeight="1">
      <c r="A440" s="9"/>
      <c r="B440" s="11">
        <v>45709</v>
      </c>
      <c r="C440" s="12">
        <v>0</v>
      </c>
      <c r="D440" s="12">
        <v>13105</v>
      </c>
      <c r="E440" s="26" t="s">
        <v>31</v>
      </c>
      <c r="F440" s="27">
        <v>22103</v>
      </c>
      <c r="G440" s="28">
        <v>3692.98</v>
      </c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5.75" hidden="1" customHeight="1">
      <c r="A441" s="9"/>
      <c r="B441" s="29"/>
      <c r="C441" s="29"/>
      <c r="D441" s="29"/>
      <c r="E441" s="13" t="s">
        <v>283</v>
      </c>
      <c r="F441" s="13"/>
      <c r="G441" s="30">
        <v>0</v>
      </c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5.75" hidden="1" customHeight="1">
      <c r="A442" s="9"/>
      <c r="B442" s="17">
        <v>45709</v>
      </c>
      <c r="C442" s="18">
        <v>0</v>
      </c>
      <c r="D442" s="18">
        <v>13105</v>
      </c>
      <c r="E442" s="19" t="s">
        <v>31</v>
      </c>
      <c r="F442" s="20">
        <v>22104</v>
      </c>
      <c r="G442" s="31">
        <v>1292.5</v>
      </c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5.75" hidden="1" customHeight="1">
      <c r="A443" s="9"/>
      <c r="B443" s="23"/>
      <c r="C443" s="23"/>
      <c r="D443" s="23"/>
      <c r="E443" s="24" t="s">
        <v>71</v>
      </c>
      <c r="F443" s="24"/>
      <c r="G443" s="25">
        <v>0</v>
      </c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5.75" hidden="1" customHeight="1">
      <c r="A444" s="9"/>
      <c r="B444" s="11">
        <v>45709</v>
      </c>
      <c r="C444" s="12">
        <v>0</v>
      </c>
      <c r="D444" s="12">
        <v>13105</v>
      </c>
      <c r="E444" s="26" t="s">
        <v>31</v>
      </c>
      <c r="F444" s="27">
        <v>22105</v>
      </c>
      <c r="G444" s="28">
        <v>546.04999999999995</v>
      </c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28.5" hidden="1" customHeight="1">
      <c r="A445" s="9"/>
      <c r="B445" s="29"/>
      <c r="C445" s="29"/>
      <c r="D445" s="29"/>
      <c r="E445" s="13" t="s">
        <v>45</v>
      </c>
      <c r="F445" s="13"/>
      <c r="G445" s="30">
        <v>0</v>
      </c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5.75" hidden="1" customHeight="1">
      <c r="A446" s="9"/>
      <c r="B446" s="17">
        <v>45709</v>
      </c>
      <c r="C446" s="18">
        <v>0</v>
      </c>
      <c r="D446" s="18">
        <v>13105</v>
      </c>
      <c r="E446" s="19" t="s">
        <v>31</v>
      </c>
      <c r="F446" s="20">
        <v>22106</v>
      </c>
      <c r="G446" s="31">
        <v>251.74</v>
      </c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5.75" hidden="1" customHeight="1">
      <c r="A447" s="9"/>
      <c r="B447" s="23"/>
      <c r="C447" s="23"/>
      <c r="D447" s="23"/>
      <c r="E447" s="24" t="s">
        <v>49</v>
      </c>
      <c r="F447" s="24"/>
      <c r="G447" s="25">
        <v>0</v>
      </c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.75" hidden="1" customHeight="1">
      <c r="A448" s="9"/>
      <c r="B448" s="11">
        <v>45709</v>
      </c>
      <c r="C448" s="12">
        <v>0</v>
      </c>
      <c r="D448" s="12">
        <v>13105</v>
      </c>
      <c r="E448" s="26" t="s">
        <v>31</v>
      </c>
      <c r="F448" s="27">
        <v>22107</v>
      </c>
      <c r="G448" s="28">
        <v>242.88</v>
      </c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5.75" hidden="1" customHeight="1">
      <c r="A449" s="9"/>
      <c r="B449" s="29"/>
      <c r="C449" s="29"/>
      <c r="D449" s="29"/>
      <c r="E449" s="13" t="s">
        <v>51</v>
      </c>
      <c r="F449" s="13"/>
      <c r="G449" s="30">
        <v>0</v>
      </c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5.75" hidden="1" customHeight="1">
      <c r="A450" s="9"/>
      <c r="B450" s="17">
        <v>45709</v>
      </c>
      <c r="C450" s="18">
        <v>0</v>
      </c>
      <c r="D450" s="18">
        <v>13105</v>
      </c>
      <c r="E450" s="19" t="s">
        <v>31</v>
      </c>
      <c r="F450" s="20">
        <v>22108</v>
      </c>
      <c r="G450" s="31">
        <v>122.22</v>
      </c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5.75" hidden="1" customHeight="1">
      <c r="A451" s="9"/>
      <c r="B451" s="23"/>
      <c r="C451" s="23"/>
      <c r="D451" s="23"/>
      <c r="E451" s="24" t="s">
        <v>185</v>
      </c>
      <c r="F451" s="24"/>
      <c r="G451" s="25">
        <v>0</v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.75" hidden="1" customHeight="1">
      <c r="A452" s="9"/>
      <c r="B452" s="11">
        <v>45709</v>
      </c>
      <c r="C452" s="12">
        <v>0</v>
      </c>
      <c r="D452" s="12">
        <v>13105</v>
      </c>
      <c r="E452" s="26" t="s">
        <v>31</v>
      </c>
      <c r="F452" s="27">
        <v>22109</v>
      </c>
      <c r="G452" s="28">
        <v>265.94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28.5" hidden="1" customHeight="1">
      <c r="A453" s="9"/>
      <c r="B453" s="29"/>
      <c r="C453" s="29"/>
      <c r="D453" s="29"/>
      <c r="E453" s="13" t="s">
        <v>69</v>
      </c>
      <c r="F453" s="13"/>
      <c r="G453" s="30">
        <v>0</v>
      </c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.75" hidden="1" customHeight="1">
      <c r="A454" s="9"/>
      <c r="B454" s="17">
        <v>45709</v>
      </c>
      <c r="C454" s="18">
        <v>0</v>
      </c>
      <c r="D454" s="18">
        <v>13105</v>
      </c>
      <c r="E454" s="19" t="s">
        <v>31</v>
      </c>
      <c r="F454" s="20">
        <v>22110</v>
      </c>
      <c r="G454" s="31">
        <v>421.57</v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5.75" hidden="1" customHeight="1">
      <c r="A455" s="9"/>
      <c r="B455" s="23"/>
      <c r="C455" s="23"/>
      <c r="D455" s="23"/>
      <c r="E455" s="24" t="s">
        <v>109</v>
      </c>
      <c r="F455" s="24"/>
      <c r="G455" s="25">
        <v>0</v>
      </c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5.75" hidden="1" customHeight="1">
      <c r="A456" s="9"/>
      <c r="B456" s="11">
        <v>45709</v>
      </c>
      <c r="C456" s="12">
        <v>0</v>
      </c>
      <c r="D456" s="12">
        <v>13105</v>
      </c>
      <c r="E456" s="26" t="s">
        <v>31</v>
      </c>
      <c r="F456" s="27">
        <v>22111</v>
      </c>
      <c r="G456" s="28">
        <v>276.08</v>
      </c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28.5" hidden="1" customHeight="1">
      <c r="A457" s="9"/>
      <c r="B457" s="29"/>
      <c r="C457" s="29"/>
      <c r="D457" s="29"/>
      <c r="E457" s="13" t="s">
        <v>110</v>
      </c>
      <c r="F457" s="13"/>
      <c r="G457" s="30">
        <v>0</v>
      </c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.75" hidden="1" customHeight="1">
      <c r="A458" s="9"/>
      <c r="B458" s="17">
        <v>45709</v>
      </c>
      <c r="C458" s="18">
        <v>0</v>
      </c>
      <c r="D458" s="18">
        <v>13105</v>
      </c>
      <c r="E458" s="19" t="s">
        <v>31</v>
      </c>
      <c r="F458" s="20">
        <v>22112</v>
      </c>
      <c r="G458" s="31">
        <v>335.68</v>
      </c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28.5" hidden="1" customHeight="1">
      <c r="A459" s="9"/>
      <c r="B459" s="23"/>
      <c r="C459" s="23"/>
      <c r="D459" s="23"/>
      <c r="E459" s="24" t="s">
        <v>110</v>
      </c>
      <c r="F459" s="24"/>
      <c r="G459" s="25">
        <v>0</v>
      </c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.75" hidden="1" customHeight="1">
      <c r="A460" s="9"/>
      <c r="B460" s="11">
        <v>45709</v>
      </c>
      <c r="C460" s="12">
        <v>0</v>
      </c>
      <c r="D460" s="12">
        <v>13105</v>
      </c>
      <c r="E460" s="26" t="s">
        <v>31</v>
      </c>
      <c r="F460" s="27">
        <v>22113</v>
      </c>
      <c r="G460" s="28">
        <v>331.24</v>
      </c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5.75" hidden="1" customHeight="1">
      <c r="A461" s="9"/>
      <c r="B461" s="29"/>
      <c r="C461" s="29"/>
      <c r="D461" s="29"/>
      <c r="E461" s="13" t="s">
        <v>38</v>
      </c>
      <c r="F461" s="13"/>
      <c r="G461" s="30">
        <v>0</v>
      </c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5.75" hidden="1" customHeight="1">
      <c r="A462" s="9"/>
      <c r="B462" s="17">
        <v>45709</v>
      </c>
      <c r="C462" s="18">
        <v>0</v>
      </c>
      <c r="D462" s="18">
        <v>13105</v>
      </c>
      <c r="E462" s="19" t="s">
        <v>31</v>
      </c>
      <c r="F462" s="20">
        <v>22114</v>
      </c>
      <c r="G462" s="31">
        <v>3416.27</v>
      </c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28.5" hidden="1" customHeight="1">
      <c r="A463" s="9"/>
      <c r="B463" s="23"/>
      <c r="C463" s="23"/>
      <c r="D463" s="23"/>
      <c r="E463" s="24" t="s">
        <v>32</v>
      </c>
      <c r="F463" s="24"/>
      <c r="G463" s="25">
        <v>0</v>
      </c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.75" hidden="1" customHeight="1">
      <c r="A464" s="9"/>
      <c r="B464" s="11">
        <v>45709</v>
      </c>
      <c r="C464" s="12">
        <v>0</v>
      </c>
      <c r="D464" s="12">
        <v>0</v>
      </c>
      <c r="E464" s="26" t="s">
        <v>52</v>
      </c>
      <c r="F464" s="27">
        <v>9903</v>
      </c>
      <c r="G464" s="15">
        <v>173.45</v>
      </c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5.75" hidden="1" customHeight="1">
      <c r="A465" s="9"/>
      <c r="B465" s="29"/>
      <c r="C465" s="29"/>
      <c r="D465" s="29"/>
      <c r="E465" s="13" t="s">
        <v>53</v>
      </c>
      <c r="F465" s="13"/>
      <c r="G465" s="30">
        <v>0</v>
      </c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5.75" hidden="1" customHeight="1">
      <c r="A466" s="9"/>
      <c r="B466" s="17">
        <v>45712</v>
      </c>
      <c r="C466" s="18">
        <v>0</v>
      </c>
      <c r="D466" s="18">
        <v>14397</v>
      </c>
      <c r="E466" s="19" t="s">
        <v>57</v>
      </c>
      <c r="F466" s="20">
        <v>241426102737272</v>
      </c>
      <c r="G466" s="21">
        <v>10000</v>
      </c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28.5" hidden="1" customHeight="1">
      <c r="A467" s="9"/>
      <c r="B467" s="23"/>
      <c r="C467" s="23"/>
      <c r="D467" s="23"/>
      <c r="E467" s="24" t="s">
        <v>284</v>
      </c>
      <c r="F467" s="24"/>
      <c r="G467" s="25">
        <v>0</v>
      </c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.75" hidden="1" customHeight="1">
      <c r="A468" s="9"/>
      <c r="B468" s="11">
        <v>45712</v>
      </c>
      <c r="C468" s="12">
        <v>0</v>
      </c>
      <c r="D468" s="12">
        <v>14397</v>
      </c>
      <c r="E468" s="26" t="s">
        <v>57</v>
      </c>
      <c r="F468" s="27">
        <v>241828247986592</v>
      </c>
      <c r="G468" s="15">
        <v>681.79</v>
      </c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28.5" hidden="1" customHeight="1">
      <c r="A469" s="9"/>
      <c r="B469" s="29"/>
      <c r="C469" s="29"/>
      <c r="D469" s="29"/>
      <c r="E469" s="13" t="s">
        <v>285</v>
      </c>
      <c r="F469" s="13"/>
      <c r="G469" s="30">
        <v>0</v>
      </c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.75" hidden="1" customHeight="1">
      <c r="A470" s="9"/>
      <c r="B470" s="17">
        <v>45712</v>
      </c>
      <c r="C470" s="18">
        <v>0</v>
      </c>
      <c r="D470" s="18">
        <v>14397</v>
      </c>
      <c r="E470" s="19" t="s">
        <v>57</v>
      </c>
      <c r="F470" s="20">
        <v>404267593776181</v>
      </c>
      <c r="G470" s="21">
        <v>1378.06</v>
      </c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28.5" hidden="1" customHeight="1">
      <c r="A471" s="9"/>
      <c r="B471" s="23"/>
      <c r="C471" s="23"/>
      <c r="D471" s="23"/>
      <c r="E471" s="24" t="s">
        <v>286</v>
      </c>
      <c r="F471" s="24"/>
      <c r="G471" s="25">
        <v>0</v>
      </c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.75" hidden="1" customHeight="1">
      <c r="A472" s="9"/>
      <c r="B472" s="11">
        <v>45712</v>
      </c>
      <c r="C472" s="12">
        <v>1533</v>
      </c>
      <c r="D472" s="12">
        <v>99008</v>
      </c>
      <c r="E472" s="26" t="s">
        <v>29</v>
      </c>
      <c r="F472" s="27">
        <v>44943</v>
      </c>
      <c r="G472" s="28">
        <v>300.74</v>
      </c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28.5" hidden="1" customHeight="1">
      <c r="A473" s="9"/>
      <c r="B473" s="29"/>
      <c r="C473" s="29"/>
      <c r="D473" s="29"/>
      <c r="E473" s="13" t="s">
        <v>287</v>
      </c>
      <c r="F473" s="13"/>
      <c r="G473" s="30">
        <v>0</v>
      </c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5.75" hidden="1" customHeight="1">
      <c r="A474" s="9"/>
      <c r="B474" s="17">
        <v>45712</v>
      </c>
      <c r="C474" s="18">
        <v>0</v>
      </c>
      <c r="D474" s="18">
        <v>13105</v>
      </c>
      <c r="E474" s="19" t="s">
        <v>80</v>
      </c>
      <c r="F474" s="20">
        <v>22401</v>
      </c>
      <c r="G474" s="31">
        <v>194.72</v>
      </c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5.75" hidden="1" customHeight="1">
      <c r="A475" s="9"/>
      <c r="B475" s="23"/>
      <c r="C475" s="23"/>
      <c r="D475" s="23"/>
      <c r="E475" s="24" t="s">
        <v>81</v>
      </c>
      <c r="F475" s="24"/>
      <c r="G475" s="25">
        <v>0</v>
      </c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5.75" hidden="1" customHeight="1">
      <c r="A476" s="9"/>
      <c r="B476" s="11">
        <v>45712</v>
      </c>
      <c r="C476" s="12">
        <v>0</v>
      </c>
      <c r="D476" s="12">
        <v>13105</v>
      </c>
      <c r="E476" s="26" t="s">
        <v>31</v>
      </c>
      <c r="F476" s="27">
        <v>22402</v>
      </c>
      <c r="G476" s="28">
        <v>666.72</v>
      </c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5.75" hidden="1" customHeight="1">
      <c r="A477" s="9"/>
      <c r="B477" s="29"/>
      <c r="C477" s="29"/>
      <c r="D477" s="29"/>
      <c r="E477" s="13" t="s">
        <v>36</v>
      </c>
      <c r="F477" s="13"/>
      <c r="G477" s="30">
        <v>0</v>
      </c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5.75" hidden="1" customHeight="1">
      <c r="A478" s="9"/>
      <c r="B478" s="17">
        <v>45712</v>
      </c>
      <c r="C478" s="18">
        <v>0</v>
      </c>
      <c r="D478" s="18">
        <v>13105</v>
      </c>
      <c r="E478" s="19" t="s">
        <v>34</v>
      </c>
      <c r="F478" s="20">
        <v>22403</v>
      </c>
      <c r="G478" s="31">
        <v>121.12</v>
      </c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.75" hidden="1" customHeight="1">
      <c r="A479" s="9"/>
      <c r="B479" s="23"/>
      <c r="C479" s="23"/>
      <c r="D479" s="23"/>
      <c r="E479" s="24" t="s">
        <v>288</v>
      </c>
      <c r="F479" s="24"/>
      <c r="G479" s="25">
        <v>0</v>
      </c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.75" hidden="1" customHeight="1">
      <c r="A480" s="9"/>
      <c r="B480" s="11">
        <v>45712</v>
      </c>
      <c r="C480" s="12">
        <v>0</v>
      </c>
      <c r="D480" s="12">
        <v>13105</v>
      </c>
      <c r="E480" s="26" t="s">
        <v>31</v>
      </c>
      <c r="F480" s="27">
        <v>22404</v>
      </c>
      <c r="G480" s="28">
        <v>319.43</v>
      </c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.75" hidden="1" customHeight="1">
      <c r="A481" s="9"/>
      <c r="B481" s="29"/>
      <c r="C481" s="29"/>
      <c r="D481" s="29"/>
      <c r="E481" s="13" t="s">
        <v>231</v>
      </c>
      <c r="F481" s="13"/>
      <c r="G481" s="30">
        <v>0</v>
      </c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.75" hidden="1" customHeight="1">
      <c r="A482" s="9"/>
      <c r="B482" s="17">
        <v>45712</v>
      </c>
      <c r="C482" s="18">
        <v>0</v>
      </c>
      <c r="D482" s="18">
        <v>13105</v>
      </c>
      <c r="E482" s="19" t="s">
        <v>31</v>
      </c>
      <c r="F482" s="20">
        <v>22405</v>
      </c>
      <c r="G482" s="31">
        <v>1058.8699999999999</v>
      </c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5.75" hidden="1" customHeight="1">
      <c r="A483" s="9"/>
      <c r="B483" s="23"/>
      <c r="C483" s="23"/>
      <c r="D483" s="23"/>
      <c r="E483" s="24" t="s">
        <v>46</v>
      </c>
      <c r="F483" s="24"/>
      <c r="G483" s="25">
        <v>0</v>
      </c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.75" hidden="1" customHeight="1">
      <c r="A484" s="9"/>
      <c r="B484" s="11">
        <v>45712</v>
      </c>
      <c r="C484" s="12">
        <v>0</v>
      </c>
      <c r="D484" s="12">
        <v>13105</v>
      </c>
      <c r="E484" s="26" t="s">
        <v>31</v>
      </c>
      <c r="F484" s="27">
        <v>22406</v>
      </c>
      <c r="G484" s="28">
        <v>387.71</v>
      </c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5.75" hidden="1" customHeight="1">
      <c r="A485" s="9"/>
      <c r="B485" s="29"/>
      <c r="C485" s="29"/>
      <c r="D485" s="29"/>
      <c r="E485" s="13" t="s">
        <v>165</v>
      </c>
      <c r="F485" s="13"/>
      <c r="G485" s="30">
        <v>0</v>
      </c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.75" hidden="1" customHeight="1">
      <c r="A486" s="9"/>
      <c r="B486" s="17">
        <v>45712</v>
      </c>
      <c r="C486" s="18">
        <v>0</v>
      </c>
      <c r="D486" s="18">
        <v>13105</v>
      </c>
      <c r="E486" s="19" t="s">
        <v>31</v>
      </c>
      <c r="F486" s="20">
        <v>22407</v>
      </c>
      <c r="G486" s="31">
        <v>358.68</v>
      </c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28.5" hidden="1" customHeight="1">
      <c r="A487" s="9"/>
      <c r="B487" s="23"/>
      <c r="C487" s="23"/>
      <c r="D487" s="23"/>
      <c r="E487" s="24" t="s">
        <v>45</v>
      </c>
      <c r="F487" s="24"/>
      <c r="G487" s="25">
        <v>0</v>
      </c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.75" hidden="1" customHeight="1">
      <c r="A488" s="9"/>
      <c r="B488" s="11">
        <v>45712</v>
      </c>
      <c r="C488" s="12">
        <v>0</v>
      </c>
      <c r="D488" s="12">
        <v>13105</v>
      </c>
      <c r="E488" s="26" t="s">
        <v>31</v>
      </c>
      <c r="F488" s="27">
        <v>22408</v>
      </c>
      <c r="G488" s="28">
        <v>210.68</v>
      </c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28.5" hidden="1" customHeight="1">
      <c r="A489" s="9"/>
      <c r="B489" s="29"/>
      <c r="C489" s="29"/>
      <c r="D489" s="29"/>
      <c r="E489" s="13" t="s">
        <v>45</v>
      </c>
      <c r="F489" s="13"/>
      <c r="G489" s="30">
        <v>0</v>
      </c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.75" hidden="1" customHeight="1">
      <c r="A490" s="9"/>
      <c r="B490" s="17">
        <v>45712</v>
      </c>
      <c r="C490" s="18">
        <v>0</v>
      </c>
      <c r="D490" s="18">
        <v>13105</v>
      </c>
      <c r="E490" s="19" t="s">
        <v>31</v>
      </c>
      <c r="F490" s="20">
        <v>22409</v>
      </c>
      <c r="G490" s="31">
        <v>251.91</v>
      </c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28.5" hidden="1" customHeight="1">
      <c r="A491" s="9"/>
      <c r="B491" s="23"/>
      <c r="C491" s="23"/>
      <c r="D491" s="23"/>
      <c r="E491" s="24" t="s">
        <v>45</v>
      </c>
      <c r="F491" s="24"/>
      <c r="G491" s="25">
        <v>0</v>
      </c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.75" hidden="1" customHeight="1">
      <c r="A492" s="9"/>
      <c r="B492" s="11">
        <v>45712</v>
      </c>
      <c r="C492" s="12">
        <v>0</v>
      </c>
      <c r="D492" s="12">
        <v>13105</v>
      </c>
      <c r="E492" s="26" t="s">
        <v>31</v>
      </c>
      <c r="F492" s="27">
        <v>22410</v>
      </c>
      <c r="G492" s="28">
        <v>151.27000000000001</v>
      </c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28.5" hidden="1" customHeight="1">
      <c r="A493" s="9"/>
      <c r="B493" s="29"/>
      <c r="C493" s="29"/>
      <c r="D493" s="29"/>
      <c r="E493" s="13" t="s">
        <v>223</v>
      </c>
      <c r="F493" s="13"/>
      <c r="G493" s="30">
        <v>0</v>
      </c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.75" hidden="1" customHeight="1">
      <c r="A494" s="9"/>
      <c r="B494" s="17">
        <v>45712</v>
      </c>
      <c r="C494" s="18">
        <v>0</v>
      </c>
      <c r="D494" s="18">
        <v>13105</v>
      </c>
      <c r="E494" s="19" t="s">
        <v>31</v>
      </c>
      <c r="F494" s="20">
        <v>22411</v>
      </c>
      <c r="G494" s="31">
        <v>175.74</v>
      </c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28.5" hidden="1" customHeight="1">
      <c r="A495" s="9"/>
      <c r="B495" s="23"/>
      <c r="C495" s="23"/>
      <c r="D495" s="23"/>
      <c r="E495" s="24" t="s">
        <v>289</v>
      </c>
      <c r="F495" s="24"/>
      <c r="G495" s="25">
        <v>0</v>
      </c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.75" hidden="1" customHeight="1">
      <c r="A496" s="9"/>
      <c r="B496" s="11">
        <v>45712</v>
      </c>
      <c r="C496" s="12">
        <v>0</v>
      </c>
      <c r="D496" s="12">
        <v>13105</v>
      </c>
      <c r="E496" s="26" t="s">
        <v>31</v>
      </c>
      <c r="F496" s="27">
        <v>22412</v>
      </c>
      <c r="G496" s="28">
        <v>429.41</v>
      </c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5.75" hidden="1" customHeight="1">
      <c r="A497" s="9"/>
      <c r="B497" s="29"/>
      <c r="C497" s="29"/>
      <c r="D497" s="29"/>
      <c r="E497" s="13" t="s">
        <v>201</v>
      </c>
      <c r="F497" s="13"/>
      <c r="G497" s="30">
        <v>0</v>
      </c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.75" hidden="1" customHeight="1">
      <c r="A498" s="9"/>
      <c r="B498" s="17">
        <v>45712</v>
      </c>
      <c r="C498" s="18">
        <v>0</v>
      </c>
      <c r="D498" s="18">
        <v>13105</v>
      </c>
      <c r="E498" s="19" t="s">
        <v>31</v>
      </c>
      <c r="F498" s="20">
        <v>22413</v>
      </c>
      <c r="G498" s="31">
        <v>2758.67</v>
      </c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28.5" hidden="1" customHeight="1">
      <c r="A499" s="9"/>
      <c r="B499" s="23"/>
      <c r="C499" s="23"/>
      <c r="D499" s="23"/>
      <c r="E499" s="24" t="s">
        <v>32</v>
      </c>
      <c r="F499" s="24"/>
      <c r="G499" s="25">
        <v>0</v>
      </c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.75" hidden="1" customHeight="1">
      <c r="A500" s="9"/>
      <c r="B500" s="11">
        <v>45712</v>
      </c>
      <c r="C500" s="12">
        <v>0</v>
      </c>
      <c r="D500" s="12">
        <v>13105</v>
      </c>
      <c r="E500" s="26" t="s">
        <v>31</v>
      </c>
      <c r="F500" s="27">
        <v>22414</v>
      </c>
      <c r="G500" s="28">
        <v>1159.33</v>
      </c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.75" hidden="1" customHeight="1">
      <c r="A501" s="9"/>
      <c r="B501" s="29"/>
      <c r="C501" s="29"/>
      <c r="D501" s="29"/>
      <c r="E501" s="13" t="s">
        <v>66</v>
      </c>
      <c r="F501" s="13"/>
      <c r="G501" s="30">
        <v>0</v>
      </c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.75" hidden="1" customHeight="1">
      <c r="A502" s="9"/>
      <c r="B502" s="17">
        <v>45712</v>
      </c>
      <c r="C502" s="18">
        <v>0</v>
      </c>
      <c r="D502" s="18">
        <v>0</v>
      </c>
      <c r="E502" s="19" t="s">
        <v>59</v>
      </c>
      <c r="F502" s="20">
        <v>9903</v>
      </c>
      <c r="G502" s="31">
        <v>3514.85</v>
      </c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.75" hidden="1" customHeight="1">
      <c r="A503" s="9"/>
      <c r="B503" s="23"/>
      <c r="C503" s="23"/>
      <c r="D503" s="23"/>
      <c r="E503" s="24" t="s">
        <v>53</v>
      </c>
      <c r="F503" s="24"/>
      <c r="G503" s="25">
        <v>0</v>
      </c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.75" hidden="1" customHeight="1">
      <c r="A504" s="9"/>
      <c r="B504" s="11">
        <v>45713</v>
      </c>
      <c r="C504" s="12">
        <v>0</v>
      </c>
      <c r="D504" s="12">
        <v>14175</v>
      </c>
      <c r="E504" s="26" t="s">
        <v>62</v>
      </c>
      <c r="F504" s="27">
        <v>371342444</v>
      </c>
      <c r="G504" s="15">
        <v>37500</v>
      </c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28.5" hidden="1" customHeight="1">
      <c r="A505" s="9"/>
      <c r="B505" s="29"/>
      <c r="C505" s="29"/>
      <c r="D505" s="29"/>
      <c r="E505" s="13" t="s">
        <v>290</v>
      </c>
      <c r="F505" s="13"/>
      <c r="G505" s="30">
        <v>0</v>
      </c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25.5" customHeight="1">
      <c r="A506" s="9"/>
      <c r="B506" s="17">
        <v>45713</v>
      </c>
      <c r="C506" s="18">
        <v>0</v>
      </c>
      <c r="D506" s="18">
        <v>14056</v>
      </c>
      <c r="E506" s="19" t="s">
        <v>257</v>
      </c>
      <c r="F506" s="20">
        <v>734930000000</v>
      </c>
      <c r="G506" s="21">
        <v>195.83</v>
      </c>
      <c r="H506" s="9" t="s">
        <v>291</v>
      </c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28.5" hidden="1" customHeight="1">
      <c r="A507" s="9"/>
      <c r="B507" s="23"/>
      <c r="C507" s="23"/>
      <c r="D507" s="23"/>
      <c r="E507" s="24" t="s">
        <v>292</v>
      </c>
      <c r="F507" s="24"/>
      <c r="G507" s="25">
        <v>0</v>
      </c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.75" customHeight="1">
      <c r="A508" s="33" t="s">
        <v>140</v>
      </c>
      <c r="B508" s="34">
        <v>45713</v>
      </c>
      <c r="C508" s="35">
        <v>0</v>
      </c>
      <c r="D508" s="35">
        <v>14138</v>
      </c>
      <c r="E508" s="36" t="s">
        <v>141</v>
      </c>
      <c r="F508" s="37">
        <v>202502240000278</v>
      </c>
      <c r="G508" s="38">
        <v>77.75</v>
      </c>
      <c r="H508" s="57" t="s">
        <v>293</v>
      </c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.75" hidden="1" customHeight="1">
      <c r="A509" s="9"/>
      <c r="B509" s="29"/>
      <c r="C509" s="29"/>
      <c r="D509" s="29"/>
      <c r="E509" s="13" t="s">
        <v>143</v>
      </c>
      <c r="F509" s="13"/>
      <c r="G509" s="30">
        <v>0</v>
      </c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.75" customHeight="1">
      <c r="A510" s="33" t="s">
        <v>140</v>
      </c>
      <c r="B510" s="41">
        <v>45713</v>
      </c>
      <c r="C510" s="42">
        <v>0</v>
      </c>
      <c r="D510" s="42">
        <v>14138</v>
      </c>
      <c r="E510" s="43" t="s">
        <v>141</v>
      </c>
      <c r="F510" s="44">
        <v>202502240000280</v>
      </c>
      <c r="G510" s="45">
        <v>338.92</v>
      </c>
      <c r="H510" s="57" t="s">
        <v>294</v>
      </c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.75" hidden="1" customHeight="1">
      <c r="A511" s="9"/>
      <c r="B511" s="23"/>
      <c r="C511" s="23"/>
      <c r="D511" s="23"/>
      <c r="E511" s="24" t="s">
        <v>143</v>
      </c>
      <c r="F511" s="24"/>
      <c r="G511" s="25">
        <v>0</v>
      </c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.75" customHeight="1">
      <c r="A512" s="33" t="s">
        <v>140</v>
      </c>
      <c r="B512" s="34">
        <v>45713</v>
      </c>
      <c r="C512" s="35">
        <v>0</v>
      </c>
      <c r="D512" s="35">
        <v>14138</v>
      </c>
      <c r="E512" s="36" t="s">
        <v>141</v>
      </c>
      <c r="F512" s="37">
        <v>202502240000283</v>
      </c>
      <c r="G512" s="38">
        <v>343.2</v>
      </c>
      <c r="H512" s="47" t="s">
        <v>295</v>
      </c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.75" hidden="1" customHeight="1">
      <c r="A513" s="9"/>
      <c r="B513" s="29"/>
      <c r="C513" s="29"/>
      <c r="D513" s="29"/>
      <c r="E513" s="13" t="s">
        <v>143</v>
      </c>
      <c r="F513" s="13"/>
      <c r="G513" s="30">
        <v>0</v>
      </c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.75" customHeight="1">
      <c r="A514" s="33" t="s">
        <v>140</v>
      </c>
      <c r="B514" s="41">
        <v>45713</v>
      </c>
      <c r="C514" s="42">
        <v>0</v>
      </c>
      <c r="D514" s="42">
        <v>14138</v>
      </c>
      <c r="E514" s="43" t="s">
        <v>141</v>
      </c>
      <c r="F514" s="44">
        <v>202502240138777</v>
      </c>
      <c r="G514" s="45">
        <v>1668.08</v>
      </c>
      <c r="H514" s="47" t="s">
        <v>296</v>
      </c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.75" customHeight="1">
      <c r="A515" s="49" t="s">
        <v>140</v>
      </c>
      <c r="B515" s="34">
        <v>45713</v>
      </c>
      <c r="C515" s="35">
        <v>0</v>
      </c>
      <c r="D515" s="35">
        <v>14138</v>
      </c>
      <c r="E515" s="36" t="s">
        <v>141</v>
      </c>
      <c r="F515" s="37">
        <v>202502240138778</v>
      </c>
      <c r="G515" s="38">
        <v>2578.21</v>
      </c>
      <c r="H515" s="57" t="s">
        <v>297</v>
      </c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.75" hidden="1" customHeight="1">
      <c r="A516" s="9"/>
      <c r="B516" s="29"/>
      <c r="C516" s="29"/>
      <c r="D516" s="29"/>
      <c r="E516" s="13" t="s">
        <v>143</v>
      </c>
      <c r="F516" s="13"/>
      <c r="G516" s="30">
        <v>0</v>
      </c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.75" hidden="1" customHeight="1">
      <c r="A517" s="9"/>
      <c r="B517" s="17">
        <v>45713</v>
      </c>
      <c r="C517" s="18">
        <v>0</v>
      </c>
      <c r="D517" s="18">
        <v>14397</v>
      </c>
      <c r="E517" s="19" t="s">
        <v>57</v>
      </c>
      <c r="F517" s="20">
        <v>251038155325042</v>
      </c>
      <c r="G517" s="21">
        <v>292.7</v>
      </c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28.5" hidden="1" customHeight="1">
      <c r="A518" s="9"/>
      <c r="B518" s="23"/>
      <c r="C518" s="23"/>
      <c r="D518" s="23"/>
      <c r="E518" s="24" t="s">
        <v>298</v>
      </c>
      <c r="F518" s="24"/>
      <c r="G518" s="25">
        <v>0</v>
      </c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.75" hidden="1" customHeight="1">
      <c r="A519" s="9"/>
      <c r="B519" s="11">
        <v>45713</v>
      </c>
      <c r="C519" s="12">
        <v>0</v>
      </c>
      <c r="D519" s="12">
        <v>14397</v>
      </c>
      <c r="E519" s="26" t="s">
        <v>57</v>
      </c>
      <c r="F519" s="27">
        <v>404904382455161</v>
      </c>
      <c r="G519" s="15">
        <v>364.3</v>
      </c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28.5" hidden="1" customHeight="1">
      <c r="A520" s="9"/>
      <c r="B520" s="29"/>
      <c r="C520" s="29"/>
      <c r="D520" s="29"/>
      <c r="E520" s="13" t="s">
        <v>299</v>
      </c>
      <c r="F520" s="13"/>
      <c r="G520" s="30">
        <v>0</v>
      </c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.75" hidden="1" customHeight="1">
      <c r="A521" s="9"/>
      <c r="B521" s="17">
        <v>45713</v>
      </c>
      <c r="C521" s="18">
        <v>1533</v>
      </c>
      <c r="D521" s="18">
        <v>99015</v>
      </c>
      <c r="E521" s="19" t="s">
        <v>195</v>
      </c>
      <c r="F521" s="20">
        <v>552878000021801</v>
      </c>
      <c r="G521" s="31">
        <v>31462.5</v>
      </c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28.5" hidden="1" customHeight="1">
      <c r="A522" s="9"/>
      <c r="B522" s="23"/>
      <c r="C522" s="23"/>
      <c r="D522" s="23"/>
      <c r="E522" s="24" t="s">
        <v>300</v>
      </c>
      <c r="F522" s="24"/>
      <c r="G522" s="25">
        <v>0</v>
      </c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.75" hidden="1" customHeight="1">
      <c r="A523" s="9"/>
      <c r="B523" s="11">
        <v>45713</v>
      </c>
      <c r="C523" s="12">
        <v>0</v>
      </c>
      <c r="D523" s="12">
        <v>13105</v>
      </c>
      <c r="E523" s="26" t="s">
        <v>80</v>
      </c>
      <c r="F523" s="27">
        <v>22501</v>
      </c>
      <c r="G523" s="28">
        <v>7033.45</v>
      </c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.75" hidden="1" customHeight="1">
      <c r="A524" s="9"/>
      <c r="B524" s="29"/>
      <c r="C524" s="29"/>
      <c r="D524" s="29"/>
      <c r="E524" s="13" t="s">
        <v>154</v>
      </c>
      <c r="F524" s="13"/>
      <c r="G524" s="30">
        <v>0</v>
      </c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.75" hidden="1" customHeight="1">
      <c r="A525" s="9"/>
      <c r="B525" s="17">
        <v>45713</v>
      </c>
      <c r="C525" s="18">
        <v>0</v>
      </c>
      <c r="D525" s="18">
        <v>13105</v>
      </c>
      <c r="E525" s="19" t="s">
        <v>80</v>
      </c>
      <c r="F525" s="20">
        <v>22502</v>
      </c>
      <c r="G525" s="31">
        <v>1523.92</v>
      </c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.75" hidden="1" customHeight="1">
      <c r="A526" s="9"/>
      <c r="B526" s="23"/>
      <c r="C526" s="23"/>
      <c r="D526" s="23"/>
      <c r="E526" s="24" t="s">
        <v>154</v>
      </c>
      <c r="F526" s="24"/>
      <c r="G526" s="25">
        <v>0</v>
      </c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.75" hidden="1" customHeight="1">
      <c r="A527" s="9"/>
      <c r="B527" s="11">
        <v>45713</v>
      </c>
      <c r="C527" s="12">
        <v>0</v>
      </c>
      <c r="D527" s="12">
        <v>13105</v>
      </c>
      <c r="E527" s="26" t="s">
        <v>80</v>
      </c>
      <c r="F527" s="27">
        <v>22503</v>
      </c>
      <c r="G527" s="28">
        <v>978.42</v>
      </c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.75" hidden="1" customHeight="1">
      <c r="A528" s="9"/>
      <c r="B528" s="29"/>
      <c r="C528" s="29"/>
      <c r="D528" s="29"/>
      <c r="E528" s="13" t="s">
        <v>81</v>
      </c>
      <c r="F528" s="13"/>
      <c r="G528" s="30">
        <v>0</v>
      </c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.75" hidden="1" customHeight="1">
      <c r="A529" s="9"/>
      <c r="B529" s="17">
        <v>45713</v>
      </c>
      <c r="C529" s="18">
        <v>0</v>
      </c>
      <c r="D529" s="18">
        <v>13105</v>
      </c>
      <c r="E529" s="19" t="s">
        <v>31</v>
      </c>
      <c r="F529" s="20">
        <v>22504</v>
      </c>
      <c r="G529" s="31">
        <v>293.33</v>
      </c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28.5" hidden="1" customHeight="1">
      <c r="A530" s="9"/>
      <c r="B530" s="23"/>
      <c r="C530" s="23"/>
      <c r="D530" s="23"/>
      <c r="E530" s="24" t="s">
        <v>41</v>
      </c>
      <c r="F530" s="24"/>
      <c r="G530" s="25">
        <v>0</v>
      </c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.75" hidden="1" customHeight="1">
      <c r="A531" s="9"/>
      <c r="B531" s="11">
        <v>45713</v>
      </c>
      <c r="C531" s="12">
        <v>0</v>
      </c>
      <c r="D531" s="12">
        <v>13105</v>
      </c>
      <c r="E531" s="26" t="s">
        <v>31</v>
      </c>
      <c r="F531" s="27">
        <v>22505</v>
      </c>
      <c r="G531" s="28">
        <v>960</v>
      </c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.75" hidden="1" customHeight="1">
      <c r="A532" s="9"/>
      <c r="B532" s="29"/>
      <c r="C532" s="29"/>
      <c r="D532" s="29"/>
      <c r="E532" s="13" t="s">
        <v>85</v>
      </c>
      <c r="F532" s="13"/>
      <c r="G532" s="30">
        <v>0</v>
      </c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.75" hidden="1" customHeight="1">
      <c r="A533" s="9"/>
      <c r="B533" s="17">
        <v>45713</v>
      </c>
      <c r="C533" s="18">
        <v>0</v>
      </c>
      <c r="D533" s="18">
        <v>13105</v>
      </c>
      <c r="E533" s="19" t="s">
        <v>31</v>
      </c>
      <c r="F533" s="20">
        <v>22506</v>
      </c>
      <c r="G533" s="31">
        <v>667.99</v>
      </c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.75" hidden="1" customHeight="1">
      <c r="A534" s="9"/>
      <c r="B534" s="23"/>
      <c r="C534" s="23"/>
      <c r="D534" s="23"/>
      <c r="E534" s="24" t="s">
        <v>46</v>
      </c>
      <c r="F534" s="24"/>
      <c r="G534" s="25">
        <v>0</v>
      </c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.75" hidden="1" customHeight="1">
      <c r="A535" s="9"/>
      <c r="B535" s="11">
        <v>45713</v>
      </c>
      <c r="C535" s="12">
        <v>0</v>
      </c>
      <c r="D535" s="12">
        <v>13105</v>
      </c>
      <c r="E535" s="26" t="s">
        <v>31</v>
      </c>
      <c r="F535" s="27">
        <v>22507</v>
      </c>
      <c r="G535" s="28">
        <v>654.44000000000005</v>
      </c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.75" hidden="1" customHeight="1">
      <c r="A536" s="9"/>
      <c r="B536" s="29"/>
      <c r="C536" s="29"/>
      <c r="D536" s="29"/>
      <c r="E536" s="13" t="s">
        <v>46</v>
      </c>
      <c r="F536" s="13"/>
      <c r="G536" s="30">
        <v>0</v>
      </c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.75" hidden="1" customHeight="1">
      <c r="A537" s="9"/>
      <c r="B537" s="17">
        <v>45713</v>
      </c>
      <c r="C537" s="18">
        <v>0</v>
      </c>
      <c r="D537" s="18">
        <v>13105</v>
      </c>
      <c r="E537" s="19" t="s">
        <v>31</v>
      </c>
      <c r="F537" s="20">
        <v>22508</v>
      </c>
      <c r="G537" s="31">
        <v>235.65</v>
      </c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.75" hidden="1" customHeight="1">
      <c r="A538" s="9"/>
      <c r="B538" s="23"/>
      <c r="C538" s="23"/>
      <c r="D538" s="23"/>
      <c r="E538" s="24" t="s">
        <v>247</v>
      </c>
      <c r="F538" s="24"/>
      <c r="G538" s="25">
        <v>0</v>
      </c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.75" hidden="1" customHeight="1">
      <c r="A539" s="9"/>
      <c r="B539" s="11">
        <v>45713</v>
      </c>
      <c r="C539" s="12">
        <v>0</v>
      </c>
      <c r="D539" s="12">
        <v>13105</v>
      </c>
      <c r="E539" s="26" t="s">
        <v>31</v>
      </c>
      <c r="F539" s="27">
        <v>22509</v>
      </c>
      <c r="G539" s="28">
        <v>283.45999999999998</v>
      </c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28.5" hidden="1" customHeight="1">
      <c r="A540" s="9"/>
      <c r="B540" s="29"/>
      <c r="C540" s="29"/>
      <c r="D540" s="29"/>
      <c r="E540" s="13" t="s">
        <v>45</v>
      </c>
      <c r="F540" s="13"/>
      <c r="G540" s="30">
        <v>0</v>
      </c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.75" hidden="1" customHeight="1">
      <c r="A541" s="9"/>
      <c r="B541" s="17">
        <v>45713</v>
      </c>
      <c r="C541" s="18">
        <v>0</v>
      </c>
      <c r="D541" s="18">
        <v>0</v>
      </c>
      <c r="E541" s="19" t="s">
        <v>52</v>
      </c>
      <c r="F541" s="20">
        <v>9903</v>
      </c>
      <c r="G541" s="21">
        <v>734.17</v>
      </c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.75" hidden="1" customHeight="1">
      <c r="A542" s="9"/>
      <c r="B542" s="23"/>
      <c r="C542" s="23"/>
      <c r="D542" s="23"/>
      <c r="E542" s="24" t="s">
        <v>53</v>
      </c>
      <c r="F542" s="24"/>
      <c r="G542" s="25">
        <v>0</v>
      </c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9.5" hidden="1" customHeight="1">
      <c r="A543" s="9"/>
      <c r="B543" s="11">
        <v>45714</v>
      </c>
      <c r="C543" s="12">
        <v>0</v>
      </c>
      <c r="D543" s="12">
        <v>14175</v>
      </c>
      <c r="E543" s="26" t="s">
        <v>62</v>
      </c>
      <c r="F543" s="27">
        <v>33637716</v>
      </c>
      <c r="G543" s="15">
        <v>11424</v>
      </c>
      <c r="H543" s="9" t="s">
        <v>102</v>
      </c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28.5" hidden="1" customHeight="1">
      <c r="A544" s="9"/>
      <c r="B544" s="29"/>
      <c r="C544" s="29"/>
      <c r="D544" s="29"/>
      <c r="E544" s="13" t="s">
        <v>301</v>
      </c>
      <c r="F544" s="13"/>
      <c r="G544" s="30">
        <v>0</v>
      </c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.75" hidden="1" customHeight="1">
      <c r="A545" s="9"/>
      <c r="B545" s="17">
        <v>45714</v>
      </c>
      <c r="C545" s="18">
        <v>0</v>
      </c>
      <c r="D545" s="18">
        <v>14397</v>
      </c>
      <c r="E545" s="19" t="s">
        <v>57</v>
      </c>
      <c r="F545" s="20">
        <v>261624137716372</v>
      </c>
      <c r="G545" s="21">
        <v>656.35</v>
      </c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28.5" hidden="1" customHeight="1">
      <c r="A546" s="9"/>
      <c r="B546" s="23"/>
      <c r="C546" s="23"/>
      <c r="D546" s="23"/>
      <c r="E546" s="24" t="s">
        <v>302</v>
      </c>
      <c r="F546" s="24"/>
      <c r="G546" s="25">
        <v>0</v>
      </c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.75" hidden="1" customHeight="1">
      <c r="A547" s="9"/>
      <c r="B547" s="11">
        <v>45714</v>
      </c>
      <c r="C547" s="12">
        <v>0</v>
      </c>
      <c r="D547" s="12">
        <v>13105</v>
      </c>
      <c r="E547" s="26" t="s">
        <v>80</v>
      </c>
      <c r="F547" s="27">
        <v>22601</v>
      </c>
      <c r="G547" s="28">
        <v>4503.68</v>
      </c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.75" hidden="1" customHeight="1">
      <c r="A548" s="9"/>
      <c r="B548" s="29"/>
      <c r="C548" s="29"/>
      <c r="D548" s="29"/>
      <c r="E548" s="13" t="s">
        <v>172</v>
      </c>
      <c r="F548" s="13"/>
      <c r="G548" s="30">
        <v>0</v>
      </c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.75" hidden="1" customHeight="1">
      <c r="A549" s="9"/>
      <c r="B549" s="17">
        <v>45714</v>
      </c>
      <c r="C549" s="18">
        <v>0</v>
      </c>
      <c r="D549" s="18">
        <v>13105</v>
      </c>
      <c r="E549" s="19" t="s">
        <v>31</v>
      </c>
      <c r="F549" s="20">
        <v>22602</v>
      </c>
      <c r="G549" s="31">
        <v>5956.99</v>
      </c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28.5" hidden="1" customHeight="1">
      <c r="A550" s="9"/>
      <c r="B550" s="23"/>
      <c r="C550" s="23"/>
      <c r="D550" s="23"/>
      <c r="E550" s="24" t="s">
        <v>95</v>
      </c>
      <c r="F550" s="24"/>
      <c r="G550" s="25">
        <v>0</v>
      </c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.75" hidden="1" customHeight="1">
      <c r="A551" s="9"/>
      <c r="B551" s="11">
        <v>45714</v>
      </c>
      <c r="C551" s="12">
        <v>0</v>
      </c>
      <c r="D551" s="12">
        <v>13105</v>
      </c>
      <c r="E551" s="26" t="s">
        <v>31</v>
      </c>
      <c r="F551" s="27">
        <v>22603</v>
      </c>
      <c r="G551" s="28">
        <v>1189.67</v>
      </c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.75" hidden="1" customHeight="1">
      <c r="A552" s="9"/>
      <c r="B552" s="29"/>
      <c r="C552" s="29"/>
      <c r="D552" s="29"/>
      <c r="E552" s="13" t="s">
        <v>46</v>
      </c>
      <c r="F552" s="13"/>
      <c r="G552" s="30">
        <v>0</v>
      </c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.75" hidden="1" customHeight="1">
      <c r="A553" s="9"/>
      <c r="B553" s="17">
        <v>45714</v>
      </c>
      <c r="C553" s="18">
        <v>0</v>
      </c>
      <c r="D553" s="18">
        <v>13105</v>
      </c>
      <c r="E553" s="19" t="s">
        <v>31</v>
      </c>
      <c r="F553" s="20">
        <v>22604</v>
      </c>
      <c r="G553" s="31">
        <v>131.88</v>
      </c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.75" hidden="1" customHeight="1">
      <c r="A554" s="9"/>
      <c r="B554" s="23"/>
      <c r="C554" s="23"/>
      <c r="D554" s="23"/>
      <c r="E554" s="24" t="s">
        <v>46</v>
      </c>
      <c r="F554" s="24"/>
      <c r="G554" s="25">
        <v>0</v>
      </c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.75" hidden="1" customHeight="1">
      <c r="A555" s="9"/>
      <c r="B555" s="11">
        <v>45714</v>
      </c>
      <c r="C555" s="12">
        <v>0</v>
      </c>
      <c r="D555" s="12">
        <v>13105</v>
      </c>
      <c r="E555" s="26" t="s">
        <v>31</v>
      </c>
      <c r="F555" s="27">
        <v>22605</v>
      </c>
      <c r="G555" s="28">
        <v>642.49</v>
      </c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.75" hidden="1" customHeight="1">
      <c r="A556" s="9"/>
      <c r="B556" s="29"/>
      <c r="C556" s="29"/>
      <c r="D556" s="29"/>
      <c r="E556" s="13" t="s">
        <v>44</v>
      </c>
      <c r="F556" s="13"/>
      <c r="G556" s="30">
        <v>0</v>
      </c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.75" hidden="1" customHeight="1">
      <c r="A557" s="9"/>
      <c r="B557" s="17">
        <v>45714</v>
      </c>
      <c r="C557" s="18">
        <v>0</v>
      </c>
      <c r="D557" s="18">
        <v>13105</v>
      </c>
      <c r="E557" s="19" t="s">
        <v>31</v>
      </c>
      <c r="F557" s="20">
        <v>22606</v>
      </c>
      <c r="G557" s="31">
        <v>315.10000000000002</v>
      </c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.75" hidden="1" customHeight="1">
      <c r="A558" s="9"/>
      <c r="B558" s="23"/>
      <c r="C558" s="23"/>
      <c r="D558" s="23"/>
      <c r="E558" s="24" t="s">
        <v>51</v>
      </c>
      <c r="F558" s="24"/>
      <c r="G558" s="25">
        <v>0</v>
      </c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.75" hidden="1" customHeight="1">
      <c r="A559" s="9"/>
      <c r="B559" s="11">
        <v>45714</v>
      </c>
      <c r="C559" s="12">
        <v>0</v>
      </c>
      <c r="D559" s="12">
        <v>0</v>
      </c>
      <c r="E559" s="26" t="s">
        <v>52</v>
      </c>
      <c r="F559" s="27">
        <v>9903</v>
      </c>
      <c r="G559" s="15">
        <v>659.46</v>
      </c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.75" hidden="1" customHeight="1">
      <c r="A560" s="9"/>
      <c r="B560" s="29"/>
      <c r="C560" s="29"/>
      <c r="D560" s="29"/>
      <c r="E560" s="13" t="s">
        <v>53</v>
      </c>
      <c r="F560" s="13"/>
      <c r="G560" s="30">
        <v>0</v>
      </c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9.5" customHeight="1">
      <c r="A561" s="9"/>
      <c r="B561" s="17">
        <v>45715</v>
      </c>
      <c r="C561" s="18">
        <v>0</v>
      </c>
      <c r="D561" s="18">
        <v>14056</v>
      </c>
      <c r="E561" s="19" t="s">
        <v>257</v>
      </c>
      <c r="F561" s="20">
        <v>765583000000</v>
      </c>
      <c r="G561" s="21">
        <v>6153.1</v>
      </c>
      <c r="H561" s="9" t="s">
        <v>291</v>
      </c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28.5" hidden="1" customHeight="1">
      <c r="A562" s="9"/>
      <c r="B562" s="23"/>
      <c r="C562" s="23"/>
      <c r="D562" s="23"/>
      <c r="E562" s="24" t="s">
        <v>259</v>
      </c>
      <c r="F562" s="24"/>
      <c r="G562" s="25">
        <v>0</v>
      </c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.75" hidden="1" customHeight="1">
      <c r="A563" s="9"/>
      <c r="B563" s="11">
        <v>45715</v>
      </c>
      <c r="C563" s="12">
        <v>1533</v>
      </c>
      <c r="D563" s="12">
        <v>99008</v>
      </c>
      <c r="E563" s="26" t="s">
        <v>29</v>
      </c>
      <c r="F563" s="27">
        <v>154031</v>
      </c>
      <c r="G563" s="28">
        <v>765.23</v>
      </c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.75" hidden="1" customHeight="1">
      <c r="A564" s="9"/>
      <c r="B564" s="29"/>
      <c r="C564" s="29"/>
      <c r="D564" s="29"/>
      <c r="E564" s="13" t="s">
        <v>303</v>
      </c>
      <c r="F564" s="13"/>
      <c r="G564" s="30">
        <v>0</v>
      </c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.75" hidden="1" customHeight="1">
      <c r="A565" s="9"/>
      <c r="B565" s="17">
        <v>45715</v>
      </c>
      <c r="C565" s="18">
        <v>1533</v>
      </c>
      <c r="D565" s="18">
        <v>99008</v>
      </c>
      <c r="E565" s="19" t="s">
        <v>29</v>
      </c>
      <c r="F565" s="20">
        <v>156897</v>
      </c>
      <c r="G565" s="31">
        <v>49.19</v>
      </c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.75" hidden="1" customHeight="1">
      <c r="A566" s="9"/>
      <c r="B566" s="23"/>
      <c r="C566" s="23"/>
      <c r="D566" s="23"/>
      <c r="E566" s="24" t="s">
        <v>304</v>
      </c>
      <c r="F566" s="24"/>
      <c r="G566" s="25">
        <v>0</v>
      </c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.75" hidden="1" customHeight="1">
      <c r="A567" s="9"/>
      <c r="B567" s="11">
        <v>45715</v>
      </c>
      <c r="C567" s="12">
        <v>1533</v>
      </c>
      <c r="D567" s="12">
        <v>99008</v>
      </c>
      <c r="E567" s="26" t="s">
        <v>29</v>
      </c>
      <c r="F567" s="27">
        <v>173945</v>
      </c>
      <c r="G567" s="28">
        <v>72.739999999999995</v>
      </c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.75" hidden="1" customHeight="1">
      <c r="A568" s="9"/>
      <c r="B568" s="29"/>
      <c r="C568" s="29"/>
      <c r="D568" s="29"/>
      <c r="E568" s="13" t="s">
        <v>305</v>
      </c>
      <c r="F568" s="13"/>
      <c r="G568" s="30">
        <v>0</v>
      </c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.75" hidden="1" customHeight="1">
      <c r="A569" s="9"/>
      <c r="B569" s="17">
        <v>45715</v>
      </c>
      <c r="C569" s="18">
        <v>0</v>
      </c>
      <c r="D569" s="18">
        <v>13105</v>
      </c>
      <c r="E569" s="19" t="s">
        <v>31</v>
      </c>
      <c r="F569" s="20">
        <v>22701</v>
      </c>
      <c r="G569" s="31">
        <v>1377.95</v>
      </c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.75" hidden="1" customHeight="1">
      <c r="A570" s="9"/>
      <c r="B570" s="23"/>
      <c r="C570" s="23"/>
      <c r="D570" s="23"/>
      <c r="E570" s="24" t="s">
        <v>306</v>
      </c>
      <c r="F570" s="24"/>
      <c r="G570" s="25">
        <v>0</v>
      </c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5.75" hidden="1" customHeight="1">
      <c r="A571" s="9"/>
      <c r="B571" s="11">
        <v>45715</v>
      </c>
      <c r="C571" s="12">
        <v>0</v>
      </c>
      <c r="D571" s="12">
        <v>13105</v>
      </c>
      <c r="E571" s="26" t="s">
        <v>31</v>
      </c>
      <c r="F571" s="27">
        <v>22702</v>
      </c>
      <c r="G571" s="28">
        <v>173.5</v>
      </c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28.5" hidden="1" customHeight="1">
      <c r="A572" s="9"/>
      <c r="B572" s="29"/>
      <c r="C572" s="29"/>
      <c r="D572" s="29"/>
      <c r="E572" s="13" t="s">
        <v>41</v>
      </c>
      <c r="F572" s="13"/>
      <c r="G572" s="30">
        <v>0</v>
      </c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.75" hidden="1" customHeight="1">
      <c r="A573" s="9"/>
      <c r="B573" s="17">
        <v>45715</v>
      </c>
      <c r="C573" s="18">
        <v>0</v>
      </c>
      <c r="D573" s="18">
        <v>13105</v>
      </c>
      <c r="E573" s="19" t="s">
        <v>31</v>
      </c>
      <c r="F573" s="20">
        <v>22703</v>
      </c>
      <c r="G573" s="31">
        <v>292.99</v>
      </c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.75" hidden="1" customHeight="1">
      <c r="A574" s="9"/>
      <c r="B574" s="23"/>
      <c r="C574" s="23"/>
      <c r="D574" s="23"/>
      <c r="E574" s="24" t="s">
        <v>111</v>
      </c>
      <c r="F574" s="24"/>
      <c r="G574" s="25">
        <v>0</v>
      </c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.75" hidden="1" customHeight="1">
      <c r="A575" s="9"/>
      <c r="B575" s="11">
        <v>45715</v>
      </c>
      <c r="C575" s="12">
        <v>0</v>
      </c>
      <c r="D575" s="12">
        <v>13105</v>
      </c>
      <c r="E575" s="26" t="s">
        <v>31</v>
      </c>
      <c r="F575" s="27">
        <v>22704</v>
      </c>
      <c r="G575" s="28">
        <v>2658.47</v>
      </c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.75" hidden="1" customHeight="1">
      <c r="A576" s="9"/>
      <c r="B576" s="29"/>
      <c r="C576" s="29"/>
      <c r="D576" s="29"/>
      <c r="E576" s="13" t="s">
        <v>46</v>
      </c>
      <c r="F576" s="13"/>
      <c r="G576" s="30">
        <v>0</v>
      </c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.75" hidden="1" customHeight="1">
      <c r="A577" s="9"/>
      <c r="B577" s="17">
        <v>45715</v>
      </c>
      <c r="C577" s="18">
        <v>0</v>
      </c>
      <c r="D577" s="18">
        <v>13105</v>
      </c>
      <c r="E577" s="19" t="s">
        <v>31</v>
      </c>
      <c r="F577" s="20">
        <v>22705</v>
      </c>
      <c r="G577" s="31">
        <v>293.79000000000002</v>
      </c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.75" hidden="1" customHeight="1">
      <c r="A578" s="9"/>
      <c r="B578" s="23"/>
      <c r="C578" s="23"/>
      <c r="D578" s="23"/>
      <c r="E578" s="24" t="s">
        <v>46</v>
      </c>
      <c r="F578" s="24"/>
      <c r="G578" s="25">
        <v>0</v>
      </c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.75" hidden="1" customHeight="1">
      <c r="A579" s="9"/>
      <c r="B579" s="11">
        <v>45715</v>
      </c>
      <c r="C579" s="12">
        <v>0</v>
      </c>
      <c r="D579" s="12">
        <v>13105</v>
      </c>
      <c r="E579" s="26" t="s">
        <v>31</v>
      </c>
      <c r="F579" s="27">
        <v>22706</v>
      </c>
      <c r="G579" s="28">
        <v>32.619999999999997</v>
      </c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.75" hidden="1" customHeight="1">
      <c r="A580" s="9"/>
      <c r="B580" s="29"/>
      <c r="C580" s="29"/>
      <c r="D580" s="29"/>
      <c r="E580" s="13" t="s">
        <v>56</v>
      </c>
      <c r="F580" s="13"/>
      <c r="G580" s="30">
        <v>0</v>
      </c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.75" hidden="1" customHeight="1">
      <c r="A581" s="9"/>
      <c r="B581" s="17">
        <v>45715</v>
      </c>
      <c r="C581" s="18">
        <v>0</v>
      </c>
      <c r="D581" s="18">
        <v>13105</v>
      </c>
      <c r="E581" s="19" t="s">
        <v>31</v>
      </c>
      <c r="F581" s="20">
        <v>22707</v>
      </c>
      <c r="G581" s="31">
        <v>108.78</v>
      </c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.75" hidden="1" customHeight="1">
      <c r="A582" s="9"/>
      <c r="B582" s="23"/>
      <c r="C582" s="23"/>
      <c r="D582" s="23"/>
      <c r="E582" s="24" t="s">
        <v>56</v>
      </c>
      <c r="F582" s="24"/>
      <c r="G582" s="25">
        <v>0</v>
      </c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.75" hidden="1" customHeight="1">
      <c r="A583" s="9"/>
      <c r="B583" s="11">
        <v>45715</v>
      </c>
      <c r="C583" s="12">
        <v>0</v>
      </c>
      <c r="D583" s="12">
        <v>13105</v>
      </c>
      <c r="E583" s="26" t="s">
        <v>31</v>
      </c>
      <c r="F583" s="27">
        <v>22708</v>
      </c>
      <c r="G583" s="28">
        <v>430.54</v>
      </c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.75" hidden="1" customHeight="1">
      <c r="A584" s="9"/>
      <c r="B584" s="29"/>
      <c r="C584" s="29"/>
      <c r="D584" s="29"/>
      <c r="E584" s="13" t="s">
        <v>307</v>
      </c>
      <c r="F584" s="13"/>
      <c r="G584" s="30">
        <v>0</v>
      </c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.75" hidden="1" customHeight="1">
      <c r="A585" s="9"/>
      <c r="B585" s="17">
        <v>45715</v>
      </c>
      <c r="C585" s="18">
        <v>0</v>
      </c>
      <c r="D585" s="18">
        <v>0</v>
      </c>
      <c r="E585" s="19" t="s">
        <v>52</v>
      </c>
      <c r="F585" s="20">
        <v>9903</v>
      </c>
      <c r="G585" s="21">
        <v>102.7</v>
      </c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.75" hidden="1" customHeight="1">
      <c r="A586" s="9"/>
      <c r="B586" s="23"/>
      <c r="C586" s="23"/>
      <c r="D586" s="23"/>
      <c r="E586" s="24" t="s">
        <v>53</v>
      </c>
      <c r="F586" s="24"/>
      <c r="G586" s="25">
        <v>0</v>
      </c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.75" hidden="1" customHeight="1">
      <c r="A587" s="9"/>
      <c r="B587" s="11">
        <v>45716</v>
      </c>
      <c r="C587" s="12">
        <v>0</v>
      </c>
      <c r="D587" s="12">
        <v>14397</v>
      </c>
      <c r="E587" s="26" t="s">
        <v>57</v>
      </c>
      <c r="F587" s="27">
        <v>281512336137592</v>
      </c>
      <c r="G587" s="15">
        <v>3550</v>
      </c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28.5" hidden="1" customHeight="1">
      <c r="A588" s="9"/>
      <c r="B588" s="29"/>
      <c r="C588" s="29"/>
      <c r="D588" s="29"/>
      <c r="E588" s="13" t="s">
        <v>308</v>
      </c>
      <c r="F588" s="13"/>
      <c r="G588" s="30">
        <v>0</v>
      </c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.75" hidden="1" customHeight="1">
      <c r="A589" s="9"/>
      <c r="B589" s="17">
        <v>45716</v>
      </c>
      <c r="C589" s="18">
        <v>1533</v>
      </c>
      <c r="D589" s="18">
        <v>99008</v>
      </c>
      <c r="E589" s="19" t="s">
        <v>29</v>
      </c>
      <c r="F589" s="20">
        <v>427474</v>
      </c>
      <c r="G589" s="31">
        <v>328.05</v>
      </c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.75" hidden="1" customHeight="1">
      <c r="A590" s="9"/>
      <c r="B590" s="23"/>
      <c r="C590" s="23"/>
      <c r="D590" s="23"/>
      <c r="E590" s="24" t="s">
        <v>309</v>
      </c>
      <c r="F590" s="24"/>
      <c r="G590" s="25">
        <v>0</v>
      </c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.75" hidden="1" customHeight="1">
      <c r="A591" s="9"/>
      <c r="B591" s="11">
        <v>45716</v>
      </c>
      <c r="C591" s="12">
        <v>0</v>
      </c>
      <c r="D591" s="12">
        <v>13105</v>
      </c>
      <c r="E591" s="26" t="s">
        <v>80</v>
      </c>
      <c r="F591" s="27">
        <v>22801</v>
      </c>
      <c r="G591" s="28">
        <v>185.08</v>
      </c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.75" hidden="1" customHeight="1">
      <c r="A592" s="9"/>
      <c r="B592" s="29"/>
      <c r="C592" s="29"/>
      <c r="D592" s="29"/>
      <c r="E592" s="13" t="s">
        <v>81</v>
      </c>
      <c r="F592" s="13"/>
      <c r="G592" s="30">
        <v>0</v>
      </c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.75" hidden="1" customHeight="1">
      <c r="A593" s="9"/>
      <c r="B593" s="17">
        <v>45716</v>
      </c>
      <c r="C593" s="18">
        <v>0</v>
      </c>
      <c r="D593" s="18">
        <v>13105</v>
      </c>
      <c r="E593" s="19" t="s">
        <v>80</v>
      </c>
      <c r="F593" s="20">
        <v>22802</v>
      </c>
      <c r="G593" s="31">
        <v>90.29</v>
      </c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.75" hidden="1" customHeight="1">
      <c r="A594" s="9"/>
      <c r="B594" s="23"/>
      <c r="C594" s="23"/>
      <c r="D594" s="23"/>
      <c r="E594" s="24" t="s">
        <v>81</v>
      </c>
      <c r="F594" s="24"/>
      <c r="G594" s="25">
        <v>0</v>
      </c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.75" hidden="1" customHeight="1">
      <c r="A595" s="9"/>
      <c r="B595" s="11">
        <v>45716</v>
      </c>
      <c r="C595" s="12">
        <v>0</v>
      </c>
      <c r="D595" s="12">
        <v>13105</v>
      </c>
      <c r="E595" s="26" t="s">
        <v>31</v>
      </c>
      <c r="F595" s="27">
        <v>22803</v>
      </c>
      <c r="G595" s="28">
        <v>95</v>
      </c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.75" hidden="1" customHeight="1">
      <c r="A596" s="9"/>
      <c r="B596" s="29"/>
      <c r="C596" s="29"/>
      <c r="D596" s="29"/>
      <c r="E596" s="13" t="s">
        <v>43</v>
      </c>
      <c r="F596" s="13"/>
      <c r="G596" s="30">
        <v>0</v>
      </c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.75" hidden="1" customHeight="1">
      <c r="A597" s="9"/>
      <c r="B597" s="17">
        <v>45716</v>
      </c>
      <c r="C597" s="18">
        <v>0</v>
      </c>
      <c r="D597" s="18">
        <v>13013</v>
      </c>
      <c r="E597" s="19" t="s">
        <v>204</v>
      </c>
      <c r="F597" s="20">
        <v>3941</v>
      </c>
      <c r="G597" s="31">
        <v>2340.63</v>
      </c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.75" hidden="1" customHeight="1">
      <c r="A598" s="9"/>
      <c r="B598" s="23"/>
      <c r="C598" s="23"/>
      <c r="D598" s="23"/>
      <c r="E598" s="24" t="s">
        <v>205</v>
      </c>
      <c r="F598" s="24"/>
      <c r="G598" s="25">
        <v>0</v>
      </c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.75" hidden="1" customHeight="1">
      <c r="A599" s="9"/>
      <c r="B599" s="11">
        <v>45716</v>
      </c>
      <c r="C599" s="12">
        <v>0</v>
      </c>
      <c r="D599" s="12">
        <v>13013</v>
      </c>
      <c r="E599" s="26" t="s">
        <v>204</v>
      </c>
      <c r="F599" s="27">
        <v>3941</v>
      </c>
      <c r="G599" s="28">
        <v>810.71</v>
      </c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.75" hidden="1" customHeight="1">
      <c r="A600" s="9"/>
      <c r="B600" s="29"/>
      <c r="C600" s="29"/>
      <c r="D600" s="29"/>
      <c r="E600" s="13" t="s">
        <v>205</v>
      </c>
      <c r="F600" s="13"/>
      <c r="G600" s="30">
        <v>0</v>
      </c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.75" hidden="1" customHeight="1">
      <c r="A601" s="9"/>
      <c r="B601" s="17">
        <v>45716</v>
      </c>
      <c r="C601" s="18">
        <v>0</v>
      </c>
      <c r="D601" s="18">
        <v>13013</v>
      </c>
      <c r="E601" s="19" t="s">
        <v>204</v>
      </c>
      <c r="F601" s="20">
        <v>3941</v>
      </c>
      <c r="G601" s="31">
        <v>582.20000000000005</v>
      </c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.75" hidden="1" customHeight="1">
      <c r="A602" s="9"/>
      <c r="B602" s="23"/>
      <c r="C602" s="23"/>
      <c r="D602" s="23"/>
      <c r="E602" s="24" t="s">
        <v>205</v>
      </c>
      <c r="F602" s="24"/>
      <c r="G602" s="25">
        <v>0</v>
      </c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.75" hidden="1" customHeight="1">
      <c r="A603" s="9"/>
      <c r="B603" s="11">
        <v>45716</v>
      </c>
      <c r="C603" s="12">
        <v>0</v>
      </c>
      <c r="D603" s="12">
        <v>13013</v>
      </c>
      <c r="E603" s="26" t="s">
        <v>204</v>
      </c>
      <c r="F603" s="27">
        <v>3941</v>
      </c>
      <c r="G603" s="28">
        <v>988.67</v>
      </c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.75" hidden="1" customHeight="1">
      <c r="A604" s="9"/>
      <c r="B604" s="29"/>
      <c r="C604" s="29"/>
      <c r="D604" s="29"/>
      <c r="E604" s="13" t="s">
        <v>205</v>
      </c>
      <c r="F604" s="13"/>
      <c r="G604" s="30">
        <v>0</v>
      </c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.75" hidden="1" customHeight="1">
      <c r="A605" s="9"/>
      <c r="B605" s="17">
        <v>45716</v>
      </c>
      <c r="C605" s="18">
        <v>0</v>
      </c>
      <c r="D605" s="18">
        <v>0</v>
      </c>
      <c r="E605" s="19" t="s">
        <v>52</v>
      </c>
      <c r="F605" s="20">
        <v>9903</v>
      </c>
      <c r="G605" s="21">
        <v>1870.63</v>
      </c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.75" hidden="1" customHeight="1">
      <c r="A606" s="9"/>
      <c r="B606" s="23"/>
      <c r="C606" s="23"/>
      <c r="D606" s="23"/>
      <c r="E606" s="24" t="s">
        <v>53</v>
      </c>
      <c r="F606" s="24"/>
      <c r="G606" s="25">
        <v>0</v>
      </c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.75" customHeight="1">
      <c r="A607" s="9"/>
      <c r="B607" s="50"/>
      <c r="C607" s="50"/>
      <c r="D607" s="50"/>
      <c r="E607" s="50"/>
      <c r="F607" s="50"/>
      <c r="G607" s="58"/>
      <c r="H607" s="50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.75" customHeight="1">
      <c r="A608" s="9"/>
      <c r="B608" s="50"/>
      <c r="C608" s="50"/>
      <c r="D608" s="50"/>
      <c r="E608" s="50"/>
      <c r="F608" s="50"/>
      <c r="G608" s="58"/>
      <c r="H608" s="50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.75" customHeight="1">
      <c r="A609" s="9"/>
      <c r="B609" s="50"/>
      <c r="C609" s="50"/>
      <c r="D609" s="50"/>
      <c r="E609" s="50"/>
      <c r="F609" s="50"/>
      <c r="G609" s="58"/>
      <c r="H609" s="50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.75" customHeight="1">
      <c r="A610" s="9"/>
      <c r="B610" s="50"/>
      <c r="C610" s="50"/>
      <c r="D610" s="50"/>
      <c r="E610" s="50"/>
      <c r="F610" s="50"/>
      <c r="G610" s="58"/>
      <c r="H610" s="50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.75" customHeight="1">
      <c r="A611" s="9"/>
      <c r="B611" s="50"/>
      <c r="C611" s="50"/>
      <c r="D611" s="50"/>
      <c r="E611" s="50"/>
      <c r="F611" s="50"/>
      <c r="G611" s="58"/>
      <c r="H611" s="50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.75" customHeight="1">
      <c r="A612" s="9"/>
      <c r="B612" s="50"/>
      <c r="C612" s="50"/>
      <c r="D612" s="50"/>
      <c r="E612" s="50"/>
      <c r="F612" s="50"/>
      <c r="G612" s="58"/>
      <c r="H612" s="50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.75" customHeight="1">
      <c r="A613" s="9"/>
      <c r="B613" s="50"/>
      <c r="C613" s="50"/>
      <c r="D613" s="50"/>
      <c r="E613" s="50"/>
      <c r="F613" s="50"/>
      <c r="G613" s="58"/>
      <c r="H613" s="50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.75" customHeight="1">
      <c r="A614" s="9"/>
      <c r="B614" s="50"/>
      <c r="C614" s="50"/>
      <c r="D614" s="50"/>
      <c r="E614" s="50"/>
      <c r="F614" s="50"/>
      <c r="G614" s="58"/>
      <c r="H614" s="50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.75" customHeight="1">
      <c r="A615" s="9"/>
      <c r="B615" s="50"/>
      <c r="C615" s="50"/>
      <c r="D615" s="50"/>
      <c r="E615" s="50"/>
      <c r="F615" s="50"/>
      <c r="G615" s="58"/>
      <c r="H615" s="50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.75" customHeight="1">
      <c r="A616" s="9"/>
      <c r="B616" s="50"/>
      <c r="C616" s="50"/>
      <c r="D616" s="50"/>
      <c r="E616" s="50"/>
      <c r="F616" s="50"/>
      <c r="G616" s="58"/>
      <c r="H616" s="50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.75" customHeight="1">
      <c r="A617" s="9"/>
      <c r="B617" s="50"/>
      <c r="C617" s="50"/>
      <c r="D617" s="50"/>
      <c r="E617" s="50"/>
      <c r="F617" s="50"/>
      <c r="G617" s="58"/>
      <c r="H617" s="50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.75" customHeight="1">
      <c r="A618" s="9"/>
      <c r="B618" s="50"/>
      <c r="C618" s="50"/>
      <c r="D618" s="50"/>
      <c r="E618" s="50"/>
      <c r="F618" s="50"/>
      <c r="G618" s="58"/>
      <c r="H618" s="50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.75" customHeight="1">
      <c r="A619" s="9"/>
      <c r="B619" s="50"/>
      <c r="C619" s="50"/>
      <c r="D619" s="50"/>
      <c r="E619" s="50"/>
      <c r="F619" s="50"/>
      <c r="G619" s="58"/>
      <c r="H619" s="50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.75" customHeight="1">
      <c r="A620" s="9"/>
      <c r="B620" s="50"/>
      <c r="C620" s="50"/>
      <c r="D620" s="50"/>
      <c r="E620" s="50"/>
      <c r="F620" s="50"/>
      <c r="G620" s="58"/>
      <c r="H620" s="50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.75" customHeight="1">
      <c r="A621" s="9"/>
      <c r="B621" s="50"/>
      <c r="C621" s="50"/>
      <c r="D621" s="50"/>
      <c r="E621" s="50"/>
      <c r="F621" s="50"/>
      <c r="G621" s="58"/>
      <c r="H621" s="50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.75" customHeight="1">
      <c r="A622" s="9"/>
      <c r="B622" s="50"/>
      <c r="C622" s="50"/>
      <c r="D622" s="50"/>
      <c r="E622" s="50"/>
      <c r="F622" s="50"/>
      <c r="G622" s="58"/>
      <c r="H622" s="50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.75" customHeight="1">
      <c r="A623" s="9"/>
      <c r="B623" s="50"/>
      <c r="C623" s="50"/>
      <c r="D623" s="50"/>
      <c r="E623" s="50"/>
      <c r="F623" s="50"/>
      <c r="G623" s="58"/>
      <c r="H623" s="50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.75" customHeight="1">
      <c r="A624" s="9"/>
      <c r="B624" s="50"/>
      <c r="C624" s="50"/>
      <c r="D624" s="50"/>
      <c r="E624" s="50"/>
      <c r="F624" s="50"/>
      <c r="G624" s="58"/>
      <c r="H624" s="50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.75" customHeight="1">
      <c r="A625" s="9"/>
      <c r="B625" s="50"/>
      <c r="C625" s="50"/>
      <c r="D625" s="50"/>
      <c r="E625" s="50"/>
      <c r="F625" s="50"/>
      <c r="G625" s="58"/>
      <c r="H625" s="50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.75" customHeight="1">
      <c r="A626" s="9"/>
      <c r="B626" s="50"/>
      <c r="C626" s="50"/>
      <c r="D626" s="50"/>
      <c r="E626" s="50"/>
      <c r="F626" s="50"/>
      <c r="G626" s="58"/>
      <c r="H626" s="50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.75" customHeight="1">
      <c r="A627" s="9"/>
      <c r="B627" s="50"/>
      <c r="C627" s="50"/>
      <c r="D627" s="50"/>
      <c r="E627" s="50"/>
      <c r="F627" s="50"/>
      <c r="G627" s="58"/>
      <c r="H627" s="50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.75" customHeight="1">
      <c r="A628" s="9"/>
      <c r="B628" s="50"/>
      <c r="C628" s="50"/>
      <c r="D628" s="50"/>
      <c r="E628" s="50"/>
      <c r="F628" s="50"/>
      <c r="G628" s="58"/>
      <c r="H628" s="50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.75" customHeight="1">
      <c r="A629" s="9"/>
      <c r="B629" s="50"/>
      <c r="C629" s="50"/>
      <c r="D629" s="50"/>
      <c r="E629" s="50"/>
      <c r="F629" s="50"/>
      <c r="G629" s="58"/>
      <c r="H629" s="50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.75" customHeight="1">
      <c r="A630" s="9"/>
      <c r="B630" s="50"/>
      <c r="C630" s="50"/>
      <c r="D630" s="50"/>
      <c r="E630" s="50"/>
      <c r="F630" s="50"/>
      <c r="G630" s="58"/>
      <c r="H630" s="50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.75" customHeight="1">
      <c r="A631" s="9"/>
      <c r="B631" s="50"/>
      <c r="C631" s="50"/>
      <c r="D631" s="50"/>
      <c r="E631" s="50"/>
      <c r="F631" s="50"/>
      <c r="G631" s="58"/>
      <c r="H631" s="50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.75" customHeight="1">
      <c r="A632" s="9"/>
      <c r="B632" s="50"/>
      <c r="C632" s="50"/>
      <c r="D632" s="50"/>
      <c r="E632" s="50"/>
      <c r="F632" s="50"/>
      <c r="G632" s="58"/>
      <c r="H632" s="50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.75" customHeight="1">
      <c r="A633" s="9"/>
      <c r="B633" s="50"/>
      <c r="C633" s="50"/>
      <c r="D633" s="50"/>
      <c r="E633" s="50"/>
      <c r="F633" s="50"/>
      <c r="G633" s="58"/>
      <c r="H633" s="50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.75" customHeight="1">
      <c r="A634" s="9"/>
      <c r="B634" s="50"/>
      <c r="C634" s="50"/>
      <c r="D634" s="50"/>
      <c r="E634" s="50"/>
      <c r="F634" s="50"/>
      <c r="G634" s="58"/>
      <c r="H634" s="50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.75" customHeight="1">
      <c r="A635" s="9"/>
      <c r="B635" s="50"/>
      <c r="C635" s="50"/>
      <c r="D635" s="50"/>
      <c r="E635" s="50"/>
      <c r="F635" s="50"/>
      <c r="G635" s="58"/>
      <c r="H635" s="50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.75" customHeight="1">
      <c r="A636" s="9"/>
      <c r="B636" s="50"/>
      <c r="C636" s="50"/>
      <c r="D636" s="50"/>
      <c r="E636" s="50"/>
      <c r="F636" s="50"/>
      <c r="G636" s="58"/>
      <c r="H636" s="50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.75" customHeight="1">
      <c r="A637" s="9"/>
      <c r="B637" s="50"/>
      <c r="C637" s="50"/>
      <c r="D637" s="50"/>
      <c r="E637" s="50"/>
      <c r="F637" s="50"/>
      <c r="G637" s="58"/>
      <c r="H637" s="50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.75" customHeight="1">
      <c r="A638" s="9"/>
      <c r="B638" s="50"/>
      <c r="C638" s="50"/>
      <c r="D638" s="50"/>
      <c r="E638" s="50"/>
      <c r="F638" s="50"/>
      <c r="G638" s="58"/>
      <c r="H638" s="50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.75" customHeight="1">
      <c r="A639" s="9"/>
      <c r="B639" s="50"/>
      <c r="C639" s="50"/>
      <c r="D639" s="50"/>
      <c r="E639" s="50"/>
      <c r="F639" s="50"/>
      <c r="G639" s="58"/>
      <c r="H639" s="50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.75" customHeight="1">
      <c r="A640" s="9"/>
      <c r="B640" s="50"/>
      <c r="C640" s="50"/>
      <c r="D640" s="50"/>
      <c r="E640" s="50"/>
      <c r="F640" s="50"/>
      <c r="G640" s="58"/>
      <c r="H640" s="50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.75" customHeight="1">
      <c r="A641" s="9"/>
      <c r="B641" s="50"/>
      <c r="C641" s="50"/>
      <c r="D641" s="50"/>
      <c r="E641" s="50"/>
      <c r="F641" s="50"/>
      <c r="G641" s="58"/>
      <c r="H641" s="50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.75" customHeight="1">
      <c r="A642" s="9"/>
      <c r="B642" s="50"/>
      <c r="C642" s="50"/>
      <c r="D642" s="50"/>
      <c r="E642" s="50"/>
      <c r="F642" s="50"/>
      <c r="G642" s="58"/>
      <c r="H642" s="50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.75" customHeight="1">
      <c r="A643" s="9"/>
      <c r="B643" s="50"/>
      <c r="C643" s="50"/>
      <c r="D643" s="50"/>
      <c r="E643" s="50"/>
      <c r="F643" s="50"/>
      <c r="G643" s="58"/>
      <c r="H643" s="50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.75" customHeight="1">
      <c r="A644" s="9"/>
      <c r="B644" s="50"/>
      <c r="C644" s="50"/>
      <c r="D644" s="50"/>
      <c r="E644" s="50"/>
      <c r="F644" s="50"/>
      <c r="G644" s="58"/>
      <c r="H644" s="50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.75" customHeight="1">
      <c r="A645" s="9"/>
      <c r="B645" s="50"/>
      <c r="C645" s="50"/>
      <c r="D645" s="50"/>
      <c r="E645" s="50"/>
      <c r="F645" s="50"/>
      <c r="G645" s="58"/>
      <c r="H645" s="50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.75" customHeight="1">
      <c r="A646" s="9"/>
      <c r="B646" s="50"/>
      <c r="C646" s="50"/>
      <c r="D646" s="50"/>
      <c r="E646" s="50"/>
      <c r="F646" s="50"/>
      <c r="G646" s="58"/>
      <c r="H646" s="50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.75" customHeight="1">
      <c r="A647" s="9"/>
      <c r="B647" s="50"/>
      <c r="C647" s="50"/>
      <c r="D647" s="50"/>
      <c r="E647" s="50"/>
      <c r="F647" s="50"/>
      <c r="G647" s="58"/>
      <c r="H647" s="50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.75" customHeight="1">
      <c r="A648" s="9"/>
      <c r="B648" s="50"/>
      <c r="C648" s="50"/>
      <c r="D648" s="50"/>
      <c r="E648" s="50"/>
      <c r="F648" s="50"/>
      <c r="G648" s="58"/>
      <c r="H648" s="50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.75" customHeight="1">
      <c r="A649" s="9"/>
      <c r="B649" s="50"/>
      <c r="C649" s="50"/>
      <c r="D649" s="50"/>
      <c r="E649" s="50"/>
      <c r="F649" s="50"/>
      <c r="G649" s="58"/>
      <c r="H649" s="50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.75" customHeight="1">
      <c r="A650" s="9"/>
      <c r="B650" s="50"/>
      <c r="C650" s="50"/>
      <c r="D650" s="50"/>
      <c r="E650" s="50"/>
      <c r="F650" s="50"/>
      <c r="G650" s="58"/>
      <c r="H650" s="50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.75" customHeight="1">
      <c r="A651" s="9"/>
      <c r="B651" s="50"/>
      <c r="C651" s="50"/>
      <c r="D651" s="50"/>
      <c r="E651" s="50"/>
      <c r="F651" s="50"/>
      <c r="G651" s="58"/>
      <c r="H651" s="50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.75" customHeight="1">
      <c r="A652" s="9"/>
      <c r="B652" s="50"/>
      <c r="C652" s="50"/>
      <c r="D652" s="50"/>
      <c r="E652" s="50"/>
      <c r="F652" s="50"/>
      <c r="G652" s="58"/>
      <c r="H652" s="50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.75" customHeight="1">
      <c r="A653" s="9"/>
      <c r="B653" s="50"/>
      <c r="C653" s="50"/>
      <c r="D653" s="50"/>
      <c r="E653" s="50"/>
      <c r="F653" s="50"/>
      <c r="G653" s="58"/>
      <c r="H653" s="50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.75" customHeight="1">
      <c r="A654" s="9"/>
      <c r="B654" s="50"/>
      <c r="C654" s="50"/>
      <c r="D654" s="50"/>
      <c r="E654" s="50"/>
      <c r="F654" s="50"/>
      <c r="G654" s="58"/>
      <c r="H654" s="50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.75" customHeight="1">
      <c r="A655" s="9"/>
      <c r="B655" s="50"/>
      <c r="C655" s="50"/>
      <c r="D655" s="50"/>
      <c r="E655" s="50"/>
      <c r="F655" s="50"/>
      <c r="G655" s="58"/>
      <c r="H655" s="50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.75" customHeight="1">
      <c r="A656" s="9"/>
      <c r="B656" s="50"/>
      <c r="C656" s="50"/>
      <c r="D656" s="50"/>
      <c r="E656" s="50"/>
      <c r="F656" s="50"/>
      <c r="G656" s="58"/>
      <c r="H656" s="50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.75" customHeight="1">
      <c r="A657" s="9"/>
      <c r="B657" s="50"/>
      <c r="C657" s="50"/>
      <c r="D657" s="50"/>
      <c r="E657" s="50"/>
      <c r="F657" s="50"/>
      <c r="G657" s="58"/>
      <c r="H657" s="50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.75" customHeight="1">
      <c r="A658" s="9"/>
      <c r="B658" s="50"/>
      <c r="C658" s="50"/>
      <c r="D658" s="50"/>
      <c r="E658" s="50"/>
      <c r="F658" s="50"/>
      <c r="G658" s="58"/>
      <c r="H658" s="50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.75" customHeight="1">
      <c r="A659" s="9"/>
      <c r="B659" s="50"/>
      <c r="C659" s="50"/>
      <c r="D659" s="50"/>
      <c r="E659" s="50"/>
      <c r="F659" s="50"/>
      <c r="G659" s="58"/>
      <c r="H659" s="50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.75" customHeight="1">
      <c r="A660" s="9"/>
      <c r="B660" s="50"/>
      <c r="C660" s="50"/>
      <c r="D660" s="50"/>
      <c r="E660" s="50"/>
      <c r="F660" s="50"/>
      <c r="G660" s="58"/>
      <c r="H660" s="50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.75" customHeight="1">
      <c r="A661" s="9"/>
      <c r="B661" s="50"/>
      <c r="C661" s="50"/>
      <c r="D661" s="50"/>
      <c r="E661" s="50"/>
      <c r="F661" s="50"/>
      <c r="G661" s="58"/>
      <c r="H661" s="50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.75" customHeight="1">
      <c r="A662" s="9"/>
      <c r="B662" s="50"/>
      <c r="C662" s="50"/>
      <c r="D662" s="50"/>
      <c r="E662" s="50"/>
      <c r="F662" s="50"/>
      <c r="G662" s="58"/>
      <c r="H662" s="50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.75" customHeight="1">
      <c r="A663" s="9"/>
      <c r="B663" s="50"/>
      <c r="C663" s="50"/>
      <c r="D663" s="50"/>
      <c r="E663" s="50"/>
      <c r="F663" s="50"/>
      <c r="G663" s="58"/>
      <c r="H663" s="50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.75" customHeight="1">
      <c r="A664" s="9"/>
      <c r="B664" s="50"/>
      <c r="C664" s="50"/>
      <c r="D664" s="50"/>
      <c r="E664" s="50"/>
      <c r="F664" s="50"/>
      <c r="G664" s="58"/>
      <c r="H664" s="50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.75" customHeight="1">
      <c r="A665" s="9"/>
      <c r="B665" s="50"/>
      <c r="C665" s="50"/>
      <c r="D665" s="50"/>
      <c r="E665" s="50"/>
      <c r="F665" s="50"/>
      <c r="G665" s="58"/>
      <c r="H665" s="50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.75" customHeight="1">
      <c r="A666" s="9"/>
      <c r="B666" s="50"/>
      <c r="C666" s="50"/>
      <c r="D666" s="50"/>
      <c r="E666" s="50"/>
      <c r="F666" s="50"/>
      <c r="G666" s="58"/>
      <c r="H666" s="50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.75" customHeight="1">
      <c r="A667" s="9"/>
      <c r="B667" s="50"/>
      <c r="C667" s="50"/>
      <c r="D667" s="50"/>
      <c r="E667" s="50"/>
      <c r="F667" s="50"/>
      <c r="G667" s="58"/>
      <c r="H667" s="50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.75" customHeight="1">
      <c r="A668" s="9"/>
      <c r="B668" s="50"/>
      <c r="C668" s="50"/>
      <c r="D668" s="50"/>
      <c r="E668" s="50"/>
      <c r="F668" s="50"/>
      <c r="G668" s="58"/>
      <c r="H668" s="50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.75" customHeight="1">
      <c r="A669" s="9"/>
      <c r="B669" s="50"/>
      <c r="C669" s="50"/>
      <c r="D669" s="50"/>
      <c r="E669" s="50"/>
      <c r="F669" s="50"/>
      <c r="G669" s="58"/>
      <c r="H669" s="50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.75" customHeight="1">
      <c r="A670" s="9"/>
      <c r="B670" s="50"/>
      <c r="C670" s="50"/>
      <c r="D670" s="50"/>
      <c r="E670" s="50"/>
      <c r="F670" s="50"/>
      <c r="G670" s="58"/>
      <c r="H670" s="50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.75" customHeight="1">
      <c r="A671" s="9"/>
      <c r="B671" s="50"/>
      <c r="C671" s="50"/>
      <c r="D671" s="50"/>
      <c r="E671" s="50"/>
      <c r="F671" s="50"/>
      <c r="G671" s="58"/>
      <c r="H671" s="50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.75" customHeight="1">
      <c r="A672" s="9"/>
      <c r="B672" s="50"/>
      <c r="C672" s="50"/>
      <c r="D672" s="50"/>
      <c r="E672" s="50"/>
      <c r="F672" s="50"/>
      <c r="G672" s="58"/>
      <c r="H672" s="50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.75" customHeight="1">
      <c r="A673" s="9"/>
      <c r="B673" s="50"/>
      <c r="C673" s="50"/>
      <c r="D673" s="50"/>
      <c r="E673" s="50"/>
      <c r="F673" s="50"/>
      <c r="G673" s="58"/>
      <c r="H673" s="50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.75" customHeight="1">
      <c r="A674" s="9"/>
      <c r="B674" s="50"/>
      <c r="C674" s="50"/>
      <c r="D674" s="50"/>
      <c r="E674" s="50"/>
      <c r="F674" s="50"/>
      <c r="G674" s="58"/>
      <c r="H674" s="50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.75" customHeight="1">
      <c r="A675" s="9"/>
      <c r="B675" s="50"/>
      <c r="C675" s="50"/>
      <c r="D675" s="50"/>
      <c r="E675" s="50"/>
      <c r="F675" s="50"/>
      <c r="G675" s="58"/>
      <c r="H675" s="50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.75" customHeight="1">
      <c r="A676" s="9"/>
      <c r="B676" s="50"/>
      <c r="C676" s="50"/>
      <c r="D676" s="50"/>
      <c r="E676" s="50"/>
      <c r="F676" s="50"/>
      <c r="G676" s="58"/>
      <c r="H676" s="50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.75" customHeight="1">
      <c r="A677" s="9"/>
      <c r="B677" s="50"/>
      <c r="C677" s="50"/>
      <c r="D677" s="50"/>
      <c r="E677" s="50"/>
      <c r="F677" s="50"/>
      <c r="G677" s="58"/>
      <c r="H677" s="50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.75" customHeight="1">
      <c r="A678" s="9"/>
      <c r="B678" s="50"/>
      <c r="C678" s="50"/>
      <c r="D678" s="50"/>
      <c r="E678" s="50"/>
      <c r="F678" s="50"/>
      <c r="G678" s="58"/>
      <c r="H678" s="50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.75" customHeight="1">
      <c r="A679" s="9"/>
      <c r="B679" s="50"/>
      <c r="C679" s="50"/>
      <c r="D679" s="50"/>
      <c r="E679" s="50"/>
      <c r="F679" s="50"/>
      <c r="G679" s="58"/>
      <c r="H679" s="50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.75" customHeight="1">
      <c r="A680" s="9"/>
      <c r="B680" s="50"/>
      <c r="C680" s="50"/>
      <c r="D680" s="50"/>
      <c r="E680" s="50"/>
      <c r="F680" s="50"/>
      <c r="G680" s="58"/>
      <c r="H680" s="50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.75" customHeight="1">
      <c r="A681" s="9"/>
      <c r="B681" s="50"/>
      <c r="C681" s="50"/>
      <c r="D681" s="50"/>
      <c r="E681" s="50"/>
      <c r="F681" s="50"/>
      <c r="G681" s="58"/>
      <c r="H681" s="50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.75" customHeight="1">
      <c r="A682" s="9"/>
      <c r="B682" s="50"/>
      <c r="C682" s="50"/>
      <c r="D682" s="50"/>
      <c r="E682" s="50"/>
      <c r="F682" s="50"/>
      <c r="G682" s="58"/>
      <c r="H682" s="50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.75" customHeight="1">
      <c r="A683" s="9"/>
      <c r="B683" s="50"/>
      <c r="C683" s="50"/>
      <c r="D683" s="50"/>
      <c r="E683" s="50"/>
      <c r="F683" s="50"/>
      <c r="G683" s="58"/>
      <c r="H683" s="50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.75" customHeight="1">
      <c r="A684" s="9"/>
      <c r="B684" s="50"/>
      <c r="C684" s="50"/>
      <c r="D684" s="50"/>
      <c r="E684" s="50"/>
      <c r="F684" s="50"/>
      <c r="G684" s="58"/>
      <c r="H684" s="50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.75" customHeight="1">
      <c r="A685" s="9"/>
      <c r="B685" s="50"/>
      <c r="C685" s="50"/>
      <c r="D685" s="50"/>
      <c r="E685" s="50"/>
      <c r="F685" s="50"/>
      <c r="G685" s="58"/>
      <c r="H685" s="50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.75" customHeight="1">
      <c r="A686" s="9"/>
      <c r="B686" s="50"/>
      <c r="C686" s="50"/>
      <c r="D686" s="50"/>
      <c r="E686" s="50"/>
      <c r="F686" s="50"/>
      <c r="G686" s="58"/>
      <c r="H686" s="50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.75" customHeight="1">
      <c r="A687" s="9"/>
      <c r="B687" s="50"/>
      <c r="C687" s="50"/>
      <c r="D687" s="50"/>
      <c r="E687" s="50"/>
      <c r="F687" s="50"/>
      <c r="G687" s="58"/>
      <c r="H687" s="50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.75" customHeight="1">
      <c r="A688" s="9"/>
      <c r="B688" s="50"/>
      <c r="C688" s="50"/>
      <c r="D688" s="50"/>
      <c r="E688" s="50"/>
      <c r="F688" s="50"/>
      <c r="G688" s="58"/>
      <c r="H688" s="50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.75" customHeight="1">
      <c r="A689" s="9"/>
      <c r="B689" s="50"/>
      <c r="C689" s="50"/>
      <c r="D689" s="50"/>
      <c r="E689" s="50"/>
      <c r="F689" s="50"/>
      <c r="G689" s="58"/>
      <c r="H689" s="50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.75" customHeight="1">
      <c r="A690" s="9"/>
      <c r="B690" s="50"/>
      <c r="C690" s="50"/>
      <c r="D690" s="50"/>
      <c r="E690" s="50"/>
      <c r="F690" s="50"/>
      <c r="G690" s="58"/>
      <c r="H690" s="50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.75" customHeight="1">
      <c r="A691" s="9"/>
      <c r="B691" s="50"/>
      <c r="C691" s="50"/>
      <c r="D691" s="50"/>
      <c r="E691" s="50"/>
      <c r="F691" s="50"/>
      <c r="G691" s="58"/>
      <c r="H691" s="50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.75" customHeight="1">
      <c r="A692" s="9"/>
      <c r="B692" s="50"/>
      <c r="C692" s="50"/>
      <c r="D692" s="50"/>
      <c r="E692" s="50"/>
      <c r="F692" s="50"/>
      <c r="G692" s="58"/>
      <c r="H692" s="50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.75" customHeight="1">
      <c r="A693" s="9"/>
      <c r="B693" s="50"/>
      <c r="C693" s="50"/>
      <c r="D693" s="50"/>
      <c r="E693" s="50"/>
      <c r="F693" s="50"/>
      <c r="G693" s="58"/>
      <c r="H693" s="50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.75" customHeight="1">
      <c r="A694" s="9"/>
      <c r="B694" s="50"/>
      <c r="C694" s="50"/>
      <c r="D694" s="50"/>
      <c r="E694" s="50"/>
      <c r="F694" s="50"/>
      <c r="G694" s="58"/>
      <c r="H694" s="50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.75" customHeight="1">
      <c r="A695" s="9"/>
      <c r="B695" s="50"/>
      <c r="C695" s="50"/>
      <c r="D695" s="50"/>
      <c r="E695" s="50"/>
      <c r="F695" s="50"/>
      <c r="G695" s="58"/>
      <c r="H695" s="50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.75" customHeight="1">
      <c r="A696" s="9"/>
      <c r="B696" s="50"/>
      <c r="C696" s="50"/>
      <c r="D696" s="50"/>
      <c r="E696" s="50"/>
      <c r="F696" s="50"/>
      <c r="G696" s="58"/>
      <c r="H696" s="50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.75" customHeight="1">
      <c r="A697" s="9"/>
      <c r="B697" s="50"/>
      <c r="C697" s="50"/>
      <c r="D697" s="50"/>
      <c r="E697" s="50"/>
      <c r="F697" s="50"/>
      <c r="G697" s="58"/>
      <c r="H697" s="50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.75" customHeight="1">
      <c r="A698" s="9"/>
      <c r="B698" s="50"/>
      <c r="C698" s="50"/>
      <c r="D698" s="50"/>
      <c r="E698" s="50"/>
      <c r="F698" s="50"/>
      <c r="G698" s="58"/>
      <c r="H698" s="50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.75" customHeight="1">
      <c r="A699" s="9"/>
      <c r="B699" s="50"/>
      <c r="C699" s="50"/>
      <c r="D699" s="50"/>
      <c r="E699" s="50"/>
      <c r="F699" s="50"/>
      <c r="G699" s="58"/>
      <c r="H699" s="50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.75" customHeight="1">
      <c r="A700" s="9"/>
      <c r="B700" s="50"/>
      <c r="C700" s="50"/>
      <c r="D700" s="50"/>
      <c r="E700" s="50"/>
      <c r="F700" s="50"/>
      <c r="G700" s="58"/>
      <c r="H700" s="50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.75" customHeight="1">
      <c r="A701" s="9"/>
      <c r="B701" s="50"/>
      <c r="C701" s="50"/>
      <c r="D701" s="50"/>
      <c r="E701" s="50"/>
      <c r="F701" s="50"/>
      <c r="G701" s="58"/>
      <c r="H701" s="50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.75" customHeight="1">
      <c r="A702" s="9"/>
      <c r="B702" s="50"/>
      <c r="C702" s="50"/>
      <c r="D702" s="50"/>
      <c r="E702" s="50"/>
      <c r="F702" s="50"/>
      <c r="G702" s="58"/>
      <c r="H702" s="50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.75" customHeight="1">
      <c r="A703" s="9"/>
      <c r="B703" s="50"/>
      <c r="C703" s="50"/>
      <c r="D703" s="50"/>
      <c r="E703" s="50"/>
      <c r="F703" s="50"/>
      <c r="G703" s="58"/>
      <c r="H703" s="50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.75" customHeight="1">
      <c r="A704" s="9"/>
      <c r="B704" s="50"/>
      <c r="C704" s="50"/>
      <c r="D704" s="50"/>
      <c r="E704" s="50"/>
      <c r="F704" s="50"/>
      <c r="G704" s="58"/>
      <c r="H704" s="50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.75" customHeight="1">
      <c r="A705" s="9"/>
      <c r="B705" s="50"/>
      <c r="C705" s="50"/>
      <c r="D705" s="50"/>
      <c r="E705" s="50"/>
      <c r="F705" s="50"/>
      <c r="G705" s="58"/>
      <c r="H705" s="50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.75" customHeight="1">
      <c r="A706" s="9"/>
      <c r="B706" s="50"/>
      <c r="C706" s="50"/>
      <c r="D706" s="50"/>
      <c r="E706" s="50"/>
      <c r="F706" s="50"/>
      <c r="G706" s="58"/>
      <c r="H706" s="50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.75" customHeight="1">
      <c r="A707" s="9"/>
      <c r="B707" s="50"/>
      <c r="C707" s="50"/>
      <c r="D707" s="50"/>
      <c r="E707" s="50"/>
      <c r="F707" s="50"/>
      <c r="G707" s="58"/>
      <c r="H707" s="50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.75" customHeight="1">
      <c r="A708" s="9"/>
      <c r="B708" s="50"/>
      <c r="C708" s="50"/>
      <c r="D708" s="50"/>
      <c r="E708" s="50"/>
      <c r="F708" s="50"/>
      <c r="G708" s="58"/>
      <c r="H708" s="50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.75" customHeight="1">
      <c r="A709" s="9"/>
      <c r="B709" s="50"/>
      <c r="C709" s="50"/>
      <c r="D709" s="50"/>
      <c r="E709" s="50"/>
      <c r="F709" s="50"/>
      <c r="G709" s="58"/>
      <c r="H709" s="50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.75" customHeight="1">
      <c r="A710" s="9"/>
      <c r="B710" s="50"/>
      <c r="C710" s="50"/>
      <c r="D710" s="50"/>
      <c r="E710" s="50"/>
      <c r="F710" s="50"/>
      <c r="G710" s="58"/>
      <c r="H710" s="50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.75" customHeight="1">
      <c r="A711" s="9"/>
      <c r="B711" s="50"/>
      <c r="C711" s="50"/>
      <c r="D711" s="50"/>
      <c r="E711" s="50"/>
      <c r="F711" s="50"/>
      <c r="G711" s="58"/>
      <c r="H711" s="50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.75" customHeight="1">
      <c r="A712" s="9"/>
      <c r="B712" s="50"/>
      <c r="C712" s="50"/>
      <c r="D712" s="50"/>
      <c r="E712" s="50"/>
      <c r="F712" s="50"/>
      <c r="G712" s="58"/>
      <c r="H712" s="50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.75" customHeight="1">
      <c r="A713" s="9"/>
      <c r="B713" s="50"/>
      <c r="C713" s="50"/>
      <c r="D713" s="50"/>
      <c r="E713" s="50"/>
      <c r="F713" s="50"/>
      <c r="G713" s="58"/>
      <c r="H713" s="50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.75" customHeight="1">
      <c r="A714" s="9"/>
      <c r="B714" s="50"/>
      <c r="C714" s="50"/>
      <c r="D714" s="50"/>
      <c r="E714" s="50"/>
      <c r="F714" s="50"/>
      <c r="G714" s="58"/>
      <c r="H714" s="50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.75" customHeight="1">
      <c r="A715" s="9"/>
      <c r="B715" s="50"/>
      <c r="C715" s="50"/>
      <c r="D715" s="50"/>
      <c r="E715" s="50"/>
      <c r="F715" s="50"/>
      <c r="G715" s="58"/>
      <c r="H715" s="50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.75" customHeight="1">
      <c r="A716" s="9"/>
      <c r="B716" s="50"/>
      <c r="C716" s="50"/>
      <c r="D716" s="50"/>
      <c r="E716" s="50"/>
      <c r="F716" s="50"/>
      <c r="G716" s="58"/>
      <c r="H716" s="50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.75" customHeight="1">
      <c r="A717" s="9"/>
      <c r="B717" s="50"/>
      <c r="C717" s="50"/>
      <c r="D717" s="50"/>
      <c r="E717" s="50"/>
      <c r="F717" s="50"/>
      <c r="G717" s="58"/>
      <c r="H717" s="50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.75" customHeight="1">
      <c r="A718" s="9"/>
      <c r="B718" s="50"/>
      <c r="C718" s="50"/>
      <c r="D718" s="50"/>
      <c r="E718" s="50"/>
      <c r="F718" s="50"/>
      <c r="G718" s="58"/>
      <c r="H718" s="50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.75" customHeight="1">
      <c r="A719" s="9"/>
      <c r="B719" s="50"/>
      <c r="C719" s="50"/>
      <c r="D719" s="50"/>
      <c r="E719" s="50"/>
      <c r="F719" s="50"/>
      <c r="G719" s="58"/>
      <c r="H719" s="50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.75" customHeight="1">
      <c r="A720" s="9"/>
      <c r="B720" s="50"/>
      <c r="C720" s="50"/>
      <c r="D720" s="50"/>
      <c r="E720" s="50"/>
      <c r="F720" s="50"/>
      <c r="G720" s="58"/>
      <c r="H720" s="50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.75" customHeight="1">
      <c r="A721" s="9"/>
      <c r="B721" s="50"/>
      <c r="C721" s="50"/>
      <c r="D721" s="50"/>
      <c r="E721" s="50"/>
      <c r="F721" s="50"/>
      <c r="G721" s="58"/>
      <c r="H721" s="50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.75" customHeight="1">
      <c r="A722" s="9"/>
      <c r="B722" s="50"/>
      <c r="C722" s="50"/>
      <c r="D722" s="50"/>
      <c r="E722" s="50"/>
      <c r="F722" s="50"/>
      <c r="G722" s="58"/>
      <c r="H722" s="50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.75" customHeight="1">
      <c r="A723" s="9"/>
      <c r="B723" s="50"/>
      <c r="C723" s="50"/>
      <c r="D723" s="50"/>
      <c r="E723" s="50"/>
      <c r="F723" s="50"/>
      <c r="G723" s="58"/>
      <c r="H723" s="50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.75" customHeight="1">
      <c r="A724" s="9"/>
      <c r="B724" s="50"/>
      <c r="C724" s="50"/>
      <c r="D724" s="50"/>
      <c r="E724" s="50"/>
      <c r="F724" s="50"/>
      <c r="G724" s="58"/>
      <c r="H724" s="50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.75" customHeight="1">
      <c r="A725" s="9"/>
      <c r="B725" s="50"/>
      <c r="C725" s="50"/>
      <c r="D725" s="50"/>
      <c r="E725" s="50"/>
      <c r="F725" s="50"/>
      <c r="G725" s="58"/>
      <c r="H725" s="50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.75" customHeight="1">
      <c r="A726" s="9"/>
      <c r="B726" s="50"/>
      <c r="C726" s="50"/>
      <c r="D726" s="50"/>
      <c r="E726" s="50"/>
      <c r="F726" s="50"/>
      <c r="G726" s="58"/>
      <c r="H726" s="50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.75" customHeight="1">
      <c r="A727" s="9"/>
      <c r="B727" s="50"/>
      <c r="C727" s="50"/>
      <c r="D727" s="50"/>
      <c r="E727" s="50"/>
      <c r="F727" s="50"/>
      <c r="G727" s="58"/>
      <c r="H727" s="50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.75" customHeight="1">
      <c r="A728" s="9"/>
      <c r="B728" s="50"/>
      <c r="C728" s="50"/>
      <c r="D728" s="50"/>
      <c r="E728" s="50"/>
      <c r="F728" s="50"/>
      <c r="G728" s="58"/>
      <c r="H728" s="50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.75" customHeight="1">
      <c r="A729" s="9"/>
      <c r="B729" s="50"/>
      <c r="C729" s="50"/>
      <c r="D729" s="50"/>
      <c r="E729" s="50"/>
      <c r="F729" s="50"/>
      <c r="G729" s="58"/>
      <c r="H729" s="50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.75" customHeight="1">
      <c r="A730" s="9"/>
      <c r="B730" s="50"/>
      <c r="C730" s="50"/>
      <c r="D730" s="50"/>
      <c r="E730" s="50"/>
      <c r="F730" s="50"/>
      <c r="G730" s="58"/>
      <c r="H730" s="50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.75" customHeight="1">
      <c r="A731" s="9"/>
      <c r="B731" s="50"/>
      <c r="C731" s="50"/>
      <c r="D731" s="50"/>
      <c r="E731" s="50"/>
      <c r="F731" s="50"/>
      <c r="G731" s="58"/>
      <c r="H731" s="50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.75" customHeight="1">
      <c r="A732" s="9"/>
      <c r="B732" s="50"/>
      <c r="C732" s="50"/>
      <c r="D732" s="50"/>
      <c r="E732" s="50"/>
      <c r="F732" s="50"/>
      <c r="G732" s="58"/>
      <c r="H732" s="50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.75" customHeight="1">
      <c r="A733" s="9"/>
      <c r="B733" s="50"/>
      <c r="C733" s="50"/>
      <c r="D733" s="50"/>
      <c r="E733" s="50"/>
      <c r="F733" s="50"/>
      <c r="G733" s="58"/>
      <c r="H733" s="50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.75" customHeight="1">
      <c r="A734" s="9"/>
      <c r="B734" s="50"/>
      <c r="C734" s="50"/>
      <c r="D734" s="50"/>
      <c r="E734" s="50"/>
      <c r="F734" s="50"/>
      <c r="G734" s="58"/>
      <c r="H734" s="50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.75" customHeight="1">
      <c r="A735" s="9"/>
      <c r="B735" s="50"/>
      <c r="C735" s="50"/>
      <c r="D735" s="50"/>
      <c r="E735" s="50"/>
      <c r="F735" s="50"/>
      <c r="G735" s="58"/>
      <c r="H735" s="50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.75" customHeight="1">
      <c r="A736" s="9"/>
      <c r="B736" s="50"/>
      <c r="C736" s="50"/>
      <c r="D736" s="50"/>
      <c r="E736" s="50"/>
      <c r="F736" s="50"/>
      <c r="G736" s="58"/>
      <c r="H736" s="50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.75" customHeight="1">
      <c r="A737" s="9"/>
      <c r="B737" s="50"/>
      <c r="C737" s="50"/>
      <c r="D737" s="50"/>
      <c r="E737" s="50"/>
      <c r="F737" s="50"/>
      <c r="G737" s="58"/>
      <c r="H737" s="50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.75" customHeight="1">
      <c r="A738" s="9"/>
      <c r="B738" s="50"/>
      <c r="C738" s="50"/>
      <c r="D738" s="50"/>
      <c r="E738" s="50"/>
      <c r="F738" s="50"/>
      <c r="G738" s="58"/>
      <c r="H738" s="50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.75" customHeight="1">
      <c r="A739" s="9"/>
      <c r="B739" s="50"/>
      <c r="C739" s="50"/>
      <c r="D739" s="50"/>
      <c r="E739" s="50"/>
      <c r="F739" s="50"/>
      <c r="G739" s="58"/>
      <c r="H739" s="50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.75" customHeight="1">
      <c r="A740" s="9"/>
      <c r="B740" s="50"/>
      <c r="C740" s="50"/>
      <c r="D740" s="50"/>
      <c r="E740" s="50"/>
      <c r="F740" s="50"/>
      <c r="G740" s="58"/>
      <c r="H740" s="50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.75" customHeight="1">
      <c r="A741" s="9"/>
      <c r="B741" s="50"/>
      <c r="C741" s="50"/>
      <c r="D741" s="50"/>
      <c r="E741" s="50"/>
      <c r="F741" s="50"/>
      <c r="G741" s="58"/>
      <c r="H741" s="50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.75" customHeight="1">
      <c r="A742" s="9"/>
      <c r="B742" s="50"/>
      <c r="C742" s="50"/>
      <c r="D742" s="50"/>
      <c r="E742" s="50"/>
      <c r="F742" s="50"/>
      <c r="G742" s="58"/>
      <c r="H742" s="50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.75" customHeight="1">
      <c r="A743" s="9"/>
      <c r="B743" s="50"/>
      <c r="C743" s="50"/>
      <c r="D743" s="50"/>
      <c r="E743" s="50"/>
      <c r="F743" s="50"/>
      <c r="G743" s="58"/>
      <c r="H743" s="50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.75" customHeight="1">
      <c r="A744" s="9"/>
      <c r="B744" s="50"/>
      <c r="C744" s="50"/>
      <c r="D744" s="50"/>
      <c r="E744" s="50"/>
      <c r="F744" s="50"/>
      <c r="G744" s="58"/>
      <c r="H744" s="50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.75" customHeight="1">
      <c r="A745" s="9"/>
      <c r="B745" s="50"/>
      <c r="C745" s="50"/>
      <c r="D745" s="50"/>
      <c r="E745" s="50"/>
      <c r="F745" s="50"/>
      <c r="G745" s="58"/>
      <c r="H745" s="50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.75" customHeight="1">
      <c r="A746" s="9"/>
      <c r="B746" s="50"/>
      <c r="C746" s="50"/>
      <c r="D746" s="50"/>
      <c r="E746" s="50"/>
      <c r="F746" s="50"/>
      <c r="G746" s="58"/>
      <c r="H746" s="50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.75" customHeight="1">
      <c r="A747" s="9"/>
      <c r="B747" s="50"/>
      <c r="C747" s="50"/>
      <c r="D747" s="50"/>
      <c r="E747" s="50"/>
      <c r="F747" s="50"/>
      <c r="G747" s="58"/>
      <c r="H747" s="50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.75" customHeight="1">
      <c r="A748" s="9"/>
      <c r="B748" s="50"/>
      <c r="C748" s="50"/>
      <c r="D748" s="50"/>
      <c r="E748" s="50"/>
      <c r="F748" s="50"/>
      <c r="G748" s="58"/>
      <c r="H748" s="50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.75" customHeight="1">
      <c r="A749" s="9"/>
      <c r="B749" s="50"/>
      <c r="C749" s="50"/>
      <c r="D749" s="50"/>
      <c r="E749" s="50"/>
      <c r="F749" s="50"/>
      <c r="G749" s="58"/>
      <c r="H749" s="50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.75" customHeight="1">
      <c r="A750" s="9"/>
      <c r="B750" s="50"/>
      <c r="C750" s="50"/>
      <c r="D750" s="50"/>
      <c r="E750" s="50"/>
      <c r="F750" s="50"/>
      <c r="G750" s="58"/>
      <c r="H750" s="50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.75" customHeight="1">
      <c r="A751" s="9"/>
      <c r="B751" s="50"/>
      <c r="C751" s="50"/>
      <c r="D751" s="50"/>
      <c r="E751" s="50"/>
      <c r="F751" s="50"/>
      <c r="G751" s="58"/>
      <c r="H751" s="50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.75" customHeight="1">
      <c r="A752" s="9"/>
      <c r="B752" s="50"/>
      <c r="C752" s="50"/>
      <c r="D752" s="50"/>
      <c r="E752" s="50"/>
      <c r="F752" s="50"/>
      <c r="G752" s="58"/>
      <c r="H752" s="50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.75" customHeight="1">
      <c r="A753" s="9"/>
      <c r="B753" s="50"/>
      <c r="C753" s="50"/>
      <c r="D753" s="50"/>
      <c r="E753" s="50"/>
      <c r="F753" s="50"/>
      <c r="G753" s="58"/>
      <c r="H753" s="50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.75" customHeight="1">
      <c r="A754" s="9"/>
      <c r="B754" s="50"/>
      <c r="C754" s="50"/>
      <c r="D754" s="50"/>
      <c r="E754" s="50"/>
      <c r="F754" s="50"/>
      <c r="G754" s="58"/>
      <c r="H754" s="50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.75" customHeight="1">
      <c r="A755" s="9"/>
      <c r="B755" s="50"/>
      <c r="C755" s="50"/>
      <c r="D755" s="50"/>
      <c r="E755" s="50"/>
      <c r="F755" s="50"/>
      <c r="G755" s="58"/>
      <c r="H755" s="50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.75" customHeight="1">
      <c r="A756" s="9"/>
      <c r="B756" s="50"/>
      <c r="C756" s="50"/>
      <c r="D756" s="50"/>
      <c r="E756" s="50"/>
      <c r="F756" s="50"/>
      <c r="G756" s="58"/>
      <c r="H756" s="50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.75" customHeight="1">
      <c r="A757" s="9"/>
      <c r="B757" s="50"/>
      <c r="C757" s="50"/>
      <c r="D757" s="50"/>
      <c r="E757" s="50"/>
      <c r="F757" s="50"/>
      <c r="G757" s="58"/>
      <c r="H757" s="50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.75" customHeight="1">
      <c r="A758" s="9"/>
      <c r="B758" s="50"/>
      <c r="C758" s="50"/>
      <c r="D758" s="50"/>
      <c r="E758" s="50"/>
      <c r="F758" s="50"/>
      <c r="G758" s="58"/>
      <c r="H758" s="50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.75" customHeight="1">
      <c r="A759" s="9"/>
      <c r="B759" s="50"/>
      <c r="C759" s="50"/>
      <c r="D759" s="50"/>
      <c r="E759" s="50"/>
      <c r="F759" s="50"/>
      <c r="G759" s="58"/>
      <c r="H759" s="50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.75" customHeight="1">
      <c r="A760" s="9"/>
      <c r="B760" s="50"/>
      <c r="C760" s="50"/>
      <c r="D760" s="50"/>
      <c r="E760" s="50"/>
      <c r="F760" s="50"/>
      <c r="G760" s="58"/>
      <c r="H760" s="50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.75" customHeight="1">
      <c r="A761" s="9"/>
      <c r="B761" s="50"/>
      <c r="C761" s="50"/>
      <c r="D761" s="50"/>
      <c r="E761" s="50"/>
      <c r="F761" s="50"/>
      <c r="G761" s="58"/>
      <c r="H761" s="50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.75" customHeight="1">
      <c r="A762" s="9"/>
      <c r="B762" s="50"/>
      <c r="C762" s="50"/>
      <c r="D762" s="50"/>
      <c r="E762" s="50"/>
      <c r="F762" s="50"/>
      <c r="G762" s="58"/>
      <c r="H762" s="50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.75" customHeight="1">
      <c r="A763" s="9"/>
      <c r="B763" s="50"/>
      <c r="C763" s="50"/>
      <c r="D763" s="50"/>
      <c r="E763" s="50"/>
      <c r="F763" s="50"/>
      <c r="G763" s="58"/>
      <c r="H763" s="50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.75" customHeight="1">
      <c r="A764" s="9"/>
      <c r="B764" s="50"/>
      <c r="C764" s="50"/>
      <c r="D764" s="50"/>
      <c r="E764" s="50"/>
      <c r="F764" s="50"/>
      <c r="G764" s="58"/>
      <c r="H764" s="50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.75" customHeight="1">
      <c r="A765" s="9"/>
      <c r="B765" s="50"/>
      <c r="C765" s="50"/>
      <c r="D765" s="50"/>
      <c r="E765" s="50"/>
      <c r="F765" s="50"/>
      <c r="G765" s="58"/>
      <c r="H765" s="50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.75" customHeight="1">
      <c r="A766" s="9"/>
      <c r="B766" s="50"/>
      <c r="C766" s="50"/>
      <c r="D766" s="50"/>
      <c r="E766" s="50"/>
      <c r="F766" s="50"/>
      <c r="G766" s="58"/>
      <c r="H766" s="50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.75" customHeight="1">
      <c r="A767" s="9"/>
      <c r="B767" s="50"/>
      <c r="C767" s="50"/>
      <c r="D767" s="50"/>
      <c r="E767" s="50"/>
      <c r="F767" s="50"/>
      <c r="G767" s="58"/>
      <c r="H767" s="50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.75" customHeight="1">
      <c r="A768" s="9"/>
      <c r="B768" s="50"/>
      <c r="C768" s="50"/>
      <c r="D768" s="50"/>
      <c r="E768" s="50"/>
      <c r="F768" s="50"/>
      <c r="G768" s="58"/>
      <c r="H768" s="50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.75" customHeight="1">
      <c r="A769" s="9"/>
      <c r="B769" s="50"/>
      <c r="C769" s="50"/>
      <c r="D769" s="50"/>
      <c r="E769" s="50"/>
      <c r="F769" s="50"/>
      <c r="G769" s="58"/>
      <c r="H769" s="50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.75" customHeight="1">
      <c r="A770" s="9"/>
      <c r="B770" s="50"/>
      <c r="C770" s="50"/>
      <c r="D770" s="50"/>
      <c r="E770" s="50"/>
      <c r="F770" s="50"/>
      <c r="G770" s="58"/>
      <c r="H770" s="50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.75" customHeight="1">
      <c r="A771" s="9"/>
      <c r="B771" s="50"/>
      <c r="C771" s="50"/>
      <c r="D771" s="50"/>
      <c r="E771" s="50"/>
      <c r="F771" s="50"/>
      <c r="G771" s="58"/>
      <c r="H771" s="50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.75" customHeight="1">
      <c r="A772" s="9"/>
      <c r="B772" s="50"/>
      <c r="C772" s="50"/>
      <c r="D772" s="50"/>
      <c r="E772" s="50"/>
      <c r="F772" s="50"/>
      <c r="G772" s="58"/>
      <c r="H772" s="50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.75" customHeight="1">
      <c r="A773" s="9"/>
      <c r="B773" s="50"/>
      <c r="C773" s="50"/>
      <c r="D773" s="50"/>
      <c r="E773" s="50"/>
      <c r="F773" s="50"/>
      <c r="G773" s="58"/>
      <c r="H773" s="50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.75" customHeight="1">
      <c r="A774" s="9"/>
      <c r="B774" s="50"/>
      <c r="C774" s="50"/>
      <c r="D774" s="50"/>
      <c r="E774" s="50"/>
      <c r="F774" s="50"/>
      <c r="G774" s="58"/>
      <c r="H774" s="50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.75" customHeight="1">
      <c r="A775" s="9"/>
      <c r="B775" s="50"/>
      <c r="C775" s="50"/>
      <c r="D775" s="50"/>
      <c r="E775" s="50"/>
      <c r="F775" s="50"/>
      <c r="G775" s="58"/>
      <c r="H775" s="50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.75" customHeight="1">
      <c r="A776" s="9"/>
      <c r="B776" s="50"/>
      <c r="C776" s="50"/>
      <c r="D776" s="50"/>
      <c r="E776" s="50"/>
      <c r="F776" s="50"/>
      <c r="G776" s="58"/>
      <c r="H776" s="50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.75" customHeight="1">
      <c r="A777" s="9"/>
      <c r="B777" s="50"/>
      <c r="C777" s="50"/>
      <c r="D777" s="50"/>
      <c r="E777" s="50"/>
      <c r="F777" s="50"/>
      <c r="G777" s="58"/>
      <c r="H777" s="50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.75" customHeight="1">
      <c r="A778" s="9"/>
      <c r="B778" s="50"/>
      <c r="C778" s="50"/>
      <c r="D778" s="50"/>
      <c r="E778" s="50"/>
      <c r="F778" s="50"/>
      <c r="G778" s="58"/>
      <c r="H778" s="50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.75" customHeight="1">
      <c r="A779" s="9"/>
      <c r="B779" s="50"/>
      <c r="C779" s="50"/>
      <c r="D779" s="50"/>
      <c r="E779" s="50"/>
      <c r="F779" s="50"/>
      <c r="G779" s="58"/>
      <c r="H779" s="50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.75" customHeight="1">
      <c r="A780" s="9"/>
      <c r="B780" s="50"/>
      <c r="C780" s="50"/>
      <c r="D780" s="50"/>
      <c r="E780" s="50"/>
      <c r="F780" s="50"/>
      <c r="G780" s="58"/>
      <c r="H780" s="50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.75" customHeight="1">
      <c r="A781" s="9"/>
      <c r="B781" s="50"/>
      <c r="C781" s="50"/>
      <c r="D781" s="50"/>
      <c r="E781" s="50"/>
      <c r="F781" s="50"/>
      <c r="G781" s="58"/>
      <c r="H781" s="50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.75" customHeight="1">
      <c r="A782" s="9"/>
      <c r="B782" s="50"/>
      <c r="C782" s="50"/>
      <c r="D782" s="50"/>
      <c r="E782" s="50"/>
      <c r="F782" s="50"/>
      <c r="G782" s="58"/>
      <c r="H782" s="50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.75" customHeight="1">
      <c r="A783" s="9"/>
      <c r="B783" s="50"/>
      <c r="C783" s="50"/>
      <c r="D783" s="50"/>
      <c r="E783" s="50"/>
      <c r="F783" s="50"/>
      <c r="G783" s="58"/>
      <c r="H783" s="50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.75" customHeight="1">
      <c r="A784" s="9"/>
      <c r="B784" s="50"/>
      <c r="C784" s="50"/>
      <c r="D784" s="50"/>
      <c r="E784" s="50"/>
      <c r="F784" s="50"/>
      <c r="G784" s="58"/>
      <c r="H784" s="50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.75" customHeight="1">
      <c r="A785" s="9"/>
      <c r="B785" s="50"/>
      <c r="C785" s="50"/>
      <c r="D785" s="50"/>
      <c r="E785" s="50"/>
      <c r="F785" s="50"/>
      <c r="G785" s="58"/>
      <c r="H785" s="50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.75" customHeight="1">
      <c r="A786" s="9"/>
      <c r="B786" s="50"/>
      <c r="C786" s="50"/>
      <c r="D786" s="50"/>
      <c r="E786" s="50"/>
      <c r="F786" s="50"/>
      <c r="G786" s="58"/>
      <c r="H786" s="50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.75" customHeight="1">
      <c r="A787" s="9"/>
      <c r="B787" s="50"/>
      <c r="C787" s="50"/>
      <c r="D787" s="50"/>
      <c r="E787" s="50"/>
      <c r="F787" s="50"/>
      <c r="G787" s="58"/>
      <c r="H787" s="50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.75" customHeight="1">
      <c r="A788" s="9"/>
      <c r="B788" s="50"/>
      <c r="C788" s="50"/>
      <c r="D788" s="50"/>
      <c r="E788" s="50"/>
      <c r="F788" s="50"/>
      <c r="G788" s="58"/>
      <c r="H788" s="50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.75" customHeight="1">
      <c r="A789" s="9"/>
      <c r="B789" s="50"/>
      <c r="C789" s="50"/>
      <c r="D789" s="50"/>
      <c r="E789" s="50"/>
      <c r="F789" s="50"/>
      <c r="G789" s="58"/>
      <c r="H789" s="50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.75" customHeight="1">
      <c r="A790" s="9"/>
      <c r="B790" s="50"/>
      <c r="C790" s="50"/>
      <c r="D790" s="50"/>
      <c r="E790" s="50"/>
      <c r="F790" s="50"/>
      <c r="G790" s="58"/>
      <c r="H790" s="50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.75" customHeight="1">
      <c r="A791" s="9"/>
      <c r="B791" s="50"/>
      <c r="C791" s="50"/>
      <c r="D791" s="50"/>
      <c r="E791" s="50"/>
      <c r="F791" s="50"/>
      <c r="G791" s="58"/>
      <c r="H791" s="50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.75" customHeight="1">
      <c r="A792" s="9"/>
      <c r="B792" s="50"/>
      <c r="C792" s="50"/>
      <c r="D792" s="50"/>
      <c r="E792" s="50"/>
      <c r="F792" s="50"/>
      <c r="G792" s="58"/>
      <c r="H792" s="50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.75" customHeight="1">
      <c r="A793" s="9"/>
      <c r="B793" s="50"/>
      <c r="C793" s="50"/>
      <c r="D793" s="50"/>
      <c r="E793" s="50"/>
      <c r="F793" s="50"/>
      <c r="G793" s="58"/>
      <c r="H793" s="50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.75" customHeight="1">
      <c r="A794" s="9"/>
      <c r="B794" s="50"/>
      <c r="C794" s="50"/>
      <c r="D794" s="50"/>
      <c r="E794" s="50"/>
      <c r="F794" s="50"/>
      <c r="G794" s="58"/>
      <c r="H794" s="50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.75" customHeight="1">
      <c r="A795" s="9"/>
      <c r="B795" s="50"/>
      <c r="C795" s="50"/>
      <c r="D795" s="50"/>
      <c r="E795" s="50"/>
      <c r="F795" s="50"/>
      <c r="G795" s="58"/>
      <c r="H795" s="50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.75" customHeight="1">
      <c r="A796" s="9"/>
      <c r="B796" s="50"/>
      <c r="C796" s="50"/>
      <c r="D796" s="50"/>
      <c r="E796" s="50"/>
      <c r="F796" s="50"/>
      <c r="G796" s="58"/>
      <c r="H796" s="50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.75" customHeight="1">
      <c r="A797" s="9"/>
      <c r="B797" s="50"/>
      <c r="C797" s="50"/>
      <c r="D797" s="50"/>
      <c r="E797" s="50"/>
      <c r="F797" s="50"/>
      <c r="G797" s="58"/>
      <c r="H797" s="50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.75" customHeight="1">
      <c r="A798" s="9"/>
      <c r="B798" s="50"/>
      <c r="C798" s="50"/>
      <c r="D798" s="50"/>
      <c r="E798" s="50"/>
      <c r="F798" s="50"/>
      <c r="G798" s="58"/>
      <c r="H798" s="50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.75" customHeight="1">
      <c r="A799" s="9"/>
      <c r="B799" s="50"/>
      <c r="C799" s="50"/>
      <c r="D799" s="50"/>
      <c r="E799" s="50"/>
      <c r="F799" s="50"/>
      <c r="G799" s="58"/>
      <c r="H799" s="50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.75" customHeight="1">
      <c r="A800" s="9"/>
      <c r="B800" s="50"/>
      <c r="C800" s="50"/>
      <c r="D800" s="50"/>
      <c r="E800" s="50"/>
      <c r="F800" s="50"/>
      <c r="G800" s="58"/>
      <c r="H800" s="50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.75" customHeight="1">
      <c r="A801" s="9"/>
      <c r="B801" s="50"/>
      <c r="C801" s="50"/>
      <c r="D801" s="50"/>
      <c r="E801" s="50"/>
      <c r="F801" s="50"/>
      <c r="G801" s="58"/>
      <c r="H801" s="50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.75" customHeight="1">
      <c r="A802" s="9"/>
      <c r="B802" s="50"/>
      <c r="C802" s="50"/>
      <c r="D802" s="50"/>
      <c r="E802" s="50"/>
      <c r="F802" s="50"/>
      <c r="G802" s="58"/>
      <c r="H802" s="50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.75" customHeight="1">
      <c r="A803" s="9"/>
      <c r="B803" s="50"/>
      <c r="C803" s="50"/>
      <c r="D803" s="50"/>
      <c r="E803" s="50"/>
      <c r="F803" s="50"/>
      <c r="G803" s="58"/>
      <c r="H803" s="50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.75" customHeight="1">
      <c r="A804" s="9"/>
      <c r="B804" s="50"/>
      <c r="C804" s="50"/>
      <c r="D804" s="50"/>
      <c r="E804" s="50"/>
      <c r="F804" s="50"/>
      <c r="G804" s="58"/>
      <c r="H804" s="50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.75" customHeight="1">
      <c r="A805" s="9"/>
      <c r="B805" s="50"/>
      <c r="C805" s="50"/>
      <c r="D805" s="50"/>
      <c r="E805" s="50"/>
      <c r="F805" s="50"/>
      <c r="G805" s="58"/>
      <c r="H805" s="50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.75" customHeight="1">
      <c r="A806" s="9"/>
      <c r="B806" s="50"/>
      <c r="C806" s="50"/>
      <c r="D806" s="50"/>
      <c r="E806" s="50"/>
      <c r="F806" s="50"/>
      <c r="G806" s="58"/>
      <c r="H806" s="50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.75" customHeight="1">
      <c r="A807" s="9"/>
      <c r="B807" s="9"/>
      <c r="C807" s="9"/>
      <c r="D807" s="9"/>
      <c r="E807" s="9"/>
      <c r="F807" s="9"/>
      <c r="G807" s="52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.75" customHeight="1">
      <c r="A808" s="9"/>
      <c r="B808" s="9"/>
      <c r="C808" s="9"/>
      <c r="D808" s="9"/>
      <c r="E808" s="9"/>
      <c r="F808" s="9"/>
      <c r="G808" s="52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.75" customHeight="1">
      <c r="A809" s="9"/>
      <c r="B809" s="9"/>
      <c r="C809" s="9"/>
      <c r="D809" s="9"/>
      <c r="E809" s="9"/>
      <c r="F809" s="9"/>
      <c r="G809" s="52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.75" customHeight="1">
      <c r="A810" s="9"/>
      <c r="B810" s="9"/>
      <c r="C810" s="9"/>
      <c r="D810" s="9"/>
      <c r="E810" s="9"/>
      <c r="F810" s="9"/>
      <c r="G810" s="52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.75" customHeight="1">
      <c r="A811" s="9"/>
      <c r="B811" s="9"/>
      <c r="C811" s="9"/>
      <c r="D811" s="9"/>
      <c r="E811" s="9"/>
      <c r="F811" s="9"/>
      <c r="G811" s="52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.75" customHeight="1">
      <c r="A812" s="9"/>
      <c r="B812" s="9"/>
      <c r="C812" s="9"/>
      <c r="D812" s="9"/>
      <c r="E812" s="9"/>
      <c r="F812" s="9"/>
      <c r="G812" s="52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.75" customHeight="1">
      <c r="A813" s="9"/>
      <c r="B813" s="9"/>
      <c r="C813" s="9"/>
      <c r="D813" s="9"/>
      <c r="E813" s="9"/>
      <c r="F813" s="9"/>
      <c r="G813" s="52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.75" customHeight="1">
      <c r="A814" s="9"/>
      <c r="B814" s="9"/>
      <c r="C814" s="9"/>
      <c r="D814" s="9"/>
      <c r="E814" s="9"/>
      <c r="F814" s="9"/>
      <c r="G814" s="52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.75" customHeight="1">
      <c r="A815" s="9"/>
      <c r="B815" s="9"/>
      <c r="C815" s="9"/>
      <c r="D815" s="9"/>
      <c r="E815" s="9"/>
      <c r="F815" s="9"/>
      <c r="G815" s="52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.75" customHeight="1">
      <c r="A816" s="9"/>
      <c r="B816" s="9"/>
      <c r="C816" s="9"/>
      <c r="D816" s="9"/>
      <c r="E816" s="9"/>
      <c r="F816" s="9"/>
      <c r="G816" s="52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.75" customHeight="1">
      <c r="A817" s="9"/>
      <c r="B817" s="9"/>
      <c r="C817" s="9"/>
      <c r="D817" s="9"/>
      <c r="E817" s="9"/>
      <c r="F817" s="9"/>
      <c r="G817" s="52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.75" customHeight="1">
      <c r="A818" s="9"/>
      <c r="B818" s="9"/>
      <c r="C818" s="9"/>
      <c r="D818" s="9"/>
      <c r="E818" s="9"/>
      <c r="F818" s="9"/>
      <c r="G818" s="52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.75" customHeight="1">
      <c r="A819" s="9"/>
      <c r="B819" s="9"/>
      <c r="C819" s="9"/>
      <c r="D819" s="9"/>
      <c r="E819" s="9"/>
      <c r="F819" s="9"/>
      <c r="G819" s="52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.75" customHeight="1">
      <c r="A820" s="9"/>
      <c r="B820" s="9"/>
      <c r="C820" s="9"/>
      <c r="D820" s="9"/>
      <c r="E820" s="9"/>
      <c r="F820" s="9"/>
      <c r="G820" s="52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.75" customHeight="1">
      <c r="A821" s="9"/>
      <c r="B821" s="9"/>
      <c r="C821" s="9"/>
      <c r="D821" s="9"/>
      <c r="E821" s="9"/>
      <c r="F821" s="9"/>
      <c r="G821" s="52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.75" customHeight="1">
      <c r="A822" s="9"/>
      <c r="B822" s="9"/>
      <c r="C822" s="9"/>
      <c r="D822" s="9"/>
      <c r="E822" s="9"/>
      <c r="F822" s="9"/>
      <c r="G822" s="52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.75" customHeight="1">
      <c r="A823" s="9"/>
      <c r="B823" s="9"/>
      <c r="C823" s="9"/>
      <c r="D823" s="9"/>
      <c r="E823" s="9"/>
      <c r="F823" s="9"/>
      <c r="G823" s="52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.75" customHeight="1">
      <c r="A824" s="9"/>
      <c r="B824" s="9"/>
      <c r="C824" s="9"/>
      <c r="D824" s="9"/>
      <c r="E824" s="9"/>
      <c r="F824" s="9"/>
      <c r="G824" s="52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.75" customHeight="1">
      <c r="A825" s="9"/>
      <c r="B825" s="9"/>
      <c r="C825" s="9"/>
      <c r="D825" s="9"/>
      <c r="E825" s="9"/>
      <c r="F825" s="9"/>
      <c r="G825" s="52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.75" customHeight="1">
      <c r="A826" s="9"/>
      <c r="B826" s="9"/>
      <c r="C826" s="9"/>
      <c r="D826" s="9"/>
      <c r="E826" s="9"/>
      <c r="F826" s="9"/>
      <c r="G826" s="52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.75" customHeight="1">
      <c r="A827" s="9"/>
      <c r="B827" s="9"/>
      <c r="C827" s="9"/>
      <c r="D827" s="9"/>
      <c r="E827" s="9"/>
      <c r="F827" s="9"/>
      <c r="G827" s="52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.75" customHeight="1">
      <c r="A828" s="9"/>
      <c r="B828" s="9"/>
      <c r="C828" s="9"/>
      <c r="D828" s="9"/>
      <c r="E828" s="9"/>
      <c r="F828" s="9"/>
      <c r="G828" s="52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.75" customHeight="1">
      <c r="A829" s="9"/>
      <c r="B829" s="9"/>
      <c r="C829" s="9"/>
      <c r="D829" s="9"/>
      <c r="E829" s="9"/>
      <c r="F829" s="9"/>
      <c r="G829" s="52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.75" customHeight="1">
      <c r="A830" s="9"/>
      <c r="B830" s="9"/>
      <c r="C830" s="9"/>
      <c r="D830" s="9"/>
      <c r="E830" s="9"/>
      <c r="F830" s="9"/>
      <c r="G830" s="52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.75" customHeight="1">
      <c r="A831" s="9"/>
      <c r="B831" s="9"/>
      <c r="C831" s="9"/>
      <c r="D831" s="9"/>
      <c r="E831" s="9"/>
      <c r="F831" s="9"/>
      <c r="G831" s="52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.75" customHeight="1">
      <c r="A832" s="9"/>
      <c r="B832" s="9"/>
      <c r="C832" s="9"/>
      <c r="D832" s="9"/>
      <c r="E832" s="9"/>
      <c r="F832" s="9"/>
      <c r="G832" s="52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.75" customHeight="1">
      <c r="A833" s="9"/>
      <c r="B833" s="9"/>
      <c r="C833" s="9"/>
      <c r="D833" s="9"/>
      <c r="E833" s="9"/>
      <c r="F833" s="9"/>
      <c r="G833" s="52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.75" customHeight="1">
      <c r="A834" s="9"/>
      <c r="B834" s="9"/>
      <c r="C834" s="9"/>
      <c r="D834" s="9"/>
      <c r="E834" s="9"/>
      <c r="F834" s="9"/>
      <c r="G834" s="52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.75" customHeight="1">
      <c r="A835" s="9"/>
      <c r="B835" s="9"/>
      <c r="C835" s="9"/>
      <c r="D835" s="9"/>
      <c r="E835" s="9"/>
      <c r="F835" s="9"/>
      <c r="G835" s="52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.75" customHeight="1">
      <c r="A836" s="9"/>
      <c r="B836" s="9"/>
      <c r="C836" s="9"/>
      <c r="D836" s="9"/>
      <c r="E836" s="9"/>
      <c r="F836" s="9"/>
      <c r="G836" s="52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.75" customHeight="1">
      <c r="A837" s="9"/>
      <c r="B837" s="9"/>
      <c r="C837" s="9"/>
      <c r="D837" s="9"/>
      <c r="E837" s="9"/>
      <c r="F837" s="9"/>
      <c r="G837" s="52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.75" customHeight="1">
      <c r="A838" s="9"/>
      <c r="B838" s="9"/>
      <c r="C838" s="9"/>
      <c r="D838" s="9"/>
      <c r="E838" s="9"/>
      <c r="F838" s="9"/>
      <c r="G838" s="52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.75" customHeight="1">
      <c r="A839" s="9"/>
      <c r="B839" s="9"/>
      <c r="C839" s="9"/>
      <c r="D839" s="9"/>
      <c r="E839" s="9"/>
      <c r="F839" s="9"/>
      <c r="G839" s="52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.75" customHeight="1">
      <c r="A840" s="9"/>
      <c r="B840" s="9"/>
      <c r="C840" s="9"/>
      <c r="D840" s="9"/>
      <c r="E840" s="9"/>
      <c r="F840" s="9"/>
      <c r="G840" s="52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.75" customHeight="1">
      <c r="A841" s="9"/>
      <c r="B841" s="9"/>
      <c r="C841" s="9"/>
      <c r="D841" s="9"/>
      <c r="E841" s="9"/>
      <c r="F841" s="9"/>
      <c r="G841" s="52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.75" customHeight="1">
      <c r="A842" s="9"/>
      <c r="B842" s="9"/>
      <c r="C842" s="9"/>
      <c r="D842" s="9"/>
      <c r="E842" s="9"/>
      <c r="F842" s="9"/>
      <c r="G842" s="52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.75" customHeight="1">
      <c r="A843" s="9"/>
      <c r="B843" s="9"/>
      <c r="C843" s="9"/>
      <c r="D843" s="9"/>
      <c r="E843" s="9"/>
      <c r="F843" s="9"/>
      <c r="G843" s="52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.75" customHeight="1">
      <c r="A844" s="9"/>
      <c r="B844" s="9"/>
      <c r="C844" s="9"/>
      <c r="D844" s="9"/>
      <c r="E844" s="9"/>
      <c r="F844" s="9"/>
      <c r="G844" s="52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.75" customHeight="1">
      <c r="A845" s="9"/>
      <c r="B845" s="9"/>
      <c r="C845" s="9"/>
      <c r="D845" s="9"/>
      <c r="E845" s="9"/>
      <c r="F845" s="9"/>
      <c r="G845" s="52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.75" customHeight="1">
      <c r="A846" s="9"/>
      <c r="B846" s="9"/>
      <c r="C846" s="9"/>
      <c r="D846" s="9"/>
      <c r="E846" s="9"/>
      <c r="F846" s="9"/>
      <c r="G846" s="52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.75" customHeight="1">
      <c r="A847" s="9"/>
      <c r="B847" s="9"/>
      <c r="C847" s="9"/>
      <c r="D847" s="9"/>
      <c r="E847" s="9"/>
      <c r="F847" s="9"/>
      <c r="G847" s="52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.75" customHeight="1">
      <c r="A848" s="9"/>
      <c r="B848" s="9"/>
      <c r="C848" s="9"/>
      <c r="D848" s="9"/>
      <c r="E848" s="9"/>
      <c r="F848" s="9"/>
      <c r="G848" s="52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.75" customHeight="1">
      <c r="A849" s="9"/>
      <c r="B849" s="9"/>
      <c r="C849" s="9"/>
      <c r="D849" s="9"/>
      <c r="E849" s="9"/>
      <c r="F849" s="9"/>
      <c r="G849" s="52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.75" customHeight="1">
      <c r="A850" s="9"/>
      <c r="B850" s="9"/>
      <c r="C850" s="9"/>
      <c r="D850" s="9"/>
      <c r="E850" s="9"/>
      <c r="F850" s="9"/>
      <c r="G850" s="52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.75" customHeight="1">
      <c r="A851" s="9"/>
      <c r="B851" s="9"/>
      <c r="C851" s="9"/>
      <c r="D851" s="9"/>
      <c r="E851" s="9"/>
      <c r="F851" s="9"/>
      <c r="G851" s="52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.75" customHeight="1">
      <c r="A852" s="9"/>
      <c r="B852" s="9"/>
      <c r="C852" s="9"/>
      <c r="D852" s="9"/>
      <c r="E852" s="9"/>
      <c r="F852" s="9"/>
      <c r="G852" s="52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.75" customHeight="1">
      <c r="A853" s="9"/>
      <c r="B853" s="9"/>
      <c r="C853" s="9"/>
      <c r="D853" s="9"/>
      <c r="E853" s="9"/>
      <c r="F853" s="9"/>
      <c r="G853" s="52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.75" customHeight="1">
      <c r="A854" s="9"/>
      <c r="B854" s="9"/>
      <c r="C854" s="9"/>
      <c r="D854" s="9"/>
      <c r="E854" s="9"/>
      <c r="F854" s="9"/>
      <c r="G854" s="52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.75" customHeight="1">
      <c r="A855" s="9"/>
      <c r="B855" s="9"/>
      <c r="C855" s="9"/>
      <c r="D855" s="9"/>
      <c r="E855" s="9"/>
      <c r="F855" s="9"/>
      <c r="G855" s="52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.75" customHeight="1">
      <c r="A856" s="9"/>
      <c r="B856" s="9"/>
      <c r="C856" s="9"/>
      <c r="D856" s="9"/>
      <c r="E856" s="9"/>
      <c r="F856" s="9"/>
      <c r="G856" s="52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.75" customHeight="1">
      <c r="A857" s="9"/>
      <c r="B857" s="9"/>
      <c r="C857" s="9"/>
      <c r="D857" s="9"/>
      <c r="E857" s="9"/>
      <c r="F857" s="9"/>
      <c r="G857" s="52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.75" customHeight="1">
      <c r="A858" s="9"/>
      <c r="B858" s="9"/>
      <c r="C858" s="9"/>
      <c r="D858" s="9"/>
      <c r="E858" s="9"/>
      <c r="F858" s="9"/>
      <c r="G858" s="52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.75" customHeight="1">
      <c r="A859" s="9"/>
      <c r="B859" s="9"/>
      <c r="C859" s="9"/>
      <c r="D859" s="9"/>
      <c r="E859" s="9"/>
      <c r="F859" s="9"/>
      <c r="G859" s="52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.75" customHeight="1">
      <c r="A860" s="9"/>
      <c r="B860" s="9"/>
      <c r="C860" s="9"/>
      <c r="D860" s="9"/>
      <c r="E860" s="9"/>
      <c r="F860" s="9"/>
      <c r="G860" s="52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.75" customHeight="1">
      <c r="A861" s="9"/>
      <c r="B861" s="9"/>
      <c r="C861" s="9"/>
      <c r="D861" s="9"/>
      <c r="E861" s="9"/>
      <c r="F861" s="9"/>
      <c r="G861" s="52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.75" customHeight="1">
      <c r="A862" s="9"/>
      <c r="B862" s="9"/>
      <c r="C862" s="9"/>
      <c r="D862" s="9"/>
      <c r="E862" s="9"/>
      <c r="F862" s="9"/>
      <c r="G862" s="52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.75" customHeight="1">
      <c r="A863" s="9"/>
      <c r="B863" s="9"/>
      <c r="C863" s="9"/>
      <c r="D863" s="9"/>
      <c r="E863" s="9"/>
      <c r="F863" s="9"/>
      <c r="G863" s="52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.75" customHeight="1">
      <c r="A864" s="9"/>
      <c r="B864" s="9"/>
      <c r="C864" s="9"/>
      <c r="D864" s="9"/>
      <c r="E864" s="9"/>
      <c r="F864" s="9"/>
      <c r="G864" s="52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.75" customHeight="1">
      <c r="A865" s="9"/>
      <c r="B865" s="9"/>
      <c r="C865" s="9"/>
      <c r="D865" s="9"/>
      <c r="E865" s="9"/>
      <c r="F865" s="9"/>
      <c r="G865" s="52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.75" customHeight="1">
      <c r="A866" s="9"/>
      <c r="B866" s="9"/>
      <c r="C866" s="9"/>
      <c r="D866" s="9"/>
      <c r="E866" s="9"/>
      <c r="F866" s="9"/>
      <c r="G866" s="52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.75" customHeight="1">
      <c r="A867" s="9"/>
      <c r="B867" s="9"/>
      <c r="C867" s="9"/>
      <c r="D867" s="9"/>
      <c r="E867" s="9"/>
      <c r="F867" s="9"/>
      <c r="G867" s="52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.75" customHeight="1">
      <c r="A868" s="9"/>
      <c r="B868" s="9"/>
      <c r="C868" s="9"/>
      <c r="D868" s="9"/>
      <c r="E868" s="9"/>
      <c r="F868" s="9"/>
      <c r="G868" s="52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.75" customHeight="1">
      <c r="A869" s="9"/>
      <c r="B869" s="9"/>
      <c r="C869" s="9"/>
      <c r="D869" s="9"/>
      <c r="E869" s="9"/>
      <c r="F869" s="9"/>
      <c r="G869" s="52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.75" customHeight="1">
      <c r="A870" s="9"/>
      <c r="B870" s="9"/>
      <c r="C870" s="9"/>
      <c r="D870" s="9"/>
      <c r="E870" s="9"/>
      <c r="F870" s="9"/>
      <c r="G870" s="52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.75" customHeight="1">
      <c r="A871" s="9"/>
      <c r="B871" s="9"/>
      <c r="C871" s="9"/>
      <c r="D871" s="9"/>
      <c r="E871" s="9"/>
      <c r="F871" s="9"/>
      <c r="G871" s="52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.75" customHeight="1">
      <c r="A872" s="9"/>
      <c r="B872" s="9"/>
      <c r="C872" s="9"/>
      <c r="D872" s="9"/>
      <c r="E872" s="9"/>
      <c r="F872" s="9"/>
      <c r="G872" s="52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.75" customHeight="1">
      <c r="A873" s="9"/>
      <c r="B873" s="9"/>
      <c r="C873" s="9"/>
      <c r="D873" s="9"/>
      <c r="E873" s="9"/>
      <c r="F873" s="9"/>
      <c r="G873" s="52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.75" customHeight="1">
      <c r="A874" s="9"/>
      <c r="B874" s="9"/>
      <c r="C874" s="9"/>
      <c r="D874" s="9"/>
      <c r="E874" s="9"/>
      <c r="F874" s="9"/>
      <c r="G874" s="52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.75" customHeight="1">
      <c r="A875" s="9"/>
      <c r="B875" s="9"/>
      <c r="C875" s="9"/>
      <c r="D875" s="9"/>
      <c r="E875" s="9"/>
      <c r="F875" s="9"/>
      <c r="G875" s="52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.75" customHeight="1">
      <c r="A876" s="9"/>
      <c r="B876" s="9"/>
      <c r="C876" s="9"/>
      <c r="D876" s="9"/>
      <c r="E876" s="9"/>
      <c r="F876" s="9"/>
      <c r="G876" s="52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.75" customHeight="1">
      <c r="A877" s="9"/>
      <c r="B877" s="9"/>
      <c r="C877" s="9"/>
      <c r="D877" s="9"/>
      <c r="E877" s="9"/>
      <c r="F877" s="9"/>
      <c r="G877" s="52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.75" customHeight="1">
      <c r="A878" s="9"/>
      <c r="B878" s="9"/>
      <c r="C878" s="9"/>
      <c r="D878" s="9"/>
      <c r="E878" s="9"/>
      <c r="F878" s="9"/>
      <c r="G878" s="52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.75" customHeight="1">
      <c r="A879" s="9"/>
      <c r="B879" s="9"/>
      <c r="C879" s="9"/>
      <c r="D879" s="9"/>
      <c r="E879" s="9"/>
      <c r="F879" s="9"/>
      <c r="G879" s="52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.75" customHeight="1">
      <c r="A880" s="9"/>
      <c r="B880" s="9"/>
      <c r="C880" s="9"/>
      <c r="D880" s="9"/>
      <c r="E880" s="9"/>
      <c r="F880" s="9"/>
      <c r="G880" s="52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.75" customHeight="1">
      <c r="A881" s="9"/>
      <c r="B881" s="9"/>
      <c r="C881" s="9"/>
      <c r="D881" s="9"/>
      <c r="E881" s="9"/>
      <c r="F881" s="9"/>
      <c r="G881" s="52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.75" customHeight="1">
      <c r="A882" s="9"/>
      <c r="B882" s="9"/>
      <c r="C882" s="9"/>
      <c r="D882" s="9"/>
      <c r="E882" s="9"/>
      <c r="F882" s="9"/>
      <c r="G882" s="52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.75" customHeight="1">
      <c r="A883" s="9"/>
      <c r="B883" s="9"/>
      <c r="C883" s="9"/>
      <c r="D883" s="9"/>
      <c r="E883" s="9"/>
      <c r="F883" s="9"/>
      <c r="G883" s="52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.75" customHeight="1">
      <c r="A884" s="9"/>
      <c r="B884" s="9"/>
      <c r="C884" s="9"/>
      <c r="D884" s="9"/>
      <c r="E884" s="9"/>
      <c r="F884" s="9"/>
      <c r="G884" s="52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.75" customHeight="1">
      <c r="A885" s="9"/>
      <c r="B885" s="9"/>
      <c r="C885" s="9"/>
      <c r="D885" s="9"/>
      <c r="E885" s="9"/>
      <c r="F885" s="9"/>
      <c r="G885" s="52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.75" customHeight="1">
      <c r="A886" s="9"/>
      <c r="B886" s="9"/>
      <c r="C886" s="9"/>
      <c r="D886" s="9"/>
      <c r="E886" s="9"/>
      <c r="F886" s="9"/>
      <c r="G886" s="52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.75" customHeight="1">
      <c r="A887" s="9"/>
      <c r="B887" s="9"/>
      <c r="C887" s="9"/>
      <c r="D887" s="9"/>
      <c r="E887" s="9"/>
      <c r="F887" s="9"/>
      <c r="G887" s="52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.75" customHeight="1">
      <c r="A888" s="9"/>
      <c r="B888" s="9"/>
      <c r="C888" s="9"/>
      <c r="D888" s="9"/>
      <c r="E888" s="9"/>
      <c r="F888" s="9"/>
      <c r="G888" s="52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.75" customHeight="1">
      <c r="A889" s="9"/>
      <c r="B889" s="9"/>
      <c r="C889" s="9"/>
      <c r="D889" s="9"/>
      <c r="E889" s="9"/>
      <c r="F889" s="9"/>
      <c r="G889" s="52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.75" customHeight="1">
      <c r="A890" s="9"/>
      <c r="B890" s="9"/>
      <c r="C890" s="9"/>
      <c r="D890" s="9"/>
      <c r="E890" s="9"/>
      <c r="F890" s="9"/>
      <c r="G890" s="52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.75" customHeight="1">
      <c r="A891" s="9"/>
      <c r="B891" s="9"/>
      <c r="C891" s="9"/>
      <c r="D891" s="9"/>
      <c r="E891" s="9"/>
      <c r="F891" s="9"/>
      <c r="G891" s="52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.75" customHeight="1">
      <c r="A892" s="9"/>
      <c r="B892" s="9"/>
      <c r="C892" s="9"/>
      <c r="D892" s="9"/>
      <c r="E892" s="9"/>
      <c r="F892" s="9"/>
      <c r="G892" s="52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.75" customHeight="1">
      <c r="A893" s="9"/>
      <c r="B893" s="9"/>
      <c r="C893" s="9"/>
      <c r="D893" s="9"/>
      <c r="E893" s="9"/>
      <c r="F893" s="9"/>
      <c r="G893" s="52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.75" customHeight="1">
      <c r="A894" s="9"/>
      <c r="B894" s="9"/>
      <c r="C894" s="9"/>
      <c r="D894" s="9"/>
      <c r="E894" s="9"/>
      <c r="F894" s="9"/>
      <c r="G894" s="52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.75" customHeight="1">
      <c r="A895" s="9"/>
      <c r="B895" s="9"/>
      <c r="C895" s="9"/>
      <c r="D895" s="9"/>
      <c r="E895" s="9"/>
      <c r="F895" s="9"/>
      <c r="G895" s="52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.75" customHeight="1">
      <c r="A896" s="9"/>
      <c r="B896" s="9"/>
      <c r="C896" s="9"/>
      <c r="D896" s="9"/>
      <c r="E896" s="9"/>
      <c r="F896" s="9"/>
      <c r="G896" s="52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.75" customHeight="1">
      <c r="A897" s="9"/>
      <c r="B897" s="9"/>
      <c r="C897" s="9"/>
      <c r="D897" s="9"/>
      <c r="E897" s="9"/>
      <c r="F897" s="9"/>
      <c r="G897" s="52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.75" customHeight="1">
      <c r="A898" s="9"/>
      <c r="B898" s="9"/>
      <c r="C898" s="9"/>
      <c r="D898" s="9"/>
      <c r="E898" s="9"/>
      <c r="F898" s="9"/>
      <c r="G898" s="52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.75" customHeight="1">
      <c r="A899" s="9"/>
      <c r="B899" s="9"/>
      <c r="C899" s="9"/>
      <c r="D899" s="9"/>
      <c r="E899" s="9"/>
      <c r="F899" s="9"/>
      <c r="G899" s="52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.75" customHeight="1">
      <c r="A900" s="9"/>
      <c r="B900" s="9"/>
      <c r="C900" s="9"/>
      <c r="D900" s="9"/>
      <c r="E900" s="9"/>
      <c r="F900" s="9"/>
      <c r="G900" s="52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.75" customHeight="1">
      <c r="A901" s="9"/>
      <c r="B901" s="9"/>
      <c r="C901" s="9"/>
      <c r="D901" s="9"/>
      <c r="E901" s="9"/>
      <c r="F901" s="9"/>
      <c r="G901" s="52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.75" customHeight="1">
      <c r="A902" s="9"/>
      <c r="B902" s="9"/>
      <c r="C902" s="9"/>
      <c r="D902" s="9"/>
      <c r="E902" s="9"/>
      <c r="F902" s="9"/>
      <c r="G902" s="52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.75" customHeight="1">
      <c r="A903" s="9"/>
      <c r="B903" s="9"/>
      <c r="C903" s="9"/>
      <c r="D903" s="9"/>
      <c r="E903" s="9"/>
      <c r="F903" s="9"/>
      <c r="G903" s="52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.75" customHeight="1">
      <c r="A904" s="9"/>
      <c r="B904" s="9"/>
      <c r="C904" s="9"/>
      <c r="D904" s="9"/>
      <c r="E904" s="9"/>
      <c r="F904" s="9"/>
      <c r="G904" s="52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.75" customHeight="1">
      <c r="A905" s="9"/>
      <c r="B905" s="9"/>
      <c r="C905" s="9"/>
      <c r="D905" s="9"/>
      <c r="E905" s="9"/>
      <c r="F905" s="9"/>
      <c r="G905" s="52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.75" customHeight="1">
      <c r="A906" s="9"/>
      <c r="B906" s="9"/>
      <c r="C906" s="9"/>
      <c r="D906" s="9"/>
      <c r="E906" s="9"/>
      <c r="F906" s="9"/>
      <c r="G906" s="52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.75" customHeight="1">
      <c r="A907" s="9"/>
      <c r="B907" s="9"/>
      <c r="C907" s="9"/>
      <c r="D907" s="9"/>
      <c r="E907" s="9"/>
      <c r="F907" s="9"/>
      <c r="G907" s="52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.75" customHeight="1">
      <c r="A908" s="9"/>
      <c r="B908" s="9"/>
      <c r="C908" s="9"/>
      <c r="D908" s="9"/>
      <c r="E908" s="9"/>
      <c r="F908" s="9"/>
      <c r="G908" s="52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.75" customHeight="1">
      <c r="A909" s="9"/>
      <c r="B909" s="9"/>
      <c r="C909" s="9"/>
      <c r="D909" s="9"/>
      <c r="E909" s="9"/>
      <c r="F909" s="9"/>
      <c r="G909" s="52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.75" customHeight="1">
      <c r="A910" s="9"/>
      <c r="B910" s="9"/>
      <c r="C910" s="9"/>
      <c r="D910" s="9"/>
      <c r="E910" s="9"/>
      <c r="F910" s="9"/>
      <c r="G910" s="52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.75" customHeight="1">
      <c r="A911" s="9"/>
      <c r="B911" s="9"/>
      <c r="C911" s="9"/>
      <c r="D911" s="9"/>
      <c r="E911" s="9"/>
      <c r="F911" s="9"/>
      <c r="G911" s="52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.75" customHeight="1">
      <c r="A912" s="9"/>
      <c r="B912" s="9"/>
      <c r="C912" s="9"/>
      <c r="D912" s="9"/>
      <c r="E912" s="9"/>
      <c r="F912" s="9"/>
      <c r="G912" s="52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.75" customHeight="1">
      <c r="A913" s="9"/>
      <c r="B913" s="9"/>
      <c r="C913" s="9"/>
      <c r="D913" s="9"/>
      <c r="E913" s="9"/>
      <c r="F913" s="9"/>
      <c r="G913" s="52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.75" customHeight="1">
      <c r="A914" s="9"/>
      <c r="B914" s="9"/>
      <c r="C914" s="9"/>
      <c r="D914" s="9"/>
      <c r="E914" s="9"/>
      <c r="F914" s="9"/>
      <c r="G914" s="52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.75" customHeight="1">
      <c r="A915" s="9"/>
      <c r="B915" s="9"/>
      <c r="C915" s="9"/>
      <c r="D915" s="9"/>
      <c r="E915" s="9"/>
      <c r="F915" s="9"/>
      <c r="G915" s="52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.75" customHeight="1">
      <c r="A916" s="9"/>
      <c r="B916" s="9"/>
      <c r="C916" s="9"/>
      <c r="D916" s="9"/>
      <c r="E916" s="9"/>
      <c r="F916" s="9"/>
      <c r="G916" s="52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.75" customHeight="1">
      <c r="A917" s="9"/>
      <c r="B917" s="9"/>
      <c r="C917" s="9"/>
      <c r="D917" s="9"/>
      <c r="E917" s="9"/>
      <c r="F917" s="9"/>
      <c r="G917" s="52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.75" customHeight="1">
      <c r="A918" s="9"/>
      <c r="B918" s="9"/>
      <c r="C918" s="9"/>
      <c r="D918" s="9"/>
      <c r="E918" s="9"/>
      <c r="F918" s="9"/>
      <c r="G918" s="52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.75" customHeight="1">
      <c r="A919" s="9"/>
      <c r="B919" s="9"/>
      <c r="C919" s="9"/>
      <c r="D919" s="9"/>
      <c r="E919" s="9"/>
      <c r="F919" s="9"/>
      <c r="G919" s="52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.75" customHeight="1">
      <c r="A920" s="9"/>
      <c r="B920" s="9"/>
      <c r="C920" s="9"/>
      <c r="D920" s="9"/>
      <c r="E920" s="9"/>
      <c r="F920" s="9"/>
      <c r="G920" s="52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.75" customHeight="1">
      <c r="A921" s="9"/>
      <c r="B921" s="9"/>
      <c r="C921" s="9"/>
      <c r="D921" s="9"/>
      <c r="E921" s="9"/>
      <c r="F921" s="9"/>
      <c r="G921" s="52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.75" customHeight="1">
      <c r="A922" s="9"/>
      <c r="B922" s="9"/>
      <c r="C922" s="9"/>
      <c r="D922" s="9"/>
      <c r="E922" s="9"/>
      <c r="F922" s="9"/>
      <c r="G922" s="52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.75" customHeight="1">
      <c r="A923" s="9"/>
      <c r="B923" s="9"/>
      <c r="C923" s="9"/>
      <c r="D923" s="9"/>
      <c r="E923" s="9"/>
      <c r="F923" s="9"/>
      <c r="G923" s="52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.75" customHeight="1">
      <c r="A924" s="9"/>
      <c r="B924" s="9"/>
      <c r="C924" s="9"/>
      <c r="D924" s="9"/>
      <c r="E924" s="9"/>
      <c r="F924" s="9"/>
      <c r="G924" s="52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.75" customHeight="1">
      <c r="A925" s="9"/>
      <c r="B925" s="9"/>
      <c r="C925" s="9"/>
      <c r="D925" s="9"/>
      <c r="E925" s="9"/>
      <c r="F925" s="9"/>
      <c r="G925" s="52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.75" customHeight="1">
      <c r="A926" s="9"/>
      <c r="B926" s="9"/>
      <c r="C926" s="9"/>
      <c r="D926" s="9"/>
      <c r="E926" s="9"/>
      <c r="F926" s="9"/>
      <c r="G926" s="52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.75" customHeight="1">
      <c r="A927" s="9"/>
      <c r="B927" s="9"/>
      <c r="C927" s="9"/>
      <c r="D927" s="9"/>
      <c r="E927" s="9"/>
      <c r="F927" s="9"/>
      <c r="G927" s="52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.75" customHeight="1">
      <c r="A928" s="9"/>
      <c r="B928" s="9"/>
      <c r="C928" s="9"/>
      <c r="D928" s="9"/>
      <c r="E928" s="9"/>
      <c r="F928" s="9"/>
      <c r="G928" s="52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.75" customHeight="1">
      <c r="A929" s="9"/>
      <c r="B929" s="9"/>
      <c r="C929" s="9"/>
      <c r="D929" s="9"/>
      <c r="E929" s="9"/>
      <c r="F929" s="9"/>
      <c r="G929" s="52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.75" customHeight="1">
      <c r="A930" s="9"/>
      <c r="B930" s="9"/>
      <c r="C930" s="9"/>
      <c r="D930" s="9"/>
      <c r="E930" s="9"/>
      <c r="F930" s="9"/>
      <c r="G930" s="52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.75" customHeight="1">
      <c r="A931" s="9"/>
      <c r="B931" s="9"/>
      <c r="C931" s="9"/>
      <c r="D931" s="9"/>
      <c r="E931" s="9"/>
      <c r="F931" s="9"/>
      <c r="G931" s="52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.75" customHeight="1">
      <c r="A932" s="9"/>
      <c r="B932" s="9"/>
      <c r="C932" s="9"/>
      <c r="D932" s="9"/>
      <c r="E932" s="9"/>
      <c r="F932" s="9"/>
      <c r="G932" s="52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.75" customHeight="1">
      <c r="A933" s="9"/>
      <c r="B933" s="9"/>
      <c r="C933" s="9"/>
      <c r="D933" s="9"/>
      <c r="E933" s="9"/>
      <c r="F933" s="9"/>
      <c r="G933" s="52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.75" customHeight="1">
      <c r="A934" s="9"/>
      <c r="B934" s="9"/>
      <c r="C934" s="9"/>
      <c r="D934" s="9"/>
      <c r="E934" s="9"/>
      <c r="F934" s="9"/>
      <c r="G934" s="52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.75" customHeight="1">
      <c r="A935" s="9"/>
      <c r="B935" s="9"/>
      <c r="C935" s="9"/>
      <c r="D935" s="9"/>
      <c r="E935" s="9"/>
      <c r="F935" s="9"/>
      <c r="G935" s="52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.75" customHeight="1">
      <c r="A936" s="9"/>
      <c r="B936" s="9"/>
      <c r="C936" s="9"/>
      <c r="D936" s="9"/>
      <c r="E936" s="9"/>
      <c r="F936" s="9"/>
      <c r="G936" s="52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.75" customHeight="1">
      <c r="A937" s="9"/>
      <c r="B937" s="9"/>
      <c r="C937" s="9"/>
      <c r="D937" s="9"/>
      <c r="E937" s="9"/>
      <c r="F937" s="9"/>
      <c r="G937" s="52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.75" customHeight="1">
      <c r="A938" s="9"/>
      <c r="B938" s="9"/>
      <c r="C938" s="9"/>
      <c r="D938" s="9"/>
      <c r="E938" s="9"/>
      <c r="F938" s="9"/>
      <c r="G938" s="52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.75" customHeight="1">
      <c r="A939" s="9"/>
      <c r="B939" s="9"/>
      <c r="C939" s="9"/>
      <c r="D939" s="9"/>
      <c r="E939" s="9"/>
      <c r="F939" s="9"/>
      <c r="G939" s="52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.75" customHeight="1">
      <c r="A940" s="9"/>
      <c r="B940" s="9"/>
      <c r="C940" s="9"/>
      <c r="D940" s="9"/>
      <c r="E940" s="9"/>
      <c r="F940" s="9"/>
      <c r="G940" s="52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.75" customHeight="1">
      <c r="A941" s="9"/>
      <c r="B941" s="9"/>
      <c r="C941" s="9"/>
      <c r="D941" s="9"/>
      <c r="E941" s="9"/>
      <c r="F941" s="9"/>
      <c r="G941" s="52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.75" customHeight="1">
      <c r="A942" s="9"/>
      <c r="B942" s="9"/>
      <c r="C942" s="9"/>
      <c r="D942" s="9"/>
      <c r="E942" s="9"/>
      <c r="F942" s="9"/>
      <c r="G942" s="52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.75" customHeight="1">
      <c r="A943" s="9"/>
      <c r="B943" s="9"/>
      <c r="C943" s="9"/>
      <c r="D943" s="9"/>
      <c r="E943" s="9"/>
      <c r="F943" s="9"/>
      <c r="G943" s="52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.75" customHeight="1">
      <c r="A944" s="9"/>
      <c r="B944" s="9"/>
      <c r="C944" s="9"/>
      <c r="D944" s="9"/>
      <c r="E944" s="9"/>
      <c r="F944" s="9"/>
      <c r="G944" s="52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.75" customHeight="1">
      <c r="A945" s="9"/>
      <c r="B945" s="9"/>
      <c r="C945" s="9"/>
      <c r="D945" s="9"/>
      <c r="E945" s="9"/>
      <c r="F945" s="9"/>
      <c r="G945" s="52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.75" customHeight="1">
      <c r="A946" s="9"/>
      <c r="B946" s="9"/>
      <c r="C946" s="9"/>
      <c r="D946" s="9"/>
      <c r="E946" s="9"/>
      <c r="F946" s="9"/>
      <c r="G946" s="52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.75" customHeight="1">
      <c r="A947" s="9"/>
      <c r="B947" s="9"/>
      <c r="C947" s="9"/>
      <c r="D947" s="9"/>
      <c r="E947" s="9"/>
      <c r="F947" s="9"/>
      <c r="G947" s="52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.75" customHeight="1">
      <c r="A948" s="9"/>
      <c r="B948" s="9"/>
      <c r="C948" s="9"/>
      <c r="D948" s="9"/>
      <c r="E948" s="9"/>
      <c r="F948" s="9"/>
      <c r="G948" s="52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.75" customHeight="1">
      <c r="A949" s="9"/>
      <c r="B949" s="9"/>
      <c r="C949" s="9"/>
      <c r="D949" s="9"/>
      <c r="E949" s="9"/>
      <c r="F949" s="9"/>
      <c r="G949" s="52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.75" customHeight="1">
      <c r="A950" s="9"/>
      <c r="B950" s="9"/>
      <c r="C950" s="9"/>
      <c r="D950" s="9"/>
      <c r="E950" s="9"/>
      <c r="F950" s="9"/>
      <c r="G950" s="52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.75" customHeight="1">
      <c r="A951" s="9"/>
      <c r="B951" s="9"/>
      <c r="C951" s="9"/>
      <c r="D951" s="9"/>
      <c r="E951" s="9"/>
      <c r="F951" s="9"/>
      <c r="G951" s="52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.75" customHeight="1">
      <c r="A952" s="9"/>
      <c r="B952" s="9"/>
      <c r="C952" s="9"/>
      <c r="D952" s="9"/>
      <c r="E952" s="9"/>
      <c r="F952" s="9"/>
      <c r="G952" s="52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.75" customHeight="1">
      <c r="A953" s="9"/>
      <c r="B953" s="9"/>
      <c r="C953" s="9"/>
      <c r="D953" s="9"/>
      <c r="E953" s="9"/>
      <c r="F953" s="9"/>
      <c r="G953" s="52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.75" customHeight="1">
      <c r="A954" s="9"/>
      <c r="B954" s="9"/>
      <c r="C954" s="9"/>
      <c r="D954" s="9"/>
      <c r="E954" s="9"/>
      <c r="F954" s="9"/>
      <c r="G954" s="52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.75" customHeight="1">
      <c r="A955" s="9"/>
      <c r="B955" s="9"/>
      <c r="C955" s="9"/>
      <c r="D955" s="9"/>
      <c r="E955" s="9"/>
      <c r="F955" s="9"/>
      <c r="G955" s="52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.75" customHeight="1">
      <c r="A956" s="9"/>
      <c r="B956" s="9"/>
      <c r="C956" s="9"/>
      <c r="D956" s="9"/>
      <c r="E956" s="9"/>
      <c r="F956" s="9"/>
      <c r="G956" s="52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.75" customHeight="1">
      <c r="A957" s="9"/>
      <c r="B957" s="9"/>
      <c r="C957" s="9"/>
      <c r="D957" s="9"/>
      <c r="E957" s="9"/>
      <c r="F957" s="9"/>
      <c r="G957" s="52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.75" customHeight="1">
      <c r="A958" s="9"/>
      <c r="B958" s="9"/>
      <c r="C958" s="9"/>
      <c r="D958" s="9"/>
      <c r="E958" s="9"/>
      <c r="F958" s="9"/>
      <c r="G958" s="52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.75" customHeight="1">
      <c r="A959" s="9"/>
      <c r="B959" s="9"/>
      <c r="C959" s="9"/>
      <c r="D959" s="9"/>
      <c r="E959" s="9"/>
      <c r="F959" s="9"/>
      <c r="G959" s="52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.75" customHeight="1">
      <c r="A960" s="9"/>
      <c r="B960" s="9"/>
      <c r="C960" s="9"/>
      <c r="D960" s="9"/>
      <c r="E960" s="9"/>
      <c r="F960" s="9"/>
      <c r="G960" s="52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.75" customHeight="1">
      <c r="A961" s="9"/>
      <c r="B961" s="9"/>
      <c r="C961" s="9"/>
      <c r="D961" s="9"/>
      <c r="E961" s="9"/>
      <c r="F961" s="9"/>
      <c r="G961" s="52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.75" customHeight="1">
      <c r="A962" s="9"/>
      <c r="B962" s="9"/>
      <c r="C962" s="9"/>
      <c r="D962" s="9"/>
      <c r="E962" s="9"/>
      <c r="F962" s="9"/>
      <c r="G962" s="52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.75" customHeight="1">
      <c r="A963" s="9"/>
      <c r="B963" s="9"/>
      <c r="C963" s="9"/>
      <c r="D963" s="9"/>
      <c r="E963" s="9"/>
      <c r="F963" s="9"/>
      <c r="G963" s="52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.75" customHeight="1">
      <c r="A964" s="9"/>
      <c r="B964" s="9"/>
      <c r="C964" s="9"/>
      <c r="D964" s="9"/>
      <c r="E964" s="9"/>
      <c r="F964" s="9"/>
      <c r="G964" s="52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.75" customHeight="1">
      <c r="A965" s="9"/>
      <c r="B965" s="9"/>
      <c r="C965" s="9"/>
      <c r="D965" s="9"/>
      <c r="E965" s="9"/>
      <c r="F965" s="9"/>
      <c r="G965" s="52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.75" customHeight="1">
      <c r="A966" s="9"/>
      <c r="B966" s="9"/>
      <c r="C966" s="9"/>
      <c r="D966" s="9"/>
      <c r="E966" s="9"/>
      <c r="F966" s="9"/>
      <c r="G966" s="52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.75" customHeight="1">
      <c r="A967" s="9"/>
      <c r="B967" s="9"/>
      <c r="C967" s="9"/>
      <c r="D967" s="9"/>
      <c r="E967" s="9"/>
      <c r="F967" s="9"/>
      <c r="G967" s="52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.75" customHeight="1">
      <c r="A968" s="9"/>
      <c r="B968" s="9"/>
      <c r="C968" s="9"/>
      <c r="D968" s="9"/>
      <c r="E968" s="9"/>
      <c r="F968" s="9"/>
      <c r="G968" s="52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.75" customHeight="1">
      <c r="A969" s="9"/>
      <c r="B969" s="9"/>
      <c r="C969" s="9"/>
      <c r="D969" s="9"/>
      <c r="E969" s="9"/>
      <c r="F969" s="9"/>
      <c r="G969" s="52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.75" customHeight="1">
      <c r="A970" s="9"/>
      <c r="B970" s="9"/>
      <c r="C970" s="9"/>
      <c r="D970" s="9"/>
      <c r="E970" s="9"/>
      <c r="F970" s="9"/>
      <c r="G970" s="52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.75" customHeight="1">
      <c r="A971" s="9"/>
      <c r="B971" s="9"/>
      <c r="C971" s="9"/>
      <c r="D971" s="9"/>
      <c r="E971" s="9"/>
      <c r="F971" s="9"/>
      <c r="G971" s="52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.75" customHeight="1">
      <c r="A972" s="9"/>
      <c r="B972" s="9"/>
      <c r="C972" s="9"/>
      <c r="D972" s="9"/>
      <c r="E972" s="9"/>
      <c r="F972" s="9"/>
      <c r="G972" s="52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.75" customHeight="1">
      <c r="A973" s="9"/>
      <c r="B973" s="9"/>
      <c r="C973" s="9"/>
      <c r="D973" s="9"/>
      <c r="E973" s="9"/>
      <c r="F973" s="9"/>
      <c r="G973" s="52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.75" customHeight="1">
      <c r="A974" s="9"/>
      <c r="B974" s="9"/>
      <c r="C974" s="9"/>
      <c r="D974" s="9"/>
      <c r="E974" s="9"/>
      <c r="F974" s="9"/>
      <c r="G974" s="52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5.75" customHeight="1">
      <c r="A975" s="9"/>
      <c r="B975" s="9"/>
      <c r="C975" s="9"/>
      <c r="D975" s="9"/>
      <c r="E975" s="9"/>
      <c r="F975" s="9"/>
      <c r="G975" s="52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.75" customHeight="1">
      <c r="A976" s="9"/>
      <c r="B976" s="9"/>
      <c r="C976" s="9"/>
      <c r="D976" s="9"/>
      <c r="E976" s="9"/>
      <c r="F976" s="9"/>
      <c r="G976" s="52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5.75" customHeight="1">
      <c r="A977" s="9"/>
      <c r="B977" s="9"/>
      <c r="C977" s="9"/>
      <c r="D977" s="9"/>
      <c r="E977" s="9"/>
      <c r="F977" s="9"/>
      <c r="G977" s="52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.75" customHeight="1">
      <c r="A978" s="9"/>
      <c r="B978" s="9"/>
      <c r="C978" s="9"/>
      <c r="D978" s="9"/>
      <c r="E978" s="9"/>
      <c r="F978" s="9"/>
      <c r="G978" s="52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5.75" customHeight="1">
      <c r="A979" s="9"/>
      <c r="B979" s="9"/>
      <c r="C979" s="9"/>
      <c r="D979" s="9"/>
      <c r="E979" s="9"/>
      <c r="F979" s="9"/>
      <c r="G979" s="52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.75" customHeight="1">
      <c r="A980" s="9"/>
      <c r="B980" s="9"/>
      <c r="C980" s="9"/>
      <c r="D980" s="9"/>
      <c r="E980" s="9"/>
      <c r="F980" s="9"/>
      <c r="G980" s="52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5.75" customHeight="1">
      <c r="A981" s="9"/>
      <c r="B981" s="9"/>
      <c r="C981" s="9"/>
      <c r="D981" s="9"/>
      <c r="E981" s="9"/>
      <c r="F981" s="9"/>
      <c r="G981" s="52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.75" customHeight="1">
      <c r="A982" s="9"/>
      <c r="B982" s="9"/>
      <c r="C982" s="9"/>
      <c r="D982" s="9"/>
      <c r="E982" s="9"/>
      <c r="F982" s="9"/>
      <c r="G982" s="52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5.75" customHeight="1">
      <c r="A983" s="9"/>
      <c r="B983" s="9"/>
      <c r="C983" s="9"/>
      <c r="D983" s="9"/>
      <c r="E983" s="9"/>
      <c r="F983" s="9"/>
      <c r="G983" s="52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.75" customHeight="1">
      <c r="A984" s="9"/>
      <c r="B984" s="9"/>
      <c r="C984" s="9"/>
      <c r="D984" s="9"/>
      <c r="E984" s="9"/>
      <c r="F984" s="9"/>
      <c r="G984" s="52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5.75" customHeight="1">
      <c r="A985" s="9"/>
      <c r="B985" s="9"/>
      <c r="C985" s="9"/>
      <c r="D985" s="9"/>
      <c r="E985" s="9"/>
      <c r="F985" s="9"/>
      <c r="G985" s="52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5.75" customHeight="1">
      <c r="A986" s="9"/>
      <c r="B986" s="9"/>
      <c r="C986" s="9"/>
      <c r="D986" s="9"/>
      <c r="E986" s="9"/>
      <c r="F986" s="9"/>
      <c r="G986" s="52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5.75" customHeight="1">
      <c r="A987" s="9"/>
      <c r="B987" s="9"/>
      <c r="C987" s="9"/>
      <c r="D987" s="9"/>
      <c r="E987" s="9"/>
      <c r="F987" s="9"/>
      <c r="G987" s="52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5.75" customHeight="1">
      <c r="A988" s="9"/>
      <c r="B988" s="9"/>
      <c r="C988" s="9"/>
      <c r="D988" s="9"/>
      <c r="E988" s="9"/>
      <c r="F988" s="9"/>
      <c r="G988" s="52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5.75" customHeight="1">
      <c r="A989" s="9"/>
      <c r="B989" s="9"/>
      <c r="C989" s="9"/>
      <c r="D989" s="9"/>
      <c r="E989" s="9"/>
      <c r="F989" s="9"/>
      <c r="G989" s="52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5.75" customHeight="1">
      <c r="A990" s="9"/>
      <c r="B990" s="9"/>
      <c r="C990" s="9"/>
      <c r="D990" s="9"/>
      <c r="E990" s="9"/>
      <c r="F990" s="9"/>
      <c r="G990" s="52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5.75" customHeight="1">
      <c r="A991" s="9"/>
      <c r="B991" s="9"/>
      <c r="C991" s="9"/>
      <c r="D991" s="9"/>
      <c r="E991" s="9"/>
      <c r="F991" s="9"/>
      <c r="G991" s="52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5.75" customHeight="1">
      <c r="A992" s="9"/>
      <c r="B992" s="9"/>
      <c r="C992" s="9"/>
      <c r="D992" s="9"/>
      <c r="E992" s="9"/>
      <c r="F992" s="9"/>
      <c r="G992" s="52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5.75" customHeight="1">
      <c r="A993" s="9"/>
      <c r="B993" s="9"/>
      <c r="C993" s="9"/>
      <c r="D993" s="9"/>
      <c r="E993" s="9"/>
      <c r="F993" s="9"/>
      <c r="G993" s="52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5.75" customHeight="1">
      <c r="A994" s="9"/>
      <c r="B994" s="9"/>
      <c r="C994" s="9"/>
      <c r="D994" s="9"/>
      <c r="E994" s="9"/>
      <c r="F994" s="9"/>
      <c r="G994" s="52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5.75" customHeight="1">
      <c r="A995" s="9"/>
      <c r="B995" s="9"/>
      <c r="C995" s="9"/>
      <c r="D995" s="9"/>
      <c r="E995" s="9"/>
      <c r="F995" s="9"/>
      <c r="G995" s="52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5.75" customHeight="1">
      <c r="A996" s="9"/>
      <c r="B996" s="9"/>
      <c r="C996" s="9"/>
      <c r="D996" s="9"/>
      <c r="E996" s="9"/>
      <c r="F996" s="9"/>
      <c r="G996" s="52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5.75" customHeight="1">
      <c r="A997" s="9"/>
      <c r="B997" s="9"/>
      <c r="C997" s="9"/>
      <c r="D997" s="9"/>
      <c r="E997" s="9"/>
      <c r="F997" s="9"/>
      <c r="G997" s="52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5.75" customHeight="1">
      <c r="A998" s="9"/>
      <c r="B998" s="9"/>
      <c r="C998" s="9"/>
      <c r="D998" s="9"/>
      <c r="E998" s="9"/>
      <c r="F998" s="9"/>
      <c r="G998" s="52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5.75" customHeight="1">
      <c r="A999" s="9"/>
      <c r="B999" s="9"/>
      <c r="C999" s="9"/>
      <c r="D999" s="9"/>
      <c r="E999" s="9"/>
      <c r="F999" s="9"/>
      <c r="G999" s="52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5.75" customHeight="1">
      <c r="A1000" s="9"/>
      <c r="B1000" s="9"/>
      <c r="C1000" s="9"/>
      <c r="D1000" s="9"/>
      <c r="E1000" s="9"/>
      <c r="F1000" s="9"/>
      <c r="G1000" s="52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ageMargins left="0.511811024" right="0.511811024" top="0.78740157499999996" bottom="0.78740157499999996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I1000"/>
  <sheetViews>
    <sheetView showGridLines="0" workbookViewId="0"/>
  </sheetViews>
  <sheetFormatPr defaultColWidth="14.42578125" defaultRowHeight="15" customHeight="1"/>
  <cols>
    <col min="1" max="1" width="8.7109375" customWidth="1"/>
    <col min="2" max="2" width="15.42578125" customWidth="1"/>
    <col min="3" max="3" width="5.42578125" customWidth="1"/>
    <col min="4" max="4" width="7.140625" customWidth="1"/>
    <col min="5" max="5" width="18.7109375" customWidth="1"/>
    <col min="6" max="6" width="20.7109375" customWidth="1"/>
    <col min="7" max="7" width="17.5703125" customWidth="1"/>
    <col min="8" max="8" width="8.7109375" customWidth="1"/>
    <col min="9" max="9" width="14" customWidth="1"/>
    <col min="10" max="26" width="8.7109375" customWidth="1"/>
  </cols>
  <sheetData>
    <row r="1" spans="1:9" ht="40.5" customHeight="1">
      <c r="A1" s="4" t="s">
        <v>18</v>
      </c>
      <c r="B1" s="59" t="s">
        <v>19</v>
      </c>
      <c r="C1" s="59" t="s">
        <v>20</v>
      </c>
      <c r="D1" s="59" t="s">
        <v>21</v>
      </c>
      <c r="E1" s="60" t="s">
        <v>22</v>
      </c>
      <c r="F1" s="61" t="s">
        <v>23</v>
      </c>
      <c r="G1" s="62" t="s">
        <v>24</v>
      </c>
      <c r="H1" s="62" t="s">
        <v>310</v>
      </c>
      <c r="I1" s="63">
        <f>SUBTOTAL(9,Mar!$G$2:$G$478)</f>
        <v>354538.75999999989</v>
      </c>
    </row>
    <row r="2" spans="1:9" ht="24" hidden="1">
      <c r="A2" s="64"/>
      <c r="B2" s="17">
        <v>45721</v>
      </c>
      <c r="C2" s="18">
        <v>0</v>
      </c>
      <c r="D2" s="18">
        <v>14175</v>
      </c>
      <c r="E2" s="65" t="s">
        <v>62</v>
      </c>
      <c r="F2" s="20">
        <v>372406878</v>
      </c>
      <c r="G2" s="21">
        <v>5000</v>
      </c>
    </row>
    <row r="3" spans="1:9" ht="28.5" hidden="1" customHeight="1">
      <c r="A3" s="64"/>
      <c r="B3" s="66"/>
      <c r="C3" s="66"/>
      <c r="D3" s="66"/>
      <c r="E3" s="24" t="s">
        <v>97</v>
      </c>
      <c r="F3" s="24"/>
      <c r="G3" s="67">
        <v>0</v>
      </c>
    </row>
    <row r="4" spans="1:9">
      <c r="A4" s="33" t="s">
        <v>140</v>
      </c>
      <c r="B4" s="34">
        <v>45721</v>
      </c>
      <c r="C4" s="35">
        <v>0</v>
      </c>
      <c r="D4" s="35">
        <v>14138</v>
      </c>
      <c r="E4" s="68" t="s">
        <v>141</v>
      </c>
      <c r="F4" s="69">
        <v>202502280062948</v>
      </c>
      <c r="G4" s="70">
        <v>1024.1600000000001</v>
      </c>
      <c r="H4" s="64">
        <v>3263</v>
      </c>
    </row>
    <row r="5" spans="1:9" ht="28.5" hidden="1">
      <c r="A5" s="64"/>
      <c r="B5" s="71"/>
      <c r="C5" s="71"/>
      <c r="D5" s="71"/>
      <c r="E5" s="13" t="s">
        <v>143</v>
      </c>
      <c r="F5" s="13"/>
      <c r="G5" s="72">
        <v>0</v>
      </c>
    </row>
    <row r="6" spans="1:9">
      <c r="A6" s="33" t="s">
        <v>140</v>
      </c>
      <c r="B6" s="41">
        <v>45721</v>
      </c>
      <c r="C6" s="42">
        <v>0</v>
      </c>
      <c r="D6" s="42">
        <v>14138</v>
      </c>
      <c r="E6" s="73" t="s">
        <v>141</v>
      </c>
      <c r="F6" s="74">
        <v>202502280062949</v>
      </c>
      <c r="G6" s="75">
        <v>1668.08</v>
      </c>
      <c r="H6" s="64">
        <v>3239</v>
      </c>
    </row>
    <row r="7" spans="1:9" ht="28.5" hidden="1">
      <c r="A7" s="64"/>
      <c r="B7" s="66"/>
      <c r="C7" s="66"/>
      <c r="D7" s="66"/>
      <c r="E7" s="24" t="s">
        <v>143</v>
      </c>
      <c r="F7" s="24"/>
      <c r="G7" s="67">
        <v>0</v>
      </c>
    </row>
    <row r="8" spans="1:9" ht="24" hidden="1">
      <c r="A8" s="64"/>
      <c r="B8" s="11">
        <v>45721</v>
      </c>
      <c r="C8" s="12">
        <v>1533</v>
      </c>
      <c r="D8" s="12">
        <v>99008</v>
      </c>
      <c r="E8" s="76" t="s">
        <v>29</v>
      </c>
      <c r="F8" s="27">
        <v>91862</v>
      </c>
      <c r="G8" s="77">
        <v>227.3</v>
      </c>
    </row>
    <row r="9" spans="1:9" ht="42.75" hidden="1">
      <c r="A9" s="64"/>
      <c r="B9" s="71"/>
      <c r="C9" s="71"/>
      <c r="D9" s="71"/>
      <c r="E9" s="13" t="s">
        <v>311</v>
      </c>
      <c r="F9" s="13"/>
      <c r="G9" s="72">
        <v>0</v>
      </c>
    </row>
    <row r="10" spans="1:9" ht="24" hidden="1">
      <c r="A10" s="64"/>
      <c r="B10" s="17">
        <v>45721</v>
      </c>
      <c r="C10" s="18">
        <v>0</v>
      </c>
      <c r="D10" s="18">
        <v>13105</v>
      </c>
      <c r="E10" s="65" t="s">
        <v>31</v>
      </c>
      <c r="F10" s="20">
        <v>30501</v>
      </c>
      <c r="G10" s="78">
        <v>49.9</v>
      </c>
    </row>
    <row r="11" spans="1:9" ht="42.75" hidden="1">
      <c r="A11" s="64"/>
      <c r="B11" s="66"/>
      <c r="C11" s="66"/>
      <c r="D11" s="66"/>
      <c r="E11" s="24" t="s">
        <v>43</v>
      </c>
      <c r="F11" s="24"/>
      <c r="G11" s="67">
        <v>0</v>
      </c>
    </row>
    <row r="12" spans="1:9" ht="24" hidden="1">
      <c r="A12" s="64"/>
      <c r="B12" s="11">
        <v>45721</v>
      </c>
      <c r="C12" s="12">
        <v>0</v>
      </c>
      <c r="D12" s="12">
        <v>13105</v>
      </c>
      <c r="E12" s="76" t="s">
        <v>31</v>
      </c>
      <c r="F12" s="27">
        <v>30502</v>
      </c>
      <c r="G12" s="77">
        <v>736.36</v>
      </c>
    </row>
    <row r="13" spans="1:9" ht="28.5" hidden="1">
      <c r="A13" s="64"/>
      <c r="B13" s="71"/>
      <c r="C13" s="71"/>
      <c r="D13" s="71"/>
      <c r="E13" s="13" t="s">
        <v>66</v>
      </c>
      <c r="F13" s="13"/>
      <c r="G13" s="72">
        <v>0</v>
      </c>
    </row>
    <row r="14" spans="1:9" ht="24" hidden="1">
      <c r="A14" s="64"/>
      <c r="B14" s="17">
        <v>45721</v>
      </c>
      <c r="C14" s="18">
        <v>0</v>
      </c>
      <c r="D14" s="18">
        <v>13105</v>
      </c>
      <c r="E14" s="65" t="s">
        <v>31</v>
      </c>
      <c r="F14" s="20">
        <v>30503</v>
      </c>
      <c r="G14" s="78">
        <v>187.2</v>
      </c>
    </row>
    <row r="15" spans="1:9" ht="28.5" hidden="1" customHeight="1">
      <c r="A15" s="64"/>
      <c r="B15" s="66"/>
      <c r="C15" s="66"/>
      <c r="D15" s="66"/>
      <c r="E15" s="24" t="s">
        <v>289</v>
      </c>
      <c r="F15" s="24"/>
      <c r="G15" s="67">
        <v>0</v>
      </c>
    </row>
    <row r="16" spans="1:9" ht="24" hidden="1">
      <c r="A16" s="64"/>
      <c r="B16" s="11">
        <v>45721</v>
      </c>
      <c r="C16" s="12">
        <v>0</v>
      </c>
      <c r="D16" s="12">
        <v>13105</v>
      </c>
      <c r="E16" s="76" t="s">
        <v>31</v>
      </c>
      <c r="F16" s="27">
        <v>30504</v>
      </c>
      <c r="G16" s="77">
        <v>393.58</v>
      </c>
    </row>
    <row r="17" spans="1:7" ht="28.5" hidden="1" customHeight="1">
      <c r="A17" s="64"/>
      <c r="B17" s="71"/>
      <c r="C17" s="71"/>
      <c r="D17" s="71"/>
      <c r="E17" s="13" t="s">
        <v>256</v>
      </c>
      <c r="F17" s="13"/>
      <c r="G17" s="72">
        <v>0</v>
      </c>
    </row>
    <row r="18" spans="1:7" ht="24" hidden="1">
      <c r="A18" s="64"/>
      <c r="B18" s="17">
        <v>45721</v>
      </c>
      <c r="C18" s="18">
        <v>0</v>
      </c>
      <c r="D18" s="18">
        <v>13105</v>
      </c>
      <c r="E18" s="65" t="s">
        <v>31</v>
      </c>
      <c r="F18" s="20">
        <v>30505</v>
      </c>
      <c r="G18" s="78">
        <v>2282.77</v>
      </c>
    </row>
    <row r="19" spans="1:7" ht="28.5" hidden="1" customHeight="1">
      <c r="A19" s="64"/>
      <c r="B19" s="66"/>
      <c r="C19" s="66"/>
      <c r="D19" s="66"/>
      <c r="E19" s="24" t="s">
        <v>256</v>
      </c>
      <c r="F19" s="24"/>
      <c r="G19" s="67">
        <v>0</v>
      </c>
    </row>
    <row r="20" spans="1:7" ht="24" hidden="1">
      <c r="A20" s="64"/>
      <c r="B20" s="11">
        <v>45721</v>
      </c>
      <c r="C20" s="12">
        <v>0</v>
      </c>
      <c r="D20" s="12">
        <v>13105</v>
      </c>
      <c r="E20" s="76" t="s">
        <v>31</v>
      </c>
      <c r="F20" s="27">
        <v>30506</v>
      </c>
      <c r="G20" s="77">
        <v>817.82</v>
      </c>
    </row>
    <row r="21" spans="1:7" ht="28.5" hidden="1" customHeight="1">
      <c r="A21" s="64"/>
      <c r="B21" s="71"/>
      <c r="C21" s="71"/>
      <c r="D21" s="71"/>
      <c r="E21" s="13" t="s">
        <v>188</v>
      </c>
      <c r="F21" s="13"/>
      <c r="G21" s="72">
        <v>0</v>
      </c>
    </row>
    <row r="22" spans="1:7" ht="15.75" hidden="1" customHeight="1">
      <c r="A22" s="64"/>
      <c r="B22" s="17">
        <v>45721</v>
      </c>
      <c r="C22" s="18">
        <v>0</v>
      </c>
      <c r="D22" s="18">
        <v>13105</v>
      </c>
      <c r="E22" s="65" t="s">
        <v>31</v>
      </c>
      <c r="F22" s="20">
        <v>30507</v>
      </c>
      <c r="G22" s="78">
        <v>305.44</v>
      </c>
    </row>
    <row r="23" spans="1:7" ht="15.75" hidden="1" customHeight="1">
      <c r="A23" s="64"/>
      <c r="B23" s="66"/>
      <c r="C23" s="66"/>
      <c r="D23" s="66"/>
      <c r="E23" s="24" t="s">
        <v>44</v>
      </c>
      <c r="F23" s="24"/>
      <c r="G23" s="67">
        <v>0</v>
      </c>
    </row>
    <row r="24" spans="1:7" ht="15.75" hidden="1" customHeight="1">
      <c r="A24" s="64"/>
      <c r="B24" s="11">
        <v>45721</v>
      </c>
      <c r="C24" s="12">
        <v>0</v>
      </c>
      <c r="D24" s="12">
        <v>13105</v>
      </c>
      <c r="E24" s="76" t="s">
        <v>31</v>
      </c>
      <c r="F24" s="27">
        <v>30508</v>
      </c>
      <c r="G24" s="77">
        <v>392.62</v>
      </c>
    </row>
    <row r="25" spans="1:7" ht="15.75" hidden="1" customHeight="1">
      <c r="A25" s="64"/>
      <c r="B25" s="71"/>
      <c r="C25" s="71"/>
      <c r="D25" s="71"/>
      <c r="E25" s="13" t="s">
        <v>44</v>
      </c>
      <c r="F25" s="13"/>
      <c r="G25" s="72">
        <v>0</v>
      </c>
    </row>
    <row r="26" spans="1:7" ht="15.75" hidden="1" customHeight="1">
      <c r="A26" s="64"/>
      <c r="B26" s="17">
        <v>45721</v>
      </c>
      <c r="C26" s="18">
        <v>0</v>
      </c>
      <c r="D26" s="18">
        <v>13105</v>
      </c>
      <c r="E26" s="65" t="s">
        <v>31</v>
      </c>
      <c r="F26" s="20">
        <v>30509</v>
      </c>
      <c r="G26" s="78">
        <v>2617.4</v>
      </c>
    </row>
    <row r="27" spans="1:7" ht="15.75" hidden="1" customHeight="1">
      <c r="A27" s="64"/>
      <c r="B27" s="66"/>
      <c r="C27" s="66"/>
      <c r="D27" s="66"/>
      <c r="E27" s="24" t="s">
        <v>33</v>
      </c>
      <c r="F27" s="24"/>
      <c r="G27" s="67">
        <v>0</v>
      </c>
    </row>
    <row r="28" spans="1:7" ht="15.75" hidden="1" customHeight="1">
      <c r="A28" s="64"/>
      <c r="B28" s="11">
        <v>45721</v>
      </c>
      <c r="C28" s="12">
        <v>0</v>
      </c>
      <c r="D28" s="12">
        <v>13105</v>
      </c>
      <c r="E28" s="76" t="s">
        <v>31</v>
      </c>
      <c r="F28" s="27">
        <v>30510</v>
      </c>
      <c r="G28" s="77">
        <v>158.30000000000001</v>
      </c>
    </row>
    <row r="29" spans="1:7" ht="15.75" hidden="1" customHeight="1">
      <c r="A29" s="64"/>
      <c r="B29" s="71"/>
      <c r="C29" s="71"/>
      <c r="D29" s="71"/>
      <c r="E29" s="13" t="s">
        <v>51</v>
      </c>
      <c r="F29" s="13"/>
      <c r="G29" s="72">
        <v>0</v>
      </c>
    </row>
    <row r="30" spans="1:7" ht="15.75" hidden="1" customHeight="1">
      <c r="A30" s="64"/>
      <c r="B30" s="17">
        <v>45721</v>
      </c>
      <c r="C30" s="18">
        <v>0</v>
      </c>
      <c r="D30" s="18">
        <v>0</v>
      </c>
      <c r="E30" s="65" t="s">
        <v>52</v>
      </c>
      <c r="F30" s="20">
        <v>9903</v>
      </c>
      <c r="G30" s="21">
        <v>476.45</v>
      </c>
    </row>
    <row r="31" spans="1:7" ht="15.75" hidden="1" customHeight="1">
      <c r="A31" s="64"/>
      <c r="B31" s="66"/>
      <c r="C31" s="66"/>
      <c r="D31" s="66"/>
      <c r="E31" s="24" t="s">
        <v>53</v>
      </c>
      <c r="F31" s="24"/>
      <c r="G31" s="67">
        <v>0</v>
      </c>
    </row>
    <row r="32" spans="1:7" ht="15.75" hidden="1" customHeight="1">
      <c r="A32" s="64"/>
      <c r="B32" s="11">
        <v>45722</v>
      </c>
      <c r="C32" s="12">
        <v>128</v>
      </c>
      <c r="D32" s="12">
        <v>99021</v>
      </c>
      <c r="E32" s="76" t="s">
        <v>27</v>
      </c>
      <c r="F32" s="27">
        <v>610128000064860</v>
      </c>
      <c r="G32" s="15">
        <v>2264.7600000000002</v>
      </c>
    </row>
    <row r="33" spans="1:7" ht="15.75" hidden="1" customHeight="1">
      <c r="A33" s="64"/>
      <c r="B33" s="71"/>
      <c r="C33" s="71"/>
      <c r="D33" s="71"/>
      <c r="E33" s="13" t="s">
        <v>312</v>
      </c>
      <c r="F33" s="13"/>
      <c r="G33" s="72">
        <v>0</v>
      </c>
    </row>
    <row r="34" spans="1:7" ht="15.75" hidden="1" customHeight="1">
      <c r="A34" s="64"/>
      <c r="B34" s="17">
        <v>45722</v>
      </c>
      <c r="C34" s="18">
        <v>0</v>
      </c>
      <c r="D34" s="18">
        <v>14397</v>
      </c>
      <c r="E34" s="65" t="s">
        <v>57</v>
      </c>
      <c r="F34" s="20">
        <v>60925331558762</v>
      </c>
      <c r="G34" s="21">
        <v>105.6</v>
      </c>
    </row>
    <row r="35" spans="1:7" ht="28.5" hidden="1" customHeight="1">
      <c r="A35" s="64"/>
      <c r="B35" s="66"/>
      <c r="C35" s="66"/>
      <c r="D35" s="66"/>
      <c r="E35" s="24" t="s">
        <v>313</v>
      </c>
      <c r="F35" s="24"/>
      <c r="G35" s="67">
        <v>0</v>
      </c>
    </row>
    <row r="36" spans="1:7" ht="15.75" hidden="1" customHeight="1">
      <c r="A36" s="64"/>
      <c r="B36" s="11">
        <v>45722</v>
      </c>
      <c r="C36" s="12">
        <v>0</v>
      </c>
      <c r="D36" s="12">
        <v>14397</v>
      </c>
      <c r="E36" s="76" t="s">
        <v>57</v>
      </c>
      <c r="F36" s="27">
        <v>61003344259782</v>
      </c>
      <c r="G36" s="15">
        <v>1270</v>
      </c>
    </row>
    <row r="37" spans="1:7" ht="28.5" hidden="1" customHeight="1">
      <c r="A37" s="64"/>
      <c r="B37" s="71"/>
      <c r="C37" s="71"/>
      <c r="D37" s="71"/>
      <c r="E37" s="13" t="s">
        <v>314</v>
      </c>
      <c r="F37" s="13"/>
      <c r="G37" s="72">
        <v>0</v>
      </c>
    </row>
    <row r="38" spans="1:7" ht="15.75" hidden="1" customHeight="1">
      <c r="A38" s="64"/>
      <c r="B38" s="17">
        <v>45722</v>
      </c>
      <c r="C38" s="18">
        <v>0</v>
      </c>
      <c r="D38" s="18">
        <v>14397</v>
      </c>
      <c r="E38" s="65" t="s">
        <v>57</v>
      </c>
      <c r="F38" s="20">
        <v>61544237632392</v>
      </c>
      <c r="G38" s="21">
        <v>170</v>
      </c>
    </row>
    <row r="39" spans="1:7" ht="28.5" hidden="1" customHeight="1">
      <c r="A39" s="64"/>
      <c r="B39" s="66"/>
      <c r="C39" s="66"/>
      <c r="D39" s="66"/>
      <c r="E39" s="24" t="s">
        <v>315</v>
      </c>
      <c r="F39" s="24"/>
      <c r="G39" s="67">
        <v>0</v>
      </c>
    </row>
    <row r="40" spans="1:7" ht="15.75" hidden="1" customHeight="1">
      <c r="A40" s="64"/>
      <c r="B40" s="11">
        <v>45722</v>
      </c>
      <c r="C40" s="12">
        <v>1533</v>
      </c>
      <c r="D40" s="12">
        <v>99008</v>
      </c>
      <c r="E40" s="76" t="s">
        <v>29</v>
      </c>
      <c r="F40" s="27">
        <v>588893</v>
      </c>
      <c r="G40" s="77">
        <v>238.72</v>
      </c>
    </row>
    <row r="41" spans="1:7" ht="15.75" hidden="1" customHeight="1">
      <c r="A41" s="64"/>
      <c r="B41" s="71"/>
      <c r="C41" s="71"/>
      <c r="D41" s="71"/>
      <c r="E41" s="13" t="s">
        <v>316</v>
      </c>
      <c r="F41" s="13"/>
      <c r="G41" s="72">
        <v>0</v>
      </c>
    </row>
    <row r="42" spans="1:7" ht="15.75" hidden="1" customHeight="1">
      <c r="A42" s="64"/>
      <c r="B42" s="17">
        <v>45722</v>
      </c>
      <c r="C42" s="18">
        <v>0</v>
      </c>
      <c r="D42" s="18">
        <v>13105</v>
      </c>
      <c r="E42" s="65" t="s">
        <v>31</v>
      </c>
      <c r="F42" s="20">
        <v>30601</v>
      </c>
      <c r="G42" s="78">
        <v>217.1</v>
      </c>
    </row>
    <row r="43" spans="1:7" ht="15.75" hidden="1" customHeight="1">
      <c r="A43" s="64"/>
      <c r="B43" s="66"/>
      <c r="C43" s="66"/>
      <c r="D43" s="66"/>
      <c r="E43" s="24" t="s">
        <v>51</v>
      </c>
      <c r="F43" s="24"/>
      <c r="G43" s="67">
        <v>0</v>
      </c>
    </row>
    <row r="44" spans="1:7" ht="15.75" hidden="1" customHeight="1">
      <c r="A44" s="64"/>
      <c r="B44" s="11">
        <v>45722</v>
      </c>
      <c r="C44" s="12">
        <v>0</v>
      </c>
      <c r="D44" s="12">
        <v>13105</v>
      </c>
      <c r="E44" s="76" t="s">
        <v>80</v>
      </c>
      <c r="F44" s="27">
        <v>30602</v>
      </c>
      <c r="G44" s="77">
        <v>73.569999999999993</v>
      </c>
    </row>
    <row r="45" spans="1:7" ht="15.75" hidden="1" customHeight="1">
      <c r="A45" s="64"/>
      <c r="B45" s="71"/>
      <c r="C45" s="71"/>
      <c r="D45" s="71"/>
      <c r="E45" s="13" t="s">
        <v>81</v>
      </c>
      <c r="F45" s="13"/>
      <c r="G45" s="72">
        <v>0</v>
      </c>
    </row>
    <row r="46" spans="1:7" ht="15.75" hidden="1" customHeight="1">
      <c r="A46" s="64"/>
      <c r="B46" s="17">
        <v>45722</v>
      </c>
      <c r="C46" s="18">
        <v>0</v>
      </c>
      <c r="D46" s="18">
        <v>13105</v>
      </c>
      <c r="E46" s="65" t="s">
        <v>31</v>
      </c>
      <c r="F46" s="20">
        <v>30603</v>
      </c>
      <c r="G46" s="78">
        <v>243.55</v>
      </c>
    </row>
    <row r="47" spans="1:7" ht="15.75" hidden="1" customHeight="1">
      <c r="A47" s="64"/>
      <c r="B47" s="66"/>
      <c r="C47" s="66"/>
      <c r="D47" s="66"/>
      <c r="E47" s="24" t="s">
        <v>111</v>
      </c>
      <c r="F47" s="24"/>
      <c r="G47" s="67">
        <v>0</v>
      </c>
    </row>
    <row r="48" spans="1:7" ht="15.75" hidden="1" customHeight="1">
      <c r="A48" s="64"/>
      <c r="B48" s="11">
        <v>45722</v>
      </c>
      <c r="C48" s="12">
        <v>0</v>
      </c>
      <c r="D48" s="12">
        <v>13105</v>
      </c>
      <c r="E48" s="76" t="s">
        <v>31</v>
      </c>
      <c r="F48" s="27">
        <v>30604</v>
      </c>
      <c r="G48" s="77">
        <v>265.05</v>
      </c>
    </row>
    <row r="49" spans="1:7" ht="28.5" hidden="1" customHeight="1">
      <c r="A49" s="64"/>
      <c r="B49" s="71"/>
      <c r="C49" s="71"/>
      <c r="D49" s="71"/>
      <c r="E49" s="13" t="s">
        <v>69</v>
      </c>
      <c r="F49" s="13"/>
      <c r="G49" s="72">
        <v>0</v>
      </c>
    </row>
    <row r="50" spans="1:7" ht="15.75" hidden="1" customHeight="1">
      <c r="A50" s="64"/>
      <c r="B50" s="17">
        <v>45722</v>
      </c>
      <c r="C50" s="18">
        <v>0</v>
      </c>
      <c r="D50" s="18">
        <v>13105</v>
      </c>
      <c r="E50" s="65" t="s">
        <v>31</v>
      </c>
      <c r="F50" s="20">
        <v>30605</v>
      </c>
      <c r="G50" s="78">
        <v>197.49</v>
      </c>
    </row>
    <row r="51" spans="1:7" ht="28.5" hidden="1" customHeight="1">
      <c r="A51" s="64"/>
      <c r="B51" s="66"/>
      <c r="C51" s="66"/>
      <c r="D51" s="66"/>
      <c r="E51" s="24" t="s">
        <v>69</v>
      </c>
      <c r="F51" s="24"/>
      <c r="G51" s="67">
        <v>0</v>
      </c>
    </row>
    <row r="52" spans="1:7" ht="15.75" hidden="1" customHeight="1">
      <c r="A52" s="64"/>
      <c r="B52" s="11">
        <v>45722</v>
      </c>
      <c r="C52" s="12">
        <v>0</v>
      </c>
      <c r="D52" s="12">
        <v>0</v>
      </c>
      <c r="E52" s="76" t="s">
        <v>59</v>
      </c>
      <c r="F52" s="27">
        <v>9903</v>
      </c>
      <c r="G52" s="77">
        <v>2574.88</v>
      </c>
    </row>
    <row r="53" spans="1:7" ht="15.75" hidden="1" customHeight="1">
      <c r="A53" s="64"/>
      <c r="B53" s="71"/>
      <c r="C53" s="71"/>
      <c r="D53" s="71"/>
      <c r="E53" s="13" t="s">
        <v>53</v>
      </c>
      <c r="F53" s="13"/>
      <c r="G53" s="72">
        <v>0</v>
      </c>
    </row>
    <row r="54" spans="1:7" ht="15.75" hidden="1" customHeight="1">
      <c r="A54" s="64"/>
      <c r="B54" s="17">
        <v>45723</v>
      </c>
      <c r="C54" s="18">
        <v>5072</v>
      </c>
      <c r="D54" s="18">
        <v>99021</v>
      </c>
      <c r="E54" s="65" t="s">
        <v>27</v>
      </c>
      <c r="F54" s="20">
        <v>615072000004700</v>
      </c>
      <c r="G54" s="21">
        <v>314.85000000000002</v>
      </c>
    </row>
    <row r="55" spans="1:7" ht="15.75" hidden="1" customHeight="1">
      <c r="A55" s="64"/>
      <c r="B55" s="66"/>
      <c r="C55" s="66"/>
      <c r="D55" s="66"/>
      <c r="E55" s="24" t="s">
        <v>317</v>
      </c>
      <c r="F55" s="24"/>
      <c r="G55" s="67">
        <v>0</v>
      </c>
    </row>
    <row r="56" spans="1:7" ht="15.75" hidden="1" customHeight="1">
      <c r="A56" s="64"/>
      <c r="B56" s="11">
        <v>45723</v>
      </c>
      <c r="C56" s="12">
        <v>0</v>
      </c>
      <c r="D56" s="12">
        <v>14175</v>
      </c>
      <c r="E56" s="76" t="s">
        <v>166</v>
      </c>
      <c r="F56" s="27">
        <v>34033291</v>
      </c>
      <c r="G56" s="15">
        <v>2073</v>
      </c>
    </row>
    <row r="57" spans="1:7" ht="28.5" hidden="1" customHeight="1">
      <c r="A57" s="64"/>
      <c r="B57" s="71"/>
      <c r="C57" s="71"/>
      <c r="D57" s="71"/>
      <c r="E57" s="13" t="s">
        <v>181</v>
      </c>
      <c r="F57" s="13"/>
      <c r="G57" s="72">
        <v>0</v>
      </c>
    </row>
    <row r="58" spans="1:7" ht="15.75" hidden="1" customHeight="1">
      <c r="A58" s="64"/>
      <c r="B58" s="17">
        <v>45723</v>
      </c>
      <c r="C58" s="18">
        <v>0</v>
      </c>
      <c r="D58" s="18">
        <v>14397</v>
      </c>
      <c r="E58" s="65" t="s">
        <v>57</v>
      </c>
      <c r="F58" s="20">
        <v>71053360317352</v>
      </c>
      <c r="G58" s="21">
        <v>3000</v>
      </c>
    </row>
    <row r="59" spans="1:7" ht="28.5" hidden="1" customHeight="1">
      <c r="A59" s="64"/>
      <c r="B59" s="66"/>
      <c r="C59" s="66"/>
      <c r="D59" s="66"/>
      <c r="E59" s="24" t="s">
        <v>318</v>
      </c>
      <c r="F59" s="24"/>
      <c r="G59" s="67">
        <v>0</v>
      </c>
    </row>
    <row r="60" spans="1:7" ht="15.75" hidden="1" customHeight="1">
      <c r="A60" s="64"/>
      <c r="B60" s="11">
        <v>45723</v>
      </c>
      <c r="C60" s="12">
        <v>0</v>
      </c>
      <c r="D60" s="12">
        <v>14397</v>
      </c>
      <c r="E60" s="76" t="s">
        <v>57</v>
      </c>
      <c r="F60" s="27">
        <v>71128070461482</v>
      </c>
      <c r="G60" s="15">
        <v>1728</v>
      </c>
    </row>
    <row r="61" spans="1:7" ht="28.5" hidden="1" customHeight="1">
      <c r="A61" s="64"/>
      <c r="B61" s="71"/>
      <c r="C61" s="71"/>
      <c r="D61" s="71"/>
      <c r="E61" s="13" t="s">
        <v>319</v>
      </c>
      <c r="F61" s="13"/>
      <c r="G61" s="72">
        <v>0</v>
      </c>
    </row>
    <row r="62" spans="1:7" ht="15.75" hidden="1" customHeight="1">
      <c r="A62" s="64"/>
      <c r="B62" s="17">
        <v>45723</v>
      </c>
      <c r="C62" s="18">
        <v>0</v>
      </c>
      <c r="D62" s="18">
        <v>14397</v>
      </c>
      <c r="E62" s="65" t="s">
        <v>57</v>
      </c>
      <c r="F62" s="20">
        <v>71932300235532</v>
      </c>
      <c r="G62" s="21">
        <v>2200</v>
      </c>
    </row>
    <row r="63" spans="1:7" ht="28.5" hidden="1" customHeight="1">
      <c r="A63" s="64"/>
      <c r="B63" s="66"/>
      <c r="C63" s="66"/>
      <c r="D63" s="66"/>
      <c r="E63" s="24" t="s">
        <v>320</v>
      </c>
      <c r="F63" s="24"/>
      <c r="G63" s="67">
        <v>0</v>
      </c>
    </row>
    <row r="64" spans="1:7" ht="15.75" hidden="1" customHeight="1">
      <c r="A64" s="64"/>
      <c r="B64" s="11">
        <v>45723</v>
      </c>
      <c r="C64" s="12">
        <v>1533</v>
      </c>
      <c r="D64" s="12">
        <v>99008</v>
      </c>
      <c r="E64" s="76" t="s">
        <v>29</v>
      </c>
      <c r="F64" s="27">
        <v>699977</v>
      </c>
      <c r="G64" s="77">
        <v>308.91000000000003</v>
      </c>
    </row>
    <row r="65" spans="1:7" ht="15.75" hidden="1" customHeight="1">
      <c r="A65" s="64"/>
      <c r="B65" s="71"/>
      <c r="C65" s="71"/>
      <c r="D65" s="71"/>
      <c r="E65" s="13" t="s">
        <v>321</v>
      </c>
      <c r="F65" s="13"/>
      <c r="G65" s="72">
        <v>0</v>
      </c>
    </row>
    <row r="66" spans="1:7" ht="15.75" hidden="1" customHeight="1">
      <c r="A66" s="64"/>
      <c r="B66" s="17">
        <v>45723</v>
      </c>
      <c r="C66" s="18">
        <v>1533</v>
      </c>
      <c r="D66" s="18">
        <v>99015</v>
      </c>
      <c r="E66" s="65" t="s">
        <v>195</v>
      </c>
      <c r="F66" s="20">
        <v>551845000113366</v>
      </c>
      <c r="G66" s="78">
        <v>3442.72</v>
      </c>
    </row>
    <row r="67" spans="1:7" ht="28.5" hidden="1" customHeight="1">
      <c r="A67" s="64"/>
      <c r="B67" s="66"/>
      <c r="C67" s="66"/>
      <c r="D67" s="66"/>
      <c r="E67" s="24" t="s">
        <v>322</v>
      </c>
      <c r="F67" s="24"/>
      <c r="G67" s="67">
        <v>0</v>
      </c>
    </row>
    <row r="68" spans="1:7" ht="15.75" hidden="1" customHeight="1">
      <c r="A68" s="64"/>
      <c r="B68" s="11">
        <v>45723</v>
      </c>
      <c r="C68" s="12">
        <v>0</v>
      </c>
      <c r="D68" s="12">
        <v>13105</v>
      </c>
      <c r="E68" s="76" t="s">
        <v>31</v>
      </c>
      <c r="F68" s="27">
        <v>30701</v>
      </c>
      <c r="G68" s="77">
        <v>122.38</v>
      </c>
    </row>
    <row r="69" spans="1:7" ht="15.75" hidden="1" customHeight="1">
      <c r="A69" s="64"/>
      <c r="B69" s="71"/>
      <c r="C69" s="71"/>
      <c r="D69" s="71"/>
      <c r="E69" s="13" t="s">
        <v>46</v>
      </c>
      <c r="F69" s="13"/>
      <c r="G69" s="72">
        <v>0</v>
      </c>
    </row>
    <row r="70" spans="1:7" ht="15.75" hidden="1" customHeight="1">
      <c r="A70" s="64"/>
      <c r="B70" s="17">
        <v>45723</v>
      </c>
      <c r="C70" s="18">
        <v>0</v>
      </c>
      <c r="D70" s="18">
        <v>13105</v>
      </c>
      <c r="E70" s="65" t="s">
        <v>31</v>
      </c>
      <c r="F70" s="20">
        <v>30702</v>
      </c>
      <c r="G70" s="78">
        <v>1225.99</v>
      </c>
    </row>
    <row r="71" spans="1:7" ht="15.75" hidden="1" customHeight="1">
      <c r="A71" s="64"/>
      <c r="B71" s="66"/>
      <c r="C71" s="66"/>
      <c r="D71" s="66"/>
      <c r="E71" s="24" t="s">
        <v>85</v>
      </c>
      <c r="F71" s="24"/>
      <c r="G71" s="67">
        <v>0</v>
      </c>
    </row>
    <row r="72" spans="1:7" ht="15.75" hidden="1" customHeight="1">
      <c r="A72" s="64"/>
      <c r="B72" s="11">
        <v>45723</v>
      </c>
      <c r="C72" s="12">
        <v>0</v>
      </c>
      <c r="D72" s="12">
        <v>13105</v>
      </c>
      <c r="E72" s="76" t="s">
        <v>31</v>
      </c>
      <c r="F72" s="27">
        <v>30703</v>
      </c>
      <c r="G72" s="77">
        <v>1418</v>
      </c>
    </row>
    <row r="73" spans="1:7" ht="15.75" hidden="1" customHeight="1">
      <c r="A73" s="64"/>
      <c r="B73" s="71"/>
      <c r="C73" s="71"/>
      <c r="D73" s="71"/>
      <c r="E73" s="13" t="s">
        <v>66</v>
      </c>
      <c r="F73" s="13"/>
      <c r="G73" s="72">
        <v>0</v>
      </c>
    </row>
    <row r="74" spans="1:7" ht="15.75" hidden="1" customHeight="1">
      <c r="A74" s="64"/>
      <c r="B74" s="17">
        <v>45723</v>
      </c>
      <c r="C74" s="18">
        <v>0</v>
      </c>
      <c r="D74" s="18">
        <v>13105</v>
      </c>
      <c r="E74" s="65" t="s">
        <v>31</v>
      </c>
      <c r="F74" s="20">
        <v>30704</v>
      </c>
      <c r="G74" s="78">
        <v>337</v>
      </c>
    </row>
    <row r="75" spans="1:7" ht="15.75" hidden="1" customHeight="1">
      <c r="A75" s="64"/>
      <c r="B75" s="66"/>
      <c r="C75" s="66"/>
      <c r="D75" s="66"/>
      <c r="E75" s="24" t="s">
        <v>66</v>
      </c>
      <c r="F75" s="24"/>
      <c r="G75" s="67">
        <v>0</v>
      </c>
    </row>
    <row r="76" spans="1:7" ht="15.75" hidden="1" customHeight="1">
      <c r="A76" s="64"/>
      <c r="B76" s="11">
        <v>45723</v>
      </c>
      <c r="C76" s="12">
        <v>0</v>
      </c>
      <c r="D76" s="12">
        <v>13105</v>
      </c>
      <c r="E76" s="76" t="s">
        <v>80</v>
      </c>
      <c r="F76" s="27">
        <v>30705</v>
      </c>
      <c r="G76" s="77">
        <v>132.31</v>
      </c>
    </row>
    <row r="77" spans="1:7" ht="15.75" hidden="1" customHeight="1">
      <c r="A77" s="64"/>
      <c r="B77" s="71"/>
      <c r="C77" s="71"/>
      <c r="D77" s="71"/>
      <c r="E77" s="13" t="s">
        <v>81</v>
      </c>
      <c r="F77" s="13"/>
      <c r="G77" s="72">
        <v>0</v>
      </c>
    </row>
    <row r="78" spans="1:7" ht="15.75" hidden="1" customHeight="1">
      <c r="A78" s="64"/>
      <c r="B78" s="17">
        <v>45723</v>
      </c>
      <c r="C78" s="18">
        <v>0</v>
      </c>
      <c r="D78" s="18">
        <v>13105</v>
      </c>
      <c r="E78" s="65" t="s">
        <v>80</v>
      </c>
      <c r="F78" s="20">
        <v>30706</v>
      </c>
      <c r="G78" s="78">
        <v>791.09</v>
      </c>
    </row>
    <row r="79" spans="1:7" ht="15.75" hidden="1" customHeight="1">
      <c r="A79" s="64"/>
      <c r="B79" s="66"/>
      <c r="C79" s="66"/>
      <c r="D79" s="66"/>
      <c r="E79" s="24" t="s">
        <v>81</v>
      </c>
      <c r="F79" s="24"/>
      <c r="G79" s="67">
        <v>0</v>
      </c>
    </row>
    <row r="80" spans="1:7" ht="15.75" hidden="1" customHeight="1">
      <c r="A80" s="64"/>
      <c r="B80" s="11">
        <v>45723</v>
      </c>
      <c r="C80" s="12">
        <v>0</v>
      </c>
      <c r="D80" s="12">
        <v>13105</v>
      </c>
      <c r="E80" s="76" t="s">
        <v>31</v>
      </c>
      <c r="F80" s="27">
        <v>30707</v>
      </c>
      <c r="G80" s="77">
        <v>2022.45</v>
      </c>
    </row>
    <row r="81" spans="1:8" ht="15.75" hidden="1" customHeight="1">
      <c r="A81" s="64"/>
      <c r="B81" s="71"/>
      <c r="C81" s="71"/>
      <c r="D81" s="71"/>
      <c r="E81" s="13" t="s">
        <v>323</v>
      </c>
      <c r="F81" s="13"/>
      <c r="G81" s="72">
        <v>0</v>
      </c>
    </row>
    <row r="82" spans="1:8" ht="15.75" hidden="1" customHeight="1">
      <c r="A82" s="64"/>
      <c r="B82" s="17">
        <v>45723</v>
      </c>
      <c r="C82" s="18">
        <v>0</v>
      </c>
      <c r="D82" s="18">
        <v>13113</v>
      </c>
      <c r="E82" s="65" t="s">
        <v>72</v>
      </c>
      <c r="F82" s="20">
        <v>890661200446460</v>
      </c>
      <c r="G82" s="78">
        <v>75.400000000000006</v>
      </c>
    </row>
    <row r="83" spans="1:8" ht="15.75" hidden="1" customHeight="1">
      <c r="A83" s="64"/>
      <c r="B83" s="66"/>
      <c r="C83" s="66"/>
      <c r="D83" s="66"/>
      <c r="E83" s="24" t="s">
        <v>324</v>
      </c>
      <c r="F83" s="24"/>
      <c r="G83" s="67">
        <v>0</v>
      </c>
    </row>
    <row r="84" spans="1:8" ht="15.75" hidden="1" customHeight="1">
      <c r="A84" s="64"/>
      <c r="B84" s="11">
        <v>45723</v>
      </c>
      <c r="C84" s="12">
        <v>0</v>
      </c>
      <c r="D84" s="12">
        <v>0</v>
      </c>
      <c r="E84" s="76" t="s">
        <v>52</v>
      </c>
      <c r="F84" s="27">
        <v>9903</v>
      </c>
      <c r="G84" s="15">
        <v>560.4</v>
      </c>
    </row>
    <row r="85" spans="1:8" ht="15.75" hidden="1" customHeight="1">
      <c r="A85" s="64"/>
      <c r="B85" s="71"/>
      <c r="C85" s="71"/>
      <c r="D85" s="71"/>
      <c r="E85" s="13" t="s">
        <v>53</v>
      </c>
      <c r="F85" s="13"/>
      <c r="G85" s="72">
        <v>0</v>
      </c>
    </row>
    <row r="86" spans="1:8" ht="15.75" hidden="1" customHeight="1">
      <c r="A86" s="64"/>
      <c r="B86" s="17">
        <v>45726</v>
      </c>
      <c r="C86" s="18">
        <v>984</v>
      </c>
      <c r="D86" s="18">
        <v>99015</v>
      </c>
      <c r="E86" s="65" t="s">
        <v>27</v>
      </c>
      <c r="F86" s="20">
        <v>550984000024887</v>
      </c>
      <c r="G86" s="21">
        <v>2665.6</v>
      </c>
      <c r="H86" s="64" t="s">
        <v>89</v>
      </c>
    </row>
    <row r="87" spans="1:8" ht="28.5" hidden="1" customHeight="1">
      <c r="A87" s="64"/>
      <c r="B87" s="66"/>
      <c r="C87" s="66"/>
      <c r="D87" s="66"/>
      <c r="E87" s="24" t="s">
        <v>325</v>
      </c>
      <c r="F87" s="24"/>
      <c r="G87" s="67">
        <v>0</v>
      </c>
    </row>
    <row r="88" spans="1:8" ht="15.75" hidden="1" customHeight="1">
      <c r="A88" s="64"/>
      <c r="B88" s="11">
        <v>45726</v>
      </c>
      <c r="C88" s="12">
        <v>0</v>
      </c>
      <c r="D88" s="12">
        <v>14397</v>
      </c>
      <c r="E88" s="76" t="s">
        <v>57</v>
      </c>
      <c r="F88" s="27">
        <v>101043428124392</v>
      </c>
      <c r="G88" s="15">
        <v>675.04</v>
      </c>
    </row>
    <row r="89" spans="1:8" ht="28.5" hidden="1" customHeight="1">
      <c r="A89" s="64"/>
      <c r="B89" s="71"/>
      <c r="C89" s="71"/>
      <c r="D89" s="71"/>
      <c r="E89" s="13" t="s">
        <v>326</v>
      </c>
      <c r="F89" s="13"/>
      <c r="G89" s="72">
        <v>0</v>
      </c>
    </row>
    <row r="90" spans="1:8" ht="15.75" hidden="1" customHeight="1">
      <c r="A90" s="64"/>
      <c r="B90" s="17">
        <v>45726</v>
      </c>
      <c r="C90" s="18">
        <v>0</v>
      </c>
      <c r="D90" s="18">
        <v>14397</v>
      </c>
      <c r="E90" s="65" t="s">
        <v>57</v>
      </c>
      <c r="F90" s="20">
        <v>101059353965112</v>
      </c>
      <c r="G90" s="21">
        <v>1679.93</v>
      </c>
    </row>
    <row r="91" spans="1:8" ht="28.5" hidden="1" customHeight="1">
      <c r="A91" s="64"/>
      <c r="B91" s="66"/>
      <c r="C91" s="66"/>
      <c r="D91" s="66"/>
      <c r="E91" s="24" t="s">
        <v>327</v>
      </c>
      <c r="F91" s="24"/>
      <c r="G91" s="67">
        <v>0</v>
      </c>
    </row>
    <row r="92" spans="1:8" ht="15.75" hidden="1" customHeight="1">
      <c r="A92" s="64"/>
      <c r="B92" s="11">
        <v>45726</v>
      </c>
      <c r="C92" s="12">
        <v>0</v>
      </c>
      <c r="D92" s="12">
        <v>14397</v>
      </c>
      <c r="E92" s="76" t="s">
        <v>57</v>
      </c>
      <c r="F92" s="27">
        <v>101409355108202</v>
      </c>
      <c r="G92" s="15">
        <v>69.900000000000006</v>
      </c>
    </row>
    <row r="93" spans="1:8" ht="28.5" hidden="1" customHeight="1">
      <c r="A93" s="64"/>
      <c r="B93" s="71"/>
      <c r="C93" s="71"/>
      <c r="D93" s="71"/>
      <c r="E93" s="13" t="s">
        <v>328</v>
      </c>
      <c r="F93" s="13"/>
      <c r="G93" s="72">
        <v>0</v>
      </c>
    </row>
    <row r="94" spans="1:8" ht="15.75" hidden="1" customHeight="1">
      <c r="A94" s="64"/>
      <c r="B94" s="17">
        <v>45726</v>
      </c>
      <c r="C94" s="18">
        <v>0</v>
      </c>
      <c r="D94" s="18">
        <v>14397</v>
      </c>
      <c r="E94" s="65" t="s">
        <v>57</v>
      </c>
      <c r="F94" s="20">
        <v>102117221158722</v>
      </c>
      <c r="G94" s="21">
        <v>1808</v>
      </c>
    </row>
    <row r="95" spans="1:8" ht="28.5" hidden="1" customHeight="1">
      <c r="A95" s="64"/>
      <c r="B95" s="66"/>
      <c r="C95" s="66"/>
      <c r="D95" s="66"/>
      <c r="E95" s="24" t="s">
        <v>329</v>
      </c>
      <c r="F95" s="24"/>
      <c r="G95" s="67">
        <v>0</v>
      </c>
    </row>
    <row r="96" spans="1:8" ht="15.75" hidden="1" customHeight="1">
      <c r="A96" s="64"/>
      <c r="B96" s="11">
        <v>45726</v>
      </c>
      <c r="C96" s="12">
        <v>0</v>
      </c>
      <c r="D96" s="12">
        <v>14397</v>
      </c>
      <c r="E96" s="76" t="s">
        <v>57</v>
      </c>
      <c r="F96" s="27">
        <v>416145253276381</v>
      </c>
      <c r="G96" s="15">
        <v>2523.89</v>
      </c>
    </row>
    <row r="97" spans="1:7" ht="28.5" hidden="1" customHeight="1">
      <c r="A97" s="64"/>
      <c r="B97" s="71"/>
      <c r="C97" s="71"/>
      <c r="D97" s="71"/>
      <c r="E97" s="13" t="s">
        <v>330</v>
      </c>
      <c r="F97" s="13"/>
      <c r="G97" s="72">
        <v>0</v>
      </c>
    </row>
    <row r="98" spans="1:7" ht="15.75" hidden="1" customHeight="1">
      <c r="A98" s="64"/>
      <c r="B98" s="17">
        <v>45726</v>
      </c>
      <c r="C98" s="18">
        <v>0</v>
      </c>
      <c r="D98" s="18">
        <v>14397</v>
      </c>
      <c r="E98" s="65" t="s">
        <v>57</v>
      </c>
      <c r="F98" s="20">
        <v>416146037857701</v>
      </c>
      <c r="G98" s="21">
        <v>850</v>
      </c>
    </row>
    <row r="99" spans="1:7" ht="28.5" hidden="1" customHeight="1">
      <c r="A99" s="64"/>
      <c r="B99" s="66"/>
      <c r="C99" s="66"/>
      <c r="D99" s="66"/>
      <c r="E99" s="24" t="s">
        <v>331</v>
      </c>
      <c r="F99" s="24"/>
      <c r="G99" s="67">
        <v>0</v>
      </c>
    </row>
    <row r="100" spans="1:7" ht="15.75" hidden="1" customHeight="1">
      <c r="A100" s="64"/>
      <c r="B100" s="11">
        <v>45726</v>
      </c>
      <c r="C100" s="12">
        <v>0</v>
      </c>
      <c r="D100" s="12">
        <v>13105</v>
      </c>
      <c r="E100" s="76" t="s">
        <v>31</v>
      </c>
      <c r="F100" s="27">
        <v>31001</v>
      </c>
      <c r="G100" s="77">
        <v>378.61</v>
      </c>
    </row>
    <row r="101" spans="1:7" ht="15.75" hidden="1" customHeight="1">
      <c r="A101" s="64"/>
      <c r="B101" s="71"/>
      <c r="C101" s="71"/>
      <c r="D101" s="71"/>
      <c r="E101" s="13" t="s">
        <v>235</v>
      </c>
      <c r="F101" s="13"/>
      <c r="G101" s="72">
        <v>0</v>
      </c>
    </row>
    <row r="102" spans="1:7" ht="15.75" hidden="1" customHeight="1">
      <c r="A102" s="64"/>
      <c r="B102" s="17">
        <v>45726</v>
      </c>
      <c r="C102" s="18">
        <v>0</v>
      </c>
      <c r="D102" s="18">
        <v>13105</v>
      </c>
      <c r="E102" s="65" t="s">
        <v>80</v>
      </c>
      <c r="F102" s="20">
        <v>31002</v>
      </c>
      <c r="G102" s="78">
        <v>104.93</v>
      </c>
    </row>
    <row r="103" spans="1:7" ht="15.75" hidden="1" customHeight="1">
      <c r="A103" s="64"/>
      <c r="B103" s="66"/>
      <c r="C103" s="66"/>
      <c r="D103" s="66"/>
      <c r="E103" s="24" t="s">
        <v>81</v>
      </c>
      <c r="F103" s="24"/>
      <c r="G103" s="67">
        <v>0</v>
      </c>
    </row>
    <row r="104" spans="1:7" ht="15.75" hidden="1" customHeight="1">
      <c r="A104" s="64"/>
      <c r="B104" s="11">
        <v>45726</v>
      </c>
      <c r="C104" s="12">
        <v>0</v>
      </c>
      <c r="D104" s="12">
        <v>13105</v>
      </c>
      <c r="E104" s="76" t="s">
        <v>31</v>
      </c>
      <c r="F104" s="27">
        <v>31003</v>
      </c>
      <c r="G104" s="77">
        <v>356.5</v>
      </c>
    </row>
    <row r="105" spans="1:7" ht="28.5" hidden="1" customHeight="1">
      <c r="A105" s="64"/>
      <c r="B105" s="71"/>
      <c r="C105" s="71"/>
      <c r="D105" s="71"/>
      <c r="E105" s="13" t="s">
        <v>110</v>
      </c>
      <c r="F105" s="13"/>
      <c r="G105" s="72">
        <v>0</v>
      </c>
    </row>
    <row r="106" spans="1:7" ht="15.75" hidden="1" customHeight="1">
      <c r="A106" s="64"/>
      <c r="B106" s="17">
        <v>45726</v>
      </c>
      <c r="C106" s="18">
        <v>0</v>
      </c>
      <c r="D106" s="18">
        <v>13105</v>
      </c>
      <c r="E106" s="65" t="s">
        <v>31</v>
      </c>
      <c r="F106" s="20">
        <v>31004</v>
      </c>
      <c r="G106" s="78">
        <v>223.15</v>
      </c>
    </row>
    <row r="107" spans="1:7" ht="28.5" hidden="1" customHeight="1">
      <c r="A107" s="64"/>
      <c r="B107" s="66"/>
      <c r="C107" s="66"/>
      <c r="D107" s="66"/>
      <c r="E107" s="24" t="s">
        <v>45</v>
      </c>
      <c r="F107" s="24"/>
      <c r="G107" s="67">
        <v>0</v>
      </c>
    </row>
    <row r="108" spans="1:7" ht="15.75" hidden="1" customHeight="1">
      <c r="A108" s="64"/>
      <c r="B108" s="11">
        <v>45726</v>
      </c>
      <c r="C108" s="12">
        <v>0</v>
      </c>
      <c r="D108" s="12">
        <v>13105</v>
      </c>
      <c r="E108" s="76" t="s">
        <v>31</v>
      </c>
      <c r="F108" s="27">
        <v>31005</v>
      </c>
      <c r="G108" s="77">
        <v>221.21</v>
      </c>
    </row>
    <row r="109" spans="1:7" ht="28.5" hidden="1" customHeight="1">
      <c r="A109" s="64"/>
      <c r="B109" s="71"/>
      <c r="C109" s="71"/>
      <c r="D109" s="71"/>
      <c r="E109" s="13" t="s">
        <v>45</v>
      </c>
      <c r="F109" s="13"/>
      <c r="G109" s="72">
        <v>0</v>
      </c>
    </row>
    <row r="110" spans="1:7" ht="15.75" hidden="1" customHeight="1">
      <c r="A110" s="64"/>
      <c r="B110" s="17">
        <v>45726</v>
      </c>
      <c r="C110" s="18">
        <v>0</v>
      </c>
      <c r="D110" s="18">
        <v>13105</v>
      </c>
      <c r="E110" s="65" t="s">
        <v>31</v>
      </c>
      <c r="F110" s="20">
        <v>31006</v>
      </c>
      <c r="G110" s="78">
        <v>569.57000000000005</v>
      </c>
    </row>
    <row r="111" spans="1:7" ht="28.5" hidden="1" customHeight="1">
      <c r="A111" s="64"/>
      <c r="B111" s="66"/>
      <c r="C111" s="66"/>
      <c r="D111" s="66"/>
      <c r="E111" s="24" t="s">
        <v>45</v>
      </c>
      <c r="F111" s="24"/>
      <c r="G111" s="67">
        <v>0</v>
      </c>
    </row>
    <row r="112" spans="1:7" ht="15.75" hidden="1" customHeight="1">
      <c r="A112" s="64"/>
      <c r="B112" s="11">
        <v>45726</v>
      </c>
      <c r="C112" s="12">
        <v>0</v>
      </c>
      <c r="D112" s="12">
        <v>13105</v>
      </c>
      <c r="E112" s="76" t="s">
        <v>31</v>
      </c>
      <c r="F112" s="27">
        <v>31007</v>
      </c>
      <c r="G112" s="77">
        <v>258.20999999999998</v>
      </c>
    </row>
    <row r="113" spans="1:7" ht="28.5" hidden="1" customHeight="1">
      <c r="A113" s="64"/>
      <c r="B113" s="71"/>
      <c r="C113" s="71"/>
      <c r="D113" s="71"/>
      <c r="E113" s="13" t="s">
        <v>45</v>
      </c>
      <c r="F113" s="13"/>
      <c r="G113" s="72">
        <v>0</v>
      </c>
    </row>
    <row r="114" spans="1:7" ht="15.75" hidden="1" customHeight="1">
      <c r="A114" s="64"/>
      <c r="B114" s="17">
        <v>45726</v>
      </c>
      <c r="C114" s="18">
        <v>0</v>
      </c>
      <c r="D114" s="18">
        <v>13105</v>
      </c>
      <c r="E114" s="65" t="s">
        <v>31</v>
      </c>
      <c r="F114" s="20">
        <v>31008</v>
      </c>
      <c r="G114" s="78">
        <v>261.5</v>
      </c>
    </row>
    <row r="115" spans="1:7" ht="28.5" hidden="1" customHeight="1">
      <c r="A115" s="64"/>
      <c r="B115" s="66"/>
      <c r="C115" s="66"/>
      <c r="D115" s="66"/>
      <c r="E115" s="24" t="s">
        <v>45</v>
      </c>
      <c r="F115" s="24"/>
      <c r="G115" s="67">
        <v>0</v>
      </c>
    </row>
    <row r="116" spans="1:7" ht="15.75" hidden="1" customHeight="1">
      <c r="A116" s="64"/>
      <c r="B116" s="11">
        <v>45726</v>
      </c>
      <c r="C116" s="12">
        <v>0</v>
      </c>
      <c r="D116" s="12">
        <v>13105</v>
      </c>
      <c r="E116" s="76" t="s">
        <v>31</v>
      </c>
      <c r="F116" s="27">
        <v>31009</v>
      </c>
      <c r="G116" s="77">
        <v>320.52999999999997</v>
      </c>
    </row>
    <row r="117" spans="1:7" ht="28.5" hidden="1" customHeight="1">
      <c r="A117" s="64"/>
      <c r="B117" s="71"/>
      <c r="C117" s="71"/>
      <c r="D117" s="71"/>
      <c r="E117" s="13" t="s">
        <v>45</v>
      </c>
      <c r="F117" s="13"/>
      <c r="G117" s="72">
        <v>0</v>
      </c>
    </row>
    <row r="118" spans="1:7" ht="15.75" hidden="1" customHeight="1">
      <c r="A118" s="64"/>
      <c r="B118" s="17">
        <v>45726</v>
      </c>
      <c r="C118" s="18">
        <v>0</v>
      </c>
      <c r="D118" s="18">
        <v>13105</v>
      </c>
      <c r="E118" s="65" t="s">
        <v>31</v>
      </c>
      <c r="F118" s="20">
        <v>31010</v>
      </c>
      <c r="G118" s="78">
        <v>432.66</v>
      </c>
    </row>
    <row r="119" spans="1:7" ht="15.75" hidden="1" customHeight="1">
      <c r="A119" s="64"/>
      <c r="B119" s="66"/>
      <c r="C119" s="66"/>
      <c r="D119" s="66"/>
      <c r="E119" s="24" t="s">
        <v>46</v>
      </c>
      <c r="F119" s="24"/>
      <c r="G119" s="67">
        <v>0</v>
      </c>
    </row>
    <row r="120" spans="1:7" ht="15.75" hidden="1" customHeight="1">
      <c r="A120" s="64"/>
      <c r="B120" s="11">
        <v>45726</v>
      </c>
      <c r="C120" s="12">
        <v>0</v>
      </c>
      <c r="D120" s="12">
        <v>13105</v>
      </c>
      <c r="E120" s="76" t="s">
        <v>31</v>
      </c>
      <c r="F120" s="27">
        <v>31011</v>
      </c>
      <c r="G120" s="77">
        <v>449.41</v>
      </c>
    </row>
    <row r="121" spans="1:7" ht="15.75" hidden="1" customHeight="1">
      <c r="A121" s="64"/>
      <c r="B121" s="71"/>
      <c r="C121" s="71"/>
      <c r="D121" s="71"/>
      <c r="E121" s="13" t="s">
        <v>46</v>
      </c>
      <c r="F121" s="13"/>
      <c r="G121" s="72">
        <v>0</v>
      </c>
    </row>
    <row r="122" spans="1:7" ht="15.75" hidden="1" customHeight="1">
      <c r="A122" s="64"/>
      <c r="B122" s="17">
        <v>45726</v>
      </c>
      <c r="C122" s="18">
        <v>0</v>
      </c>
      <c r="D122" s="18">
        <v>13105</v>
      </c>
      <c r="E122" s="65" t="s">
        <v>31</v>
      </c>
      <c r="F122" s="20">
        <v>31012</v>
      </c>
      <c r="G122" s="78">
        <v>300</v>
      </c>
    </row>
    <row r="123" spans="1:7" ht="15.75" hidden="1" customHeight="1">
      <c r="A123" s="64"/>
      <c r="B123" s="66"/>
      <c r="C123" s="66"/>
      <c r="D123" s="66"/>
      <c r="E123" s="24" t="s">
        <v>86</v>
      </c>
      <c r="F123" s="24"/>
      <c r="G123" s="67">
        <v>0</v>
      </c>
    </row>
    <row r="124" spans="1:7" ht="15.75" hidden="1" customHeight="1">
      <c r="A124" s="64"/>
      <c r="B124" s="11">
        <v>45726</v>
      </c>
      <c r="C124" s="12">
        <v>0</v>
      </c>
      <c r="D124" s="12">
        <v>13105</v>
      </c>
      <c r="E124" s="76" t="s">
        <v>31</v>
      </c>
      <c r="F124" s="27">
        <v>31013</v>
      </c>
      <c r="G124" s="77">
        <v>6349.87</v>
      </c>
    </row>
    <row r="125" spans="1:7" ht="28.5" hidden="1" customHeight="1">
      <c r="A125" s="64"/>
      <c r="B125" s="71"/>
      <c r="C125" s="71"/>
      <c r="D125" s="71"/>
      <c r="E125" s="13" t="s">
        <v>95</v>
      </c>
      <c r="F125" s="13"/>
      <c r="G125" s="72">
        <v>0</v>
      </c>
    </row>
    <row r="126" spans="1:7" ht="15.75" hidden="1" customHeight="1">
      <c r="A126" s="64"/>
      <c r="B126" s="17">
        <v>45726</v>
      </c>
      <c r="C126" s="18">
        <v>0</v>
      </c>
      <c r="D126" s="18">
        <v>13013</v>
      </c>
      <c r="E126" s="65" t="s">
        <v>87</v>
      </c>
      <c r="F126" s="20">
        <v>46301</v>
      </c>
      <c r="G126" s="78">
        <v>54.12</v>
      </c>
    </row>
    <row r="127" spans="1:7" ht="15.75" hidden="1" customHeight="1">
      <c r="A127" s="64"/>
      <c r="B127" s="66"/>
      <c r="C127" s="66"/>
      <c r="D127" s="66"/>
      <c r="E127" s="24" t="s">
        <v>88</v>
      </c>
      <c r="F127" s="24"/>
      <c r="G127" s="67">
        <v>0</v>
      </c>
    </row>
    <row r="128" spans="1:7" ht="15.75" hidden="1" customHeight="1">
      <c r="A128" s="64"/>
      <c r="B128" s="11">
        <v>45726</v>
      </c>
      <c r="C128" s="12">
        <v>0</v>
      </c>
      <c r="D128" s="12">
        <v>0</v>
      </c>
      <c r="E128" s="76" t="s">
        <v>52</v>
      </c>
      <c r="F128" s="27">
        <v>9903</v>
      </c>
      <c r="G128" s="15">
        <v>7.91</v>
      </c>
    </row>
    <row r="129" spans="1:7" ht="15.75" hidden="1" customHeight="1">
      <c r="A129" s="64"/>
      <c r="B129" s="71"/>
      <c r="C129" s="71"/>
      <c r="D129" s="71"/>
      <c r="E129" s="13" t="s">
        <v>53</v>
      </c>
      <c r="F129" s="13"/>
      <c r="G129" s="72">
        <v>0</v>
      </c>
    </row>
    <row r="130" spans="1:7" ht="15.75" hidden="1" customHeight="1">
      <c r="A130" s="64"/>
      <c r="B130" s="17">
        <v>45727</v>
      </c>
      <c r="C130" s="18">
        <v>5072</v>
      </c>
      <c r="D130" s="18">
        <v>99021</v>
      </c>
      <c r="E130" s="65" t="s">
        <v>27</v>
      </c>
      <c r="F130" s="20">
        <v>615072000004700</v>
      </c>
      <c r="G130" s="21">
        <v>1083.5899999999999</v>
      </c>
    </row>
    <row r="131" spans="1:7" ht="15.75" hidden="1" customHeight="1">
      <c r="A131" s="64"/>
      <c r="B131" s="66"/>
      <c r="C131" s="66"/>
      <c r="D131" s="66"/>
      <c r="E131" s="24" t="s">
        <v>332</v>
      </c>
      <c r="F131" s="24"/>
      <c r="G131" s="67">
        <v>0</v>
      </c>
    </row>
    <row r="132" spans="1:7" ht="15.75" hidden="1" customHeight="1">
      <c r="A132" s="64"/>
      <c r="B132" s="11">
        <v>45727</v>
      </c>
      <c r="C132" s="12">
        <v>0</v>
      </c>
      <c r="D132" s="12">
        <v>14397</v>
      </c>
      <c r="E132" s="76" t="s">
        <v>57</v>
      </c>
      <c r="F132" s="27">
        <v>111014147412452</v>
      </c>
      <c r="G132" s="15">
        <v>1660.36</v>
      </c>
    </row>
    <row r="133" spans="1:7" ht="28.5" hidden="1" customHeight="1">
      <c r="A133" s="64"/>
      <c r="B133" s="71"/>
      <c r="C133" s="71"/>
      <c r="D133" s="71"/>
      <c r="E133" s="13" t="s">
        <v>333</v>
      </c>
      <c r="F133" s="13"/>
      <c r="G133" s="72">
        <v>0</v>
      </c>
    </row>
    <row r="134" spans="1:7" ht="15.75" hidden="1" customHeight="1">
      <c r="A134" s="64"/>
      <c r="B134" s="17">
        <v>45727</v>
      </c>
      <c r="C134" s="18">
        <v>0</v>
      </c>
      <c r="D134" s="18">
        <v>14397</v>
      </c>
      <c r="E134" s="65" t="s">
        <v>57</v>
      </c>
      <c r="F134" s="20">
        <v>417109937024481</v>
      </c>
      <c r="G134" s="21">
        <v>1500</v>
      </c>
    </row>
    <row r="135" spans="1:7" ht="28.5" hidden="1" customHeight="1">
      <c r="A135" s="64"/>
      <c r="B135" s="66"/>
      <c r="C135" s="66"/>
      <c r="D135" s="66"/>
      <c r="E135" s="24" t="s">
        <v>334</v>
      </c>
      <c r="F135" s="24"/>
      <c r="G135" s="67">
        <v>0</v>
      </c>
    </row>
    <row r="136" spans="1:7" ht="15.75" hidden="1" customHeight="1">
      <c r="A136" s="64"/>
      <c r="B136" s="11">
        <v>45727</v>
      </c>
      <c r="C136" s="12">
        <v>0</v>
      </c>
      <c r="D136" s="12">
        <v>13105</v>
      </c>
      <c r="E136" s="76" t="s">
        <v>80</v>
      </c>
      <c r="F136" s="27">
        <v>31101</v>
      </c>
      <c r="G136" s="77">
        <v>856.62</v>
      </c>
    </row>
    <row r="137" spans="1:7" ht="15.75" hidden="1" customHeight="1">
      <c r="A137" s="64"/>
      <c r="B137" s="71"/>
      <c r="C137" s="71"/>
      <c r="D137" s="71"/>
      <c r="E137" s="13" t="s">
        <v>81</v>
      </c>
      <c r="F137" s="13"/>
      <c r="G137" s="72">
        <v>0</v>
      </c>
    </row>
    <row r="138" spans="1:7" ht="15.75" hidden="1" customHeight="1">
      <c r="A138" s="64"/>
      <c r="B138" s="17">
        <v>45727</v>
      </c>
      <c r="C138" s="18">
        <v>0</v>
      </c>
      <c r="D138" s="18">
        <v>13105</v>
      </c>
      <c r="E138" s="65" t="s">
        <v>31</v>
      </c>
      <c r="F138" s="20">
        <v>31102</v>
      </c>
      <c r="G138" s="78">
        <v>960</v>
      </c>
    </row>
    <row r="139" spans="1:7" ht="15.75" hidden="1" customHeight="1">
      <c r="A139" s="64"/>
      <c r="B139" s="66"/>
      <c r="C139" s="66"/>
      <c r="D139" s="66"/>
      <c r="E139" s="24" t="s">
        <v>85</v>
      </c>
      <c r="F139" s="24"/>
      <c r="G139" s="67">
        <v>0</v>
      </c>
    </row>
    <row r="140" spans="1:7" ht="15.75" hidden="1" customHeight="1">
      <c r="A140" s="64"/>
      <c r="B140" s="11">
        <v>45727</v>
      </c>
      <c r="C140" s="12">
        <v>0</v>
      </c>
      <c r="D140" s="12">
        <v>13105</v>
      </c>
      <c r="E140" s="76" t="s">
        <v>31</v>
      </c>
      <c r="F140" s="27">
        <v>31103</v>
      </c>
      <c r="G140" s="77">
        <v>491.5</v>
      </c>
    </row>
    <row r="141" spans="1:7" ht="15.75" hidden="1" customHeight="1">
      <c r="A141" s="64"/>
      <c r="B141" s="71"/>
      <c r="C141" s="71"/>
      <c r="D141" s="71"/>
      <c r="E141" s="13" t="s">
        <v>51</v>
      </c>
      <c r="F141" s="13"/>
      <c r="G141" s="72">
        <v>0</v>
      </c>
    </row>
    <row r="142" spans="1:7" ht="15.75" hidden="1" customHeight="1">
      <c r="A142" s="64"/>
      <c r="B142" s="17">
        <v>45727</v>
      </c>
      <c r="C142" s="18">
        <v>0</v>
      </c>
      <c r="D142" s="18">
        <v>13105</v>
      </c>
      <c r="E142" s="65" t="s">
        <v>31</v>
      </c>
      <c r="F142" s="20">
        <v>31104</v>
      </c>
      <c r="G142" s="78">
        <v>283.45999999999998</v>
      </c>
    </row>
    <row r="143" spans="1:7" ht="28.5" hidden="1" customHeight="1">
      <c r="A143" s="64"/>
      <c r="B143" s="66"/>
      <c r="C143" s="66"/>
      <c r="D143" s="66"/>
      <c r="E143" s="24" t="s">
        <v>45</v>
      </c>
      <c r="F143" s="24"/>
      <c r="G143" s="67">
        <v>0</v>
      </c>
    </row>
    <row r="144" spans="1:7" ht="15.75" hidden="1" customHeight="1">
      <c r="A144" s="64"/>
      <c r="B144" s="11">
        <v>45727</v>
      </c>
      <c r="C144" s="12">
        <v>0</v>
      </c>
      <c r="D144" s="12">
        <v>13105</v>
      </c>
      <c r="E144" s="76" t="s">
        <v>118</v>
      </c>
      <c r="F144" s="27">
        <v>31105</v>
      </c>
      <c r="G144" s="77">
        <v>3668.4</v>
      </c>
    </row>
    <row r="145" spans="1:7" ht="15.75" hidden="1" customHeight="1">
      <c r="A145" s="64"/>
      <c r="B145" s="71"/>
      <c r="C145" s="71"/>
      <c r="D145" s="71"/>
      <c r="E145" s="13" t="s">
        <v>335</v>
      </c>
      <c r="F145" s="13"/>
      <c r="G145" s="72">
        <v>0</v>
      </c>
    </row>
    <row r="146" spans="1:7" ht="15.75" hidden="1" customHeight="1">
      <c r="A146" s="64"/>
      <c r="B146" s="17">
        <v>45727</v>
      </c>
      <c r="C146" s="18">
        <v>0</v>
      </c>
      <c r="D146" s="18">
        <v>0</v>
      </c>
      <c r="E146" s="65" t="s">
        <v>52</v>
      </c>
      <c r="F146" s="20">
        <v>9903</v>
      </c>
      <c r="G146" s="21">
        <v>2016.03</v>
      </c>
    </row>
    <row r="147" spans="1:7" ht="15.75" hidden="1" customHeight="1">
      <c r="A147" s="64"/>
      <c r="B147" s="66"/>
      <c r="C147" s="66"/>
      <c r="D147" s="66"/>
      <c r="E147" s="24" t="s">
        <v>53</v>
      </c>
      <c r="F147" s="24"/>
      <c r="G147" s="67">
        <v>0</v>
      </c>
    </row>
    <row r="148" spans="1:7" ht="15.75" hidden="1" customHeight="1">
      <c r="A148" s="64"/>
      <c r="B148" s="11">
        <v>45728</v>
      </c>
      <c r="C148" s="12">
        <v>0</v>
      </c>
      <c r="D148" s="12">
        <v>14175</v>
      </c>
      <c r="E148" s="76" t="s">
        <v>62</v>
      </c>
      <c r="F148" s="27">
        <v>373653545</v>
      </c>
      <c r="G148" s="15">
        <v>1000</v>
      </c>
    </row>
    <row r="149" spans="1:7" ht="28.5" hidden="1" customHeight="1">
      <c r="A149" s="64"/>
      <c r="B149" s="71"/>
      <c r="C149" s="71"/>
      <c r="D149" s="71"/>
      <c r="E149" s="13" t="s">
        <v>97</v>
      </c>
      <c r="F149" s="13"/>
      <c r="G149" s="72">
        <v>0</v>
      </c>
    </row>
    <row r="150" spans="1:7" ht="15.75" hidden="1" customHeight="1">
      <c r="A150" s="64"/>
      <c r="B150" s="17">
        <v>45728</v>
      </c>
      <c r="C150" s="18">
        <v>0</v>
      </c>
      <c r="D150" s="18">
        <v>14397</v>
      </c>
      <c r="E150" s="65" t="s">
        <v>57</v>
      </c>
      <c r="F150" s="20">
        <v>417813517167451</v>
      </c>
      <c r="G150" s="21">
        <v>466.3</v>
      </c>
    </row>
    <row r="151" spans="1:7" ht="28.5" hidden="1" customHeight="1">
      <c r="A151" s="64"/>
      <c r="B151" s="66"/>
      <c r="C151" s="66"/>
      <c r="D151" s="66"/>
      <c r="E151" s="24" t="s">
        <v>336</v>
      </c>
      <c r="F151" s="24"/>
      <c r="G151" s="67">
        <v>0</v>
      </c>
    </row>
    <row r="152" spans="1:7" ht="15.75" hidden="1" customHeight="1">
      <c r="A152" s="64"/>
      <c r="B152" s="11">
        <v>45728</v>
      </c>
      <c r="C152" s="12">
        <v>0</v>
      </c>
      <c r="D152" s="12">
        <v>14397</v>
      </c>
      <c r="E152" s="76" t="s">
        <v>57</v>
      </c>
      <c r="F152" s="27">
        <v>417862355200961</v>
      </c>
      <c r="G152" s="15">
        <v>172.25</v>
      </c>
    </row>
    <row r="153" spans="1:7" ht="28.5" hidden="1" customHeight="1">
      <c r="A153" s="64"/>
      <c r="B153" s="71"/>
      <c r="C153" s="71"/>
      <c r="D153" s="71"/>
      <c r="E153" s="13" t="s">
        <v>337</v>
      </c>
      <c r="F153" s="13"/>
      <c r="G153" s="72">
        <v>0</v>
      </c>
    </row>
    <row r="154" spans="1:7" ht="15.75" hidden="1" customHeight="1">
      <c r="A154" s="64"/>
      <c r="B154" s="17">
        <v>45728</v>
      </c>
      <c r="C154" s="18">
        <v>0</v>
      </c>
      <c r="D154" s="18">
        <v>14397</v>
      </c>
      <c r="E154" s="65" t="s">
        <v>57</v>
      </c>
      <c r="F154" s="20">
        <v>417974052041031</v>
      </c>
      <c r="G154" s="21">
        <v>309.92</v>
      </c>
    </row>
    <row r="155" spans="1:7" ht="28.5" hidden="1" customHeight="1">
      <c r="A155" s="64"/>
      <c r="B155" s="66"/>
      <c r="C155" s="66"/>
      <c r="D155" s="66"/>
      <c r="E155" s="24" t="s">
        <v>338</v>
      </c>
      <c r="F155" s="24"/>
      <c r="G155" s="67">
        <v>0</v>
      </c>
    </row>
    <row r="156" spans="1:7" ht="15.75" hidden="1" customHeight="1">
      <c r="A156" s="64"/>
      <c r="B156" s="11">
        <v>45728</v>
      </c>
      <c r="C156" s="12">
        <v>0</v>
      </c>
      <c r="D156" s="12">
        <v>14397</v>
      </c>
      <c r="E156" s="76" t="s">
        <v>57</v>
      </c>
      <c r="F156" s="27">
        <v>418099204424441</v>
      </c>
      <c r="G156" s="15">
        <v>78.09</v>
      </c>
    </row>
    <row r="157" spans="1:7" ht="28.5" hidden="1" customHeight="1">
      <c r="A157" s="64"/>
      <c r="B157" s="71"/>
      <c r="C157" s="71"/>
      <c r="D157" s="71"/>
      <c r="E157" s="13" t="s">
        <v>339</v>
      </c>
      <c r="F157" s="13"/>
      <c r="G157" s="72">
        <v>0</v>
      </c>
    </row>
    <row r="158" spans="1:7" ht="15.75" hidden="1" customHeight="1">
      <c r="A158" s="64"/>
      <c r="B158" s="17">
        <v>45728</v>
      </c>
      <c r="C158" s="18">
        <v>0</v>
      </c>
      <c r="D158" s="18">
        <v>13105</v>
      </c>
      <c r="E158" s="65" t="s">
        <v>80</v>
      </c>
      <c r="F158" s="20">
        <v>31201</v>
      </c>
      <c r="G158" s="78">
        <v>151.74</v>
      </c>
    </row>
    <row r="159" spans="1:7" ht="15.75" hidden="1" customHeight="1">
      <c r="A159" s="64"/>
      <c r="B159" s="66"/>
      <c r="C159" s="66"/>
      <c r="D159" s="66"/>
      <c r="E159" s="24" t="s">
        <v>81</v>
      </c>
      <c r="F159" s="24"/>
      <c r="G159" s="67">
        <v>0</v>
      </c>
    </row>
    <row r="160" spans="1:7" ht="15.75" hidden="1" customHeight="1">
      <c r="A160" s="64"/>
      <c r="B160" s="11">
        <v>45728</v>
      </c>
      <c r="C160" s="12">
        <v>0</v>
      </c>
      <c r="D160" s="12">
        <v>13105</v>
      </c>
      <c r="E160" s="76" t="s">
        <v>80</v>
      </c>
      <c r="F160" s="27">
        <v>31202</v>
      </c>
      <c r="G160" s="77">
        <v>785.64</v>
      </c>
    </row>
    <row r="161" spans="1:7" ht="15.75" hidden="1" customHeight="1">
      <c r="A161" s="64"/>
      <c r="B161" s="71"/>
      <c r="C161" s="71"/>
      <c r="D161" s="71"/>
      <c r="E161" s="13" t="s">
        <v>154</v>
      </c>
      <c r="F161" s="13"/>
      <c r="G161" s="72">
        <v>0</v>
      </c>
    </row>
    <row r="162" spans="1:7" ht="15.75" hidden="1" customHeight="1">
      <c r="A162" s="64"/>
      <c r="B162" s="17">
        <v>45728</v>
      </c>
      <c r="C162" s="18">
        <v>0</v>
      </c>
      <c r="D162" s="18">
        <v>13105</v>
      </c>
      <c r="E162" s="65" t="s">
        <v>31</v>
      </c>
      <c r="F162" s="20">
        <v>31203</v>
      </c>
      <c r="G162" s="78">
        <v>395.77</v>
      </c>
    </row>
    <row r="163" spans="1:7" ht="15.75" hidden="1" customHeight="1">
      <c r="A163" s="64"/>
      <c r="B163" s="66"/>
      <c r="C163" s="66"/>
      <c r="D163" s="66"/>
      <c r="E163" s="24" t="s">
        <v>340</v>
      </c>
      <c r="F163" s="24"/>
      <c r="G163" s="67">
        <v>0</v>
      </c>
    </row>
    <row r="164" spans="1:7" ht="15.75" hidden="1" customHeight="1">
      <c r="A164" s="64"/>
      <c r="B164" s="11">
        <v>45728</v>
      </c>
      <c r="C164" s="12">
        <v>0</v>
      </c>
      <c r="D164" s="12">
        <v>13105</v>
      </c>
      <c r="E164" s="76" t="s">
        <v>31</v>
      </c>
      <c r="F164" s="27">
        <v>31204</v>
      </c>
      <c r="G164" s="77">
        <v>78.75</v>
      </c>
    </row>
    <row r="165" spans="1:7" ht="15.75" hidden="1" customHeight="1">
      <c r="A165" s="64"/>
      <c r="B165" s="71"/>
      <c r="C165" s="71"/>
      <c r="D165" s="71"/>
      <c r="E165" s="13" t="s">
        <v>46</v>
      </c>
      <c r="F165" s="13"/>
      <c r="G165" s="72">
        <v>0</v>
      </c>
    </row>
    <row r="166" spans="1:7" ht="15.75" hidden="1" customHeight="1">
      <c r="A166" s="64"/>
      <c r="B166" s="17">
        <v>45728</v>
      </c>
      <c r="C166" s="18">
        <v>0</v>
      </c>
      <c r="D166" s="18">
        <v>13105</v>
      </c>
      <c r="E166" s="65" t="s">
        <v>31</v>
      </c>
      <c r="F166" s="20">
        <v>31205</v>
      </c>
      <c r="G166" s="78">
        <v>106.21</v>
      </c>
    </row>
    <row r="167" spans="1:7" ht="28.5" hidden="1" customHeight="1">
      <c r="A167" s="64"/>
      <c r="B167" s="66"/>
      <c r="C167" s="66"/>
      <c r="D167" s="66"/>
      <c r="E167" s="24" t="s">
        <v>126</v>
      </c>
      <c r="F167" s="24"/>
      <c r="G167" s="67">
        <v>0</v>
      </c>
    </row>
    <row r="168" spans="1:7" ht="15.75" hidden="1" customHeight="1">
      <c r="A168" s="64"/>
      <c r="B168" s="11">
        <v>45728</v>
      </c>
      <c r="C168" s="12">
        <v>0</v>
      </c>
      <c r="D168" s="12">
        <v>13105</v>
      </c>
      <c r="E168" s="76" t="s">
        <v>31</v>
      </c>
      <c r="F168" s="27">
        <v>31206</v>
      </c>
      <c r="G168" s="77">
        <v>107.35</v>
      </c>
    </row>
    <row r="169" spans="1:7" ht="15.75" hidden="1" customHeight="1">
      <c r="A169" s="64"/>
      <c r="B169" s="71"/>
      <c r="C169" s="71"/>
      <c r="D169" s="71"/>
      <c r="E169" s="13" t="s">
        <v>125</v>
      </c>
      <c r="F169" s="13"/>
      <c r="G169" s="72">
        <v>0</v>
      </c>
    </row>
    <row r="170" spans="1:7" ht="15.75" hidden="1" customHeight="1">
      <c r="A170" s="64"/>
      <c r="B170" s="17">
        <v>45728</v>
      </c>
      <c r="C170" s="18">
        <v>0</v>
      </c>
      <c r="D170" s="18">
        <v>0</v>
      </c>
      <c r="E170" s="65" t="s">
        <v>59</v>
      </c>
      <c r="F170" s="20">
        <v>9903</v>
      </c>
      <c r="G170" s="78">
        <v>401.1</v>
      </c>
    </row>
    <row r="171" spans="1:7" ht="15.75" hidden="1" customHeight="1">
      <c r="A171" s="64"/>
      <c r="B171" s="66"/>
      <c r="C171" s="66"/>
      <c r="D171" s="66"/>
      <c r="E171" s="24" t="s">
        <v>53</v>
      </c>
      <c r="F171" s="24"/>
      <c r="G171" s="67">
        <v>0</v>
      </c>
    </row>
    <row r="172" spans="1:7" ht="15.75" hidden="1" customHeight="1">
      <c r="A172" s="64"/>
      <c r="B172" s="11">
        <v>45729</v>
      </c>
      <c r="C172" s="12">
        <v>1109</v>
      </c>
      <c r="D172" s="12">
        <v>99015</v>
      </c>
      <c r="E172" s="76" t="s">
        <v>27</v>
      </c>
      <c r="F172" s="27">
        <v>551109000030600</v>
      </c>
      <c r="G172" s="15">
        <v>504.19</v>
      </c>
    </row>
    <row r="173" spans="1:7" ht="28.5" hidden="1" customHeight="1">
      <c r="A173" s="64"/>
      <c r="B173" s="71"/>
      <c r="C173" s="71"/>
      <c r="D173" s="71"/>
      <c r="E173" s="13" t="s">
        <v>341</v>
      </c>
      <c r="F173" s="13"/>
      <c r="G173" s="72">
        <v>0</v>
      </c>
    </row>
    <row r="174" spans="1:7" ht="15.75" hidden="1" customHeight="1">
      <c r="A174" s="64"/>
      <c r="B174" s="17">
        <v>45729</v>
      </c>
      <c r="C174" s="18">
        <v>0</v>
      </c>
      <c r="D174" s="18">
        <v>14397</v>
      </c>
      <c r="E174" s="65" t="s">
        <v>57</v>
      </c>
      <c r="F174" s="20">
        <v>131443048360702</v>
      </c>
      <c r="G174" s="21">
        <v>40</v>
      </c>
    </row>
    <row r="175" spans="1:7" ht="28.5" hidden="1" customHeight="1">
      <c r="A175" s="64"/>
      <c r="B175" s="66"/>
      <c r="C175" s="66"/>
      <c r="D175" s="66"/>
      <c r="E175" s="24" t="s">
        <v>342</v>
      </c>
      <c r="F175" s="24"/>
      <c r="G175" s="67">
        <v>0</v>
      </c>
    </row>
    <row r="176" spans="1:7" ht="15.75" hidden="1" customHeight="1">
      <c r="A176" s="64"/>
      <c r="B176" s="11">
        <v>45729</v>
      </c>
      <c r="C176" s="12">
        <v>0</v>
      </c>
      <c r="D176" s="12">
        <v>14397</v>
      </c>
      <c r="E176" s="76" t="s">
        <v>57</v>
      </c>
      <c r="F176" s="27">
        <v>418666781350091</v>
      </c>
      <c r="G176" s="15">
        <v>4060.38</v>
      </c>
    </row>
    <row r="177" spans="1:7" ht="28.5" hidden="1" customHeight="1">
      <c r="A177" s="64"/>
      <c r="B177" s="71"/>
      <c r="C177" s="71"/>
      <c r="D177" s="71"/>
      <c r="E177" s="13" t="s">
        <v>343</v>
      </c>
      <c r="F177" s="13"/>
      <c r="G177" s="72">
        <v>0</v>
      </c>
    </row>
    <row r="178" spans="1:7" ht="15.75" hidden="1" customHeight="1">
      <c r="A178" s="64"/>
      <c r="B178" s="17">
        <v>45729</v>
      </c>
      <c r="C178" s="18">
        <v>0</v>
      </c>
      <c r="D178" s="18">
        <v>14397</v>
      </c>
      <c r="E178" s="65" t="s">
        <v>57</v>
      </c>
      <c r="F178" s="20">
        <v>418667354248211</v>
      </c>
      <c r="G178" s="21">
        <v>1585.06</v>
      </c>
    </row>
    <row r="179" spans="1:7" ht="28.5" hidden="1" customHeight="1">
      <c r="A179" s="64"/>
      <c r="B179" s="66"/>
      <c r="C179" s="66"/>
      <c r="D179" s="66"/>
      <c r="E179" s="24" t="s">
        <v>344</v>
      </c>
      <c r="F179" s="24"/>
      <c r="G179" s="67">
        <v>0</v>
      </c>
    </row>
    <row r="180" spans="1:7" ht="15.75" hidden="1" customHeight="1">
      <c r="A180" s="64"/>
      <c r="B180" s="11">
        <v>45729</v>
      </c>
      <c r="C180" s="12">
        <v>0</v>
      </c>
      <c r="D180" s="12">
        <v>14397</v>
      </c>
      <c r="E180" s="76" t="s">
        <v>57</v>
      </c>
      <c r="F180" s="27">
        <v>418846777398771</v>
      </c>
      <c r="G180" s="15">
        <v>2500</v>
      </c>
    </row>
    <row r="181" spans="1:7" ht="28.5" hidden="1" customHeight="1">
      <c r="A181" s="64"/>
      <c r="B181" s="71"/>
      <c r="C181" s="71"/>
      <c r="D181" s="71"/>
      <c r="E181" s="13" t="s">
        <v>345</v>
      </c>
      <c r="F181" s="13"/>
      <c r="G181" s="72">
        <v>0</v>
      </c>
    </row>
    <row r="182" spans="1:7" ht="15.75" hidden="1" customHeight="1">
      <c r="A182" s="64"/>
      <c r="B182" s="17">
        <v>45729</v>
      </c>
      <c r="C182" s="18">
        <v>0</v>
      </c>
      <c r="D182" s="18">
        <v>13105</v>
      </c>
      <c r="E182" s="65" t="s">
        <v>80</v>
      </c>
      <c r="F182" s="20">
        <v>31301</v>
      </c>
      <c r="G182" s="78">
        <v>296.02</v>
      </c>
    </row>
    <row r="183" spans="1:7" ht="15.75" hidden="1" customHeight="1">
      <c r="A183" s="64"/>
      <c r="B183" s="66"/>
      <c r="C183" s="66"/>
      <c r="D183" s="66"/>
      <c r="E183" s="24" t="s">
        <v>81</v>
      </c>
      <c r="F183" s="24"/>
      <c r="G183" s="67">
        <v>0</v>
      </c>
    </row>
    <row r="184" spans="1:7" ht="15.75" hidden="1" customHeight="1">
      <c r="A184" s="64"/>
      <c r="B184" s="11">
        <v>45729</v>
      </c>
      <c r="C184" s="12">
        <v>0</v>
      </c>
      <c r="D184" s="12">
        <v>13105</v>
      </c>
      <c r="E184" s="76" t="s">
        <v>31</v>
      </c>
      <c r="F184" s="27">
        <v>31302</v>
      </c>
      <c r="G184" s="77">
        <v>165.84</v>
      </c>
    </row>
    <row r="185" spans="1:7" ht="28.5" hidden="1" customHeight="1">
      <c r="A185" s="64"/>
      <c r="B185" s="71"/>
      <c r="C185" s="71"/>
      <c r="D185" s="71"/>
      <c r="E185" s="13" t="s">
        <v>346</v>
      </c>
      <c r="F185" s="13"/>
      <c r="G185" s="72">
        <v>0</v>
      </c>
    </row>
    <row r="186" spans="1:7" ht="15.75" hidden="1" customHeight="1">
      <c r="A186" s="64"/>
      <c r="B186" s="17">
        <v>45729</v>
      </c>
      <c r="C186" s="18">
        <v>0</v>
      </c>
      <c r="D186" s="18">
        <v>13105</v>
      </c>
      <c r="E186" s="65" t="s">
        <v>31</v>
      </c>
      <c r="F186" s="20">
        <v>31303</v>
      </c>
      <c r="G186" s="78">
        <v>2545.5</v>
      </c>
    </row>
    <row r="187" spans="1:7" ht="28.5" hidden="1" customHeight="1">
      <c r="A187" s="64"/>
      <c r="B187" s="66"/>
      <c r="C187" s="66"/>
      <c r="D187" s="66"/>
      <c r="E187" s="24" t="s">
        <v>347</v>
      </c>
      <c r="F187" s="24"/>
      <c r="G187" s="67">
        <v>0</v>
      </c>
    </row>
    <row r="188" spans="1:7" ht="15.75" hidden="1" customHeight="1">
      <c r="A188" s="64"/>
      <c r="B188" s="11">
        <v>45729</v>
      </c>
      <c r="C188" s="12">
        <v>0</v>
      </c>
      <c r="D188" s="12">
        <v>13105</v>
      </c>
      <c r="E188" s="76" t="s">
        <v>31</v>
      </c>
      <c r="F188" s="27">
        <v>31304</v>
      </c>
      <c r="G188" s="77">
        <v>3385.43</v>
      </c>
    </row>
    <row r="189" spans="1:7" ht="15.75" hidden="1" customHeight="1">
      <c r="A189" s="64"/>
      <c r="B189" s="71"/>
      <c r="C189" s="71"/>
      <c r="D189" s="71"/>
      <c r="E189" s="13" t="s">
        <v>55</v>
      </c>
      <c r="F189" s="13"/>
      <c r="G189" s="72">
        <v>0</v>
      </c>
    </row>
    <row r="190" spans="1:7" ht="15.75" hidden="1" customHeight="1">
      <c r="A190" s="64"/>
      <c r="B190" s="17">
        <v>45729</v>
      </c>
      <c r="C190" s="18">
        <v>0</v>
      </c>
      <c r="D190" s="18">
        <v>13105</v>
      </c>
      <c r="E190" s="65" t="s">
        <v>31</v>
      </c>
      <c r="F190" s="20">
        <v>31305</v>
      </c>
      <c r="G190" s="78">
        <v>1794.71</v>
      </c>
    </row>
    <row r="191" spans="1:7" ht="28.5" hidden="1" customHeight="1">
      <c r="A191" s="64"/>
      <c r="B191" s="66"/>
      <c r="C191" s="66"/>
      <c r="D191" s="66"/>
      <c r="E191" s="24" t="s">
        <v>348</v>
      </c>
      <c r="F191" s="24"/>
      <c r="G191" s="67">
        <v>0</v>
      </c>
    </row>
    <row r="192" spans="1:7" ht="15.75" hidden="1" customHeight="1">
      <c r="A192" s="64"/>
      <c r="B192" s="11">
        <v>45729</v>
      </c>
      <c r="C192" s="12">
        <v>0</v>
      </c>
      <c r="D192" s="12">
        <v>13105</v>
      </c>
      <c r="E192" s="76" t="s">
        <v>31</v>
      </c>
      <c r="F192" s="27">
        <v>31306</v>
      </c>
      <c r="G192" s="77">
        <v>243.55</v>
      </c>
    </row>
    <row r="193" spans="1:7" ht="15.75" hidden="1" customHeight="1">
      <c r="A193" s="64"/>
      <c r="B193" s="71"/>
      <c r="C193" s="71"/>
      <c r="D193" s="71"/>
      <c r="E193" s="13" t="s">
        <v>111</v>
      </c>
      <c r="F193" s="13"/>
      <c r="G193" s="72">
        <v>0</v>
      </c>
    </row>
    <row r="194" spans="1:7" ht="15.75" hidden="1" customHeight="1">
      <c r="A194" s="64"/>
      <c r="B194" s="17">
        <v>45729</v>
      </c>
      <c r="C194" s="18">
        <v>0</v>
      </c>
      <c r="D194" s="18">
        <v>13105</v>
      </c>
      <c r="E194" s="65" t="s">
        <v>31</v>
      </c>
      <c r="F194" s="20">
        <v>31307</v>
      </c>
      <c r="G194" s="78">
        <v>380.62</v>
      </c>
    </row>
    <row r="195" spans="1:7" ht="15.75" hidden="1" customHeight="1">
      <c r="A195" s="64"/>
      <c r="B195" s="66"/>
      <c r="C195" s="66"/>
      <c r="D195" s="66"/>
      <c r="E195" s="24" t="s">
        <v>48</v>
      </c>
      <c r="F195" s="24"/>
      <c r="G195" s="67">
        <v>0</v>
      </c>
    </row>
    <row r="196" spans="1:7" ht="15.75" hidden="1" customHeight="1">
      <c r="A196" s="64"/>
      <c r="B196" s="11">
        <v>45729</v>
      </c>
      <c r="C196" s="12">
        <v>0</v>
      </c>
      <c r="D196" s="12">
        <v>13105</v>
      </c>
      <c r="E196" s="76" t="s">
        <v>31</v>
      </c>
      <c r="F196" s="27">
        <v>31308</v>
      </c>
      <c r="G196" s="77">
        <v>236.48</v>
      </c>
    </row>
    <row r="197" spans="1:7" ht="15.75" hidden="1" customHeight="1">
      <c r="A197" s="64"/>
      <c r="B197" s="71"/>
      <c r="C197" s="71"/>
      <c r="D197" s="71"/>
      <c r="E197" s="13" t="s">
        <v>349</v>
      </c>
      <c r="F197" s="13"/>
      <c r="G197" s="72">
        <v>0</v>
      </c>
    </row>
    <row r="198" spans="1:7" ht="15.75" hidden="1" customHeight="1">
      <c r="A198" s="64"/>
      <c r="B198" s="17">
        <v>45729</v>
      </c>
      <c r="C198" s="18">
        <v>0</v>
      </c>
      <c r="D198" s="18">
        <v>0</v>
      </c>
      <c r="E198" s="65" t="s">
        <v>52</v>
      </c>
      <c r="F198" s="20">
        <v>9903</v>
      </c>
      <c r="G198" s="21">
        <v>358.52</v>
      </c>
    </row>
    <row r="199" spans="1:7" ht="15.75" hidden="1" customHeight="1">
      <c r="A199" s="64"/>
      <c r="B199" s="66"/>
      <c r="C199" s="66"/>
      <c r="D199" s="66"/>
      <c r="E199" s="24" t="s">
        <v>53</v>
      </c>
      <c r="F199" s="24"/>
      <c r="G199" s="67">
        <v>0</v>
      </c>
    </row>
    <row r="200" spans="1:7" ht="15.75" hidden="1" customHeight="1">
      <c r="A200" s="64"/>
      <c r="B200" s="11">
        <v>45730</v>
      </c>
      <c r="C200" s="12">
        <v>0</v>
      </c>
      <c r="D200" s="12">
        <v>14175</v>
      </c>
      <c r="E200" s="76" t="s">
        <v>62</v>
      </c>
      <c r="F200" s="27">
        <v>374023008</v>
      </c>
      <c r="G200" s="15">
        <v>3000</v>
      </c>
    </row>
    <row r="201" spans="1:7" ht="28.5" hidden="1" customHeight="1">
      <c r="A201" s="64"/>
      <c r="B201" s="71"/>
      <c r="C201" s="71"/>
      <c r="D201" s="71"/>
      <c r="E201" s="13" t="s">
        <v>97</v>
      </c>
      <c r="F201" s="13"/>
      <c r="G201" s="72">
        <v>0</v>
      </c>
    </row>
    <row r="202" spans="1:7" ht="15.75" hidden="1" customHeight="1">
      <c r="A202" s="64"/>
      <c r="B202" s="17">
        <v>45730</v>
      </c>
      <c r="C202" s="18">
        <v>1533</v>
      </c>
      <c r="D202" s="18">
        <v>99008</v>
      </c>
      <c r="E202" s="65" t="s">
        <v>29</v>
      </c>
      <c r="F202" s="20">
        <v>693691</v>
      </c>
      <c r="G202" s="78">
        <v>312.02999999999997</v>
      </c>
    </row>
    <row r="203" spans="1:7" ht="15.75" hidden="1" customHeight="1">
      <c r="A203" s="64"/>
      <c r="B203" s="66"/>
      <c r="C203" s="66"/>
      <c r="D203" s="66"/>
      <c r="E203" s="24" t="s">
        <v>350</v>
      </c>
      <c r="F203" s="24"/>
      <c r="G203" s="67">
        <v>0</v>
      </c>
    </row>
    <row r="204" spans="1:7" ht="15.75" hidden="1" customHeight="1">
      <c r="A204" s="64"/>
      <c r="B204" s="11">
        <v>45730</v>
      </c>
      <c r="C204" s="12">
        <v>0</v>
      </c>
      <c r="D204" s="12">
        <v>13105</v>
      </c>
      <c r="E204" s="76" t="s">
        <v>80</v>
      </c>
      <c r="F204" s="27">
        <v>31401</v>
      </c>
      <c r="G204" s="77">
        <v>286.7</v>
      </c>
    </row>
    <row r="205" spans="1:7" ht="15.75" hidden="1" customHeight="1">
      <c r="A205" s="64"/>
      <c r="B205" s="71"/>
      <c r="C205" s="71"/>
      <c r="D205" s="71"/>
      <c r="E205" s="13" t="s">
        <v>81</v>
      </c>
      <c r="F205" s="13"/>
      <c r="G205" s="72">
        <v>0</v>
      </c>
    </row>
    <row r="206" spans="1:7" ht="15.75" hidden="1" customHeight="1">
      <c r="A206" s="64"/>
      <c r="B206" s="17">
        <v>45730</v>
      </c>
      <c r="C206" s="18">
        <v>0</v>
      </c>
      <c r="D206" s="18">
        <v>13105</v>
      </c>
      <c r="E206" s="65" t="s">
        <v>80</v>
      </c>
      <c r="F206" s="20">
        <v>31402</v>
      </c>
      <c r="G206" s="78">
        <v>16.5</v>
      </c>
    </row>
    <row r="207" spans="1:7" ht="15.75" hidden="1" customHeight="1">
      <c r="A207" s="64"/>
      <c r="B207" s="66"/>
      <c r="C207" s="66"/>
      <c r="D207" s="66"/>
      <c r="E207" s="24" t="s">
        <v>81</v>
      </c>
      <c r="F207" s="24"/>
      <c r="G207" s="67">
        <v>0</v>
      </c>
    </row>
    <row r="208" spans="1:7" ht="15.75" hidden="1" customHeight="1">
      <c r="A208" s="64"/>
      <c r="B208" s="11">
        <v>45730</v>
      </c>
      <c r="C208" s="12">
        <v>0</v>
      </c>
      <c r="D208" s="12">
        <v>13105</v>
      </c>
      <c r="E208" s="76" t="s">
        <v>31</v>
      </c>
      <c r="F208" s="27">
        <v>31403</v>
      </c>
      <c r="G208" s="77">
        <v>338.99</v>
      </c>
    </row>
    <row r="209" spans="1:7" ht="28.5" hidden="1" customHeight="1">
      <c r="A209" s="64"/>
      <c r="B209" s="71"/>
      <c r="C209" s="71"/>
      <c r="D209" s="71"/>
      <c r="E209" s="13" t="s">
        <v>45</v>
      </c>
      <c r="F209" s="13"/>
      <c r="G209" s="72">
        <v>0</v>
      </c>
    </row>
    <row r="210" spans="1:7" ht="15.75" hidden="1" customHeight="1">
      <c r="A210" s="64"/>
      <c r="B210" s="17">
        <v>45730</v>
      </c>
      <c r="C210" s="18">
        <v>0</v>
      </c>
      <c r="D210" s="18">
        <v>13105</v>
      </c>
      <c r="E210" s="65" t="s">
        <v>31</v>
      </c>
      <c r="F210" s="20">
        <v>31404</v>
      </c>
      <c r="G210" s="78">
        <v>330.03</v>
      </c>
    </row>
    <row r="211" spans="1:7" ht="15.75" hidden="1" customHeight="1">
      <c r="A211" s="64"/>
      <c r="B211" s="66"/>
      <c r="C211" s="66"/>
      <c r="D211" s="66"/>
      <c r="E211" s="24" t="s">
        <v>231</v>
      </c>
      <c r="F211" s="24"/>
      <c r="G211" s="67">
        <v>0</v>
      </c>
    </row>
    <row r="212" spans="1:7" ht="15.75" hidden="1" customHeight="1">
      <c r="A212" s="64"/>
      <c r="B212" s="11">
        <v>45730</v>
      </c>
      <c r="C212" s="12">
        <v>0</v>
      </c>
      <c r="D212" s="12">
        <v>0</v>
      </c>
      <c r="E212" s="76" t="s">
        <v>59</v>
      </c>
      <c r="F212" s="27">
        <v>9903</v>
      </c>
      <c r="G212" s="77">
        <v>1715.75</v>
      </c>
    </row>
    <row r="213" spans="1:7" ht="15.75" hidden="1" customHeight="1">
      <c r="A213" s="64"/>
      <c r="B213" s="71"/>
      <c r="C213" s="71"/>
      <c r="D213" s="71"/>
      <c r="E213" s="13" t="s">
        <v>53</v>
      </c>
      <c r="F213" s="13"/>
      <c r="G213" s="72">
        <v>0</v>
      </c>
    </row>
    <row r="214" spans="1:7" ht="15.75" hidden="1" customHeight="1">
      <c r="A214" s="64"/>
      <c r="B214" s="17">
        <v>45733</v>
      </c>
      <c r="C214" s="18">
        <v>1845</v>
      </c>
      <c r="D214" s="18">
        <v>99021</v>
      </c>
      <c r="E214" s="65" t="s">
        <v>27</v>
      </c>
      <c r="F214" s="20">
        <v>611845000040070</v>
      </c>
      <c r="G214" s="21">
        <v>10000</v>
      </c>
    </row>
    <row r="215" spans="1:7" ht="28.5" hidden="1" customHeight="1">
      <c r="A215" s="64"/>
      <c r="B215" s="66"/>
      <c r="C215" s="66"/>
      <c r="D215" s="66"/>
      <c r="E215" s="24" t="s">
        <v>351</v>
      </c>
      <c r="F215" s="24"/>
      <c r="G215" s="67">
        <v>0</v>
      </c>
    </row>
    <row r="216" spans="1:7" ht="15.75" hidden="1" customHeight="1">
      <c r="A216" s="64"/>
      <c r="B216" s="11">
        <v>45733</v>
      </c>
      <c r="C216" s="12">
        <v>0</v>
      </c>
      <c r="D216" s="12">
        <v>14397</v>
      </c>
      <c r="E216" s="76" t="s">
        <v>57</v>
      </c>
      <c r="F216" s="27">
        <v>170946009040112</v>
      </c>
      <c r="G216" s="15">
        <v>681.79</v>
      </c>
    </row>
    <row r="217" spans="1:7" ht="28.5" hidden="1" customHeight="1">
      <c r="A217" s="64"/>
      <c r="B217" s="71"/>
      <c r="C217" s="71"/>
      <c r="D217" s="71"/>
      <c r="E217" s="13" t="s">
        <v>352</v>
      </c>
      <c r="F217" s="13"/>
      <c r="G217" s="72">
        <v>0</v>
      </c>
    </row>
    <row r="218" spans="1:7" ht="15.75" hidden="1" customHeight="1">
      <c r="A218" s="64"/>
      <c r="B218" s="17">
        <v>45733</v>
      </c>
      <c r="C218" s="18">
        <v>0</v>
      </c>
      <c r="D218" s="18">
        <v>14397</v>
      </c>
      <c r="E218" s="65" t="s">
        <v>57</v>
      </c>
      <c r="F218" s="20">
        <v>171017475446472</v>
      </c>
      <c r="G218" s="21">
        <v>245</v>
      </c>
    </row>
    <row r="219" spans="1:7" ht="28.5" hidden="1" customHeight="1">
      <c r="A219" s="64"/>
      <c r="B219" s="66"/>
      <c r="C219" s="66"/>
      <c r="D219" s="66"/>
      <c r="E219" s="24" t="s">
        <v>353</v>
      </c>
      <c r="F219" s="24"/>
      <c r="G219" s="67">
        <v>0</v>
      </c>
    </row>
    <row r="220" spans="1:7" ht="15.75" hidden="1" customHeight="1">
      <c r="A220" s="64"/>
      <c r="B220" s="11">
        <v>45733</v>
      </c>
      <c r="C220" s="12">
        <v>0</v>
      </c>
      <c r="D220" s="12">
        <v>14397</v>
      </c>
      <c r="E220" s="76" t="s">
        <v>57</v>
      </c>
      <c r="F220" s="27">
        <v>422321932401281</v>
      </c>
      <c r="G220" s="15">
        <v>1700</v>
      </c>
    </row>
    <row r="221" spans="1:7" ht="28.5" hidden="1" customHeight="1">
      <c r="A221" s="64"/>
      <c r="B221" s="71"/>
      <c r="C221" s="71"/>
      <c r="D221" s="71"/>
      <c r="E221" s="13" t="s">
        <v>354</v>
      </c>
      <c r="F221" s="13"/>
      <c r="G221" s="72">
        <v>0</v>
      </c>
    </row>
    <row r="222" spans="1:7" ht="15.75" hidden="1" customHeight="1">
      <c r="A222" s="64"/>
      <c r="B222" s="17">
        <v>45733</v>
      </c>
      <c r="C222" s="18">
        <v>0</v>
      </c>
      <c r="D222" s="18">
        <v>14397</v>
      </c>
      <c r="E222" s="65" t="s">
        <v>57</v>
      </c>
      <c r="F222" s="20">
        <v>422484086308701</v>
      </c>
      <c r="G222" s="21">
        <v>292.7</v>
      </c>
    </row>
    <row r="223" spans="1:7" ht="28.5" hidden="1" customHeight="1">
      <c r="A223" s="64"/>
      <c r="B223" s="66"/>
      <c r="C223" s="66"/>
      <c r="D223" s="66"/>
      <c r="E223" s="24" t="s">
        <v>355</v>
      </c>
      <c r="F223" s="24"/>
      <c r="G223" s="67">
        <v>0</v>
      </c>
    </row>
    <row r="224" spans="1:7" ht="15.75" hidden="1" customHeight="1">
      <c r="A224" s="64"/>
      <c r="B224" s="11">
        <v>45733</v>
      </c>
      <c r="C224" s="12">
        <v>0</v>
      </c>
      <c r="D224" s="12">
        <v>13105</v>
      </c>
      <c r="E224" s="76" t="s">
        <v>80</v>
      </c>
      <c r="F224" s="27">
        <v>31701</v>
      </c>
      <c r="G224" s="77">
        <v>118.07</v>
      </c>
    </row>
    <row r="225" spans="1:7" ht="15.75" hidden="1" customHeight="1">
      <c r="A225" s="64"/>
      <c r="B225" s="71"/>
      <c r="C225" s="71"/>
      <c r="D225" s="71"/>
      <c r="E225" s="13" t="s">
        <v>81</v>
      </c>
      <c r="F225" s="13"/>
      <c r="G225" s="72">
        <v>0</v>
      </c>
    </row>
    <row r="226" spans="1:7" ht="15.75" hidden="1" customHeight="1">
      <c r="A226" s="64"/>
      <c r="B226" s="17">
        <v>45733</v>
      </c>
      <c r="C226" s="18">
        <v>0</v>
      </c>
      <c r="D226" s="18">
        <v>13105</v>
      </c>
      <c r="E226" s="65" t="s">
        <v>80</v>
      </c>
      <c r="F226" s="20">
        <v>31702</v>
      </c>
      <c r="G226" s="78">
        <v>81.02</v>
      </c>
    </row>
    <row r="227" spans="1:7" ht="15.75" hidden="1" customHeight="1">
      <c r="A227" s="64"/>
      <c r="B227" s="66"/>
      <c r="C227" s="66"/>
      <c r="D227" s="66"/>
      <c r="E227" s="24" t="s">
        <v>81</v>
      </c>
      <c r="F227" s="24"/>
      <c r="G227" s="67">
        <v>0</v>
      </c>
    </row>
    <row r="228" spans="1:7" ht="15.75" hidden="1" customHeight="1">
      <c r="A228" s="64"/>
      <c r="B228" s="11">
        <v>45733</v>
      </c>
      <c r="C228" s="12">
        <v>0</v>
      </c>
      <c r="D228" s="12">
        <v>13105</v>
      </c>
      <c r="E228" s="76" t="s">
        <v>34</v>
      </c>
      <c r="F228" s="27">
        <v>31703</v>
      </c>
      <c r="G228" s="77">
        <v>130.84</v>
      </c>
    </row>
    <row r="229" spans="1:7" ht="15.75" hidden="1" customHeight="1">
      <c r="A229" s="64"/>
      <c r="B229" s="71"/>
      <c r="C229" s="71"/>
      <c r="D229" s="71"/>
      <c r="E229" s="13" t="s">
        <v>35</v>
      </c>
      <c r="F229" s="13"/>
      <c r="G229" s="72">
        <v>0</v>
      </c>
    </row>
    <row r="230" spans="1:7" ht="15.75" hidden="1" customHeight="1">
      <c r="A230" s="64"/>
      <c r="B230" s="17">
        <v>45733</v>
      </c>
      <c r="C230" s="18">
        <v>0</v>
      </c>
      <c r="D230" s="18">
        <v>13105</v>
      </c>
      <c r="E230" s="65" t="s">
        <v>31</v>
      </c>
      <c r="F230" s="20">
        <v>31704</v>
      </c>
      <c r="G230" s="78">
        <v>527.57000000000005</v>
      </c>
    </row>
    <row r="231" spans="1:7" ht="15.75" hidden="1" customHeight="1">
      <c r="A231" s="64"/>
      <c r="B231" s="66"/>
      <c r="C231" s="66"/>
      <c r="D231" s="66"/>
      <c r="E231" s="24" t="s">
        <v>356</v>
      </c>
      <c r="F231" s="24"/>
      <c r="G231" s="67">
        <v>0</v>
      </c>
    </row>
    <row r="232" spans="1:7" ht="15.75" hidden="1" customHeight="1">
      <c r="A232" s="64"/>
      <c r="B232" s="11">
        <v>45733</v>
      </c>
      <c r="C232" s="12">
        <v>0</v>
      </c>
      <c r="D232" s="12">
        <v>13105</v>
      </c>
      <c r="E232" s="76" t="s">
        <v>31</v>
      </c>
      <c r="F232" s="27">
        <v>31705</v>
      </c>
      <c r="G232" s="77">
        <v>189.9</v>
      </c>
    </row>
    <row r="233" spans="1:7" ht="15.75" hidden="1" customHeight="1">
      <c r="A233" s="64"/>
      <c r="B233" s="71"/>
      <c r="C233" s="71"/>
      <c r="D233" s="71"/>
      <c r="E233" s="13" t="s">
        <v>266</v>
      </c>
      <c r="F233" s="13"/>
      <c r="G233" s="72">
        <v>0</v>
      </c>
    </row>
    <row r="234" spans="1:7" ht="15.75" hidden="1" customHeight="1">
      <c r="A234" s="64"/>
      <c r="B234" s="17">
        <v>45733</v>
      </c>
      <c r="C234" s="18">
        <v>0</v>
      </c>
      <c r="D234" s="18">
        <v>13105</v>
      </c>
      <c r="E234" s="65" t="s">
        <v>31</v>
      </c>
      <c r="F234" s="20">
        <v>31706</v>
      </c>
      <c r="G234" s="78">
        <v>247.43</v>
      </c>
    </row>
    <row r="235" spans="1:7" ht="28.5" hidden="1" customHeight="1">
      <c r="A235" s="64"/>
      <c r="B235" s="66"/>
      <c r="C235" s="66"/>
      <c r="D235" s="66"/>
      <c r="E235" s="24" t="s">
        <v>45</v>
      </c>
      <c r="F235" s="24"/>
      <c r="G235" s="67">
        <v>0</v>
      </c>
    </row>
    <row r="236" spans="1:7" ht="15.75" hidden="1" customHeight="1">
      <c r="A236" s="64"/>
      <c r="B236" s="11">
        <v>45733</v>
      </c>
      <c r="C236" s="12">
        <v>0</v>
      </c>
      <c r="D236" s="12">
        <v>13105</v>
      </c>
      <c r="E236" s="76" t="s">
        <v>31</v>
      </c>
      <c r="F236" s="27">
        <v>31707</v>
      </c>
      <c r="G236" s="77">
        <v>353.77</v>
      </c>
    </row>
    <row r="237" spans="1:7" ht="28.5" hidden="1" customHeight="1">
      <c r="A237" s="64"/>
      <c r="B237" s="71"/>
      <c r="C237" s="71"/>
      <c r="D237" s="71"/>
      <c r="E237" s="13" t="s">
        <v>45</v>
      </c>
      <c r="F237" s="13"/>
      <c r="G237" s="72">
        <v>0</v>
      </c>
    </row>
    <row r="238" spans="1:7" ht="15.75" hidden="1" customHeight="1">
      <c r="A238" s="64"/>
      <c r="B238" s="17">
        <v>45733</v>
      </c>
      <c r="C238" s="18">
        <v>0</v>
      </c>
      <c r="D238" s="18">
        <v>13105</v>
      </c>
      <c r="E238" s="65" t="s">
        <v>31</v>
      </c>
      <c r="F238" s="20">
        <v>31708</v>
      </c>
      <c r="G238" s="78">
        <v>266.10000000000002</v>
      </c>
    </row>
    <row r="239" spans="1:7" ht="15.75" hidden="1" customHeight="1">
      <c r="A239" s="64"/>
      <c r="B239" s="66"/>
      <c r="C239" s="66"/>
      <c r="D239" s="66"/>
      <c r="E239" s="24" t="s">
        <v>51</v>
      </c>
      <c r="F239" s="24"/>
      <c r="G239" s="67">
        <v>0</v>
      </c>
    </row>
    <row r="240" spans="1:7" ht="15.75" hidden="1" customHeight="1">
      <c r="A240" s="64"/>
      <c r="B240" s="11">
        <v>45733</v>
      </c>
      <c r="C240" s="12">
        <v>0</v>
      </c>
      <c r="D240" s="12">
        <v>13105</v>
      </c>
      <c r="E240" s="76" t="s">
        <v>31</v>
      </c>
      <c r="F240" s="27">
        <v>31709</v>
      </c>
      <c r="G240" s="77">
        <v>2368.44</v>
      </c>
    </row>
    <row r="241" spans="1:8" ht="28.5" hidden="1" customHeight="1">
      <c r="A241" s="64"/>
      <c r="B241" s="71"/>
      <c r="C241" s="71"/>
      <c r="D241" s="71"/>
      <c r="E241" s="13" t="s">
        <v>65</v>
      </c>
      <c r="F241" s="13"/>
      <c r="G241" s="72">
        <v>0</v>
      </c>
    </row>
    <row r="242" spans="1:8" ht="15.75" hidden="1" customHeight="1">
      <c r="A242" s="64"/>
      <c r="B242" s="17">
        <v>45733</v>
      </c>
      <c r="C242" s="18">
        <v>0</v>
      </c>
      <c r="D242" s="18">
        <v>0</v>
      </c>
      <c r="E242" s="65" t="s">
        <v>59</v>
      </c>
      <c r="F242" s="20">
        <v>9903</v>
      </c>
      <c r="G242" s="78">
        <v>8636.35</v>
      </c>
    </row>
    <row r="243" spans="1:8" ht="15.75" hidden="1" customHeight="1">
      <c r="A243" s="64"/>
      <c r="B243" s="66"/>
      <c r="C243" s="66"/>
      <c r="D243" s="66"/>
      <c r="E243" s="24" t="s">
        <v>53</v>
      </c>
      <c r="F243" s="24"/>
      <c r="G243" s="67">
        <v>0</v>
      </c>
    </row>
    <row r="244" spans="1:8" ht="15.75" hidden="1" customHeight="1">
      <c r="A244" s="64"/>
      <c r="B244" s="11">
        <v>45734</v>
      </c>
      <c r="C244" s="12">
        <v>5072</v>
      </c>
      <c r="D244" s="12">
        <v>99021</v>
      </c>
      <c r="E244" s="76" t="s">
        <v>27</v>
      </c>
      <c r="F244" s="27">
        <v>615072000004700</v>
      </c>
      <c r="G244" s="15">
        <v>54.64</v>
      </c>
    </row>
    <row r="245" spans="1:8" ht="15.75" hidden="1" customHeight="1">
      <c r="A245" s="64"/>
      <c r="B245" s="71"/>
      <c r="C245" s="71"/>
      <c r="D245" s="71"/>
      <c r="E245" s="13" t="s">
        <v>357</v>
      </c>
      <c r="F245" s="13"/>
      <c r="G245" s="72">
        <v>0</v>
      </c>
    </row>
    <row r="246" spans="1:8" ht="15.75" hidden="1" customHeight="1">
      <c r="A246" s="64"/>
      <c r="B246" s="17">
        <v>45734</v>
      </c>
      <c r="C246" s="18">
        <v>0</v>
      </c>
      <c r="D246" s="18">
        <v>14397</v>
      </c>
      <c r="E246" s="65" t="s">
        <v>57</v>
      </c>
      <c r="F246" s="20">
        <v>180716349237332</v>
      </c>
      <c r="G246" s="21">
        <v>489.09</v>
      </c>
    </row>
    <row r="247" spans="1:8" ht="28.5" hidden="1" customHeight="1">
      <c r="A247" s="64"/>
      <c r="B247" s="66"/>
      <c r="C247" s="66"/>
      <c r="D247" s="66"/>
      <c r="E247" s="24" t="s">
        <v>358</v>
      </c>
      <c r="F247" s="24"/>
      <c r="G247" s="67">
        <v>0</v>
      </c>
    </row>
    <row r="248" spans="1:8" ht="15.75" hidden="1" customHeight="1">
      <c r="A248" s="64"/>
      <c r="B248" s="11">
        <v>45734</v>
      </c>
      <c r="C248" s="12">
        <v>0</v>
      </c>
      <c r="D248" s="12">
        <v>14397</v>
      </c>
      <c r="E248" s="76" t="s">
        <v>57</v>
      </c>
      <c r="F248" s="27">
        <v>181430536696012</v>
      </c>
      <c r="G248" s="15">
        <v>1500</v>
      </c>
    </row>
    <row r="249" spans="1:8" ht="28.5" hidden="1" customHeight="1">
      <c r="A249" s="64"/>
      <c r="B249" s="71"/>
      <c r="C249" s="71"/>
      <c r="D249" s="71"/>
      <c r="E249" s="13" t="s">
        <v>359</v>
      </c>
      <c r="F249" s="13"/>
      <c r="G249" s="72">
        <v>0</v>
      </c>
    </row>
    <row r="250" spans="1:8" ht="15.75" customHeight="1">
      <c r="A250" s="33" t="s">
        <v>140</v>
      </c>
      <c r="B250" s="41">
        <v>45734</v>
      </c>
      <c r="C250" s="42">
        <v>0</v>
      </c>
      <c r="D250" s="42">
        <v>14138</v>
      </c>
      <c r="E250" s="73" t="s">
        <v>141</v>
      </c>
      <c r="F250" s="74">
        <v>202503170003563</v>
      </c>
      <c r="G250" s="75">
        <v>1668.08</v>
      </c>
      <c r="H250" s="64">
        <v>3236</v>
      </c>
    </row>
    <row r="251" spans="1:8" ht="15.75" hidden="1" customHeight="1">
      <c r="A251" s="64"/>
      <c r="B251" s="66"/>
      <c r="C251" s="66"/>
      <c r="D251" s="66"/>
      <c r="E251" s="24" t="s">
        <v>143</v>
      </c>
      <c r="F251" s="24"/>
      <c r="G251" s="67">
        <v>0</v>
      </c>
    </row>
    <row r="252" spans="1:8" ht="15.75" customHeight="1">
      <c r="A252" s="33" t="s">
        <v>140</v>
      </c>
      <c r="B252" s="34">
        <v>45734</v>
      </c>
      <c r="C252" s="35">
        <v>0</v>
      </c>
      <c r="D252" s="35">
        <v>14138</v>
      </c>
      <c r="E252" s="68" t="s">
        <v>141</v>
      </c>
      <c r="F252" s="69">
        <v>202503170003564</v>
      </c>
      <c r="G252" s="70">
        <v>2494.4299999999998</v>
      </c>
      <c r="H252" s="64">
        <v>3265</v>
      </c>
    </row>
    <row r="253" spans="1:8" ht="15.75" hidden="1" customHeight="1">
      <c r="A253" s="64"/>
      <c r="B253" s="71"/>
      <c r="C253" s="71"/>
      <c r="D253" s="71"/>
      <c r="E253" s="13" t="s">
        <v>143</v>
      </c>
      <c r="F253" s="13"/>
      <c r="G253" s="72">
        <v>0</v>
      </c>
    </row>
    <row r="254" spans="1:8" ht="15.75" hidden="1" customHeight="1">
      <c r="A254" s="64"/>
      <c r="B254" s="17">
        <v>45734</v>
      </c>
      <c r="C254" s="18">
        <v>0</v>
      </c>
      <c r="D254" s="18">
        <v>14397</v>
      </c>
      <c r="E254" s="65" t="s">
        <v>57</v>
      </c>
      <c r="F254" s="20">
        <v>423289591731681</v>
      </c>
      <c r="G254" s="21">
        <v>1500</v>
      </c>
    </row>
    <row r="255" spans="1:8" ht="28.5" hidden="1" customHeight="1">
      <c r="A255" s="64"/>
      <c r="B255" s="66"/>
      <c r="C255" s="66"/>
      <c r="D255" s="66"/>
      <c r="E255" s="24" t="s">
        <v>360</v>
      </c>
      <c r="F255" s="24"/>
      <c r="G255" s="67">
        <v>0</v>
      </c>
    </row>
    <row r="256" spans="1:8" ht="15.75" hidden="1" customHeight="1">
      <c r="A256" s="64"/>
      <c r="B256" s="11">
        <v>45734</v>
      </c>
      <c r="C256" s="12">
        <v>0</v>
      </c>
      <c r="D256" s="12">
        <v>14397</v>
      </c>
      <c r="E256" s="76" t="s">
        <v>57</v>
      </c>
      <c r="F256" s="27">
        <v>423504611029981</v>
      </c>
      <c r="G256" s="15">
        <v>350</v>
      </c>
    </row>
    <row r="257" spans="1:7" ht="28.5" hidden="1" customHeight="1">
      <c r="A257" s="64"/>
      <c r="B257" s="71"/>
      <c r="C257" s="71"/>
      <c r="D257" s="71"/>
      <c r="E257" s="13" t="s">
        <v>361</v>
      </c>
      <c r="F257" s="13"/>
      <c r="G257" s="72">
        <v>0</v>
      </c>
    </row>
    <row r="258" spans="1:7" ht="15.75" hidden="1" customHeight="1">
      <c r="A258" s="64"/>
      <c r="B258" s="17">
        <v>45734</v>
      </c>
      <c r="C258" s="18">
        <v>0</v>
      </c>
      <c r="D258" s="18">
        <v>13105</v>
      </c>
      <c r="E258" s="65" t="s">
        <v>31</v>
      </c>
      <c r="F258" s="20">
        <v>31801</v>
      </c>
      <c r="G258" s="78">
        <v>6653.67</v>
      </c>
    </row>
    <row r="259" spans="1:7" ht="28.5" hidden="1" customHeight="1">
      <c r="A259" s="64"/>
      <c r="B259" s="66"/>
      <c r="C259" s="66"/>
      <c r="D259" s="66"/>
      <c r="E259" s="24" t="s">
        <v>32</v>
      </c>
      <c r="F259" s="24"/>
      <c r="G259" s="67">
        <v>0</v>
      </c>
    </row>
    <row r="260" spans="1:7" ht="15.75" hidden="1" customHeight="1">
      <c r="A260" s="64"/>
      <c r="B260" s="11">
        <v>45734</v>
      </c>
      <c r="C260" s="12">
        <v>0</v>
      </c>
      <c r="D260" s="12">
        <v>13105</v>
      </c>
      <c r="E260" s="76" t="s">
        <v>31</v>
      </c>
      <c r="F260" s="27">
        <v>31802</v>
      </c>
      <c r="G260" s="77">
        <v>2784.33</v>
      </c>
    </row>
    <row r="261" spans="1:7" ht="15.75" hidden="1" customHeight="1">
      <c r="A261" s="64"/>
      <c r="B261" s="71"/>
      <c r="C261" s="71"/>
      <c r="D261" s="71"/>
      <c r="E261" s="13" t="s">
        <v>66</v>
      </c>
      <c r="F261" s="13"/>
      <c r="G261" s="72">
        <v>0</v>
      </c>
    </row>
    <row r="262" spans="1:7" ht="15.75" hidden="1" customHeight="1">
      <c r="A262" s="64"/>
      <c r="B262" s="17">
        <v>45734</v>
      </c>
      <c r="C262" s="18">
        <v>0</v>
      </c>
      <c r="D262" s="18">
        <v>13105</v>
      </c>
      <c r="E262" s="65" t="s">
        <v>80</v>
      </c>
      <c r="F262" s="20">
        <v>31803</v>
      </c>
      <c r="G262" s="78">
        <v>2191.14</v>
      </c>
    </row>
    <row r="263" spans="1:7" ht="15.75" hidden="1" customHeight="1">
      <c r="A263" s="64"/>
      <c r="B263" s="66"/>
      <c r="C263" s="66"/>
      <c r="D263" s="66"/>
      <c r="E263" s="24" t="s">
        <v>81</v>
      </c>
      <c r="F263" s="24"/>
      <c r="G263" s="67">
        <v>0</v>
      </c>
    </row>
    <row r="264" spans="1:7" ht="15.75" hidden="1" customHeight="1">
      <c r="A264" s="64"/>
      <c r="B264" s="11">
        <v>45734</v>
      </c>
      <c r="C264" s="12">
        <v>0</v>
      </c>
      <c r="D264" s="12">
        <v>13105</v>
      </c>
      <c r="E264" s="76" t="s">
        <v>123</v>
      </c>
      <c r="F264" s="27">
        <v>31804</v>
      </c>
      <c r="G264" s="77">
        <v>123.45</v>
      </c>
    </row>
    <row r="265" spans="1:7" ht="15.75" hidden="1" customHeight="1">
      <c r="A265" s="64"/>
      <c r="B265" s="71"/>
      <c r="C265" s="71"/>
      <c r="D265" s="71"/>
      <c r="E265" s="13" t="s">
        <v>124</v>
      </c>
      <c r="F265" s="13"/>
      <c r="G265" s="72">
        <v>0</v>
      </c>
    </row>
    <row r="266" spans="1:7" ht="15.75" hidden="1" customHeight="1">
      <c r="A266" s="64"/>
      <c r="B266" s="17">
        <v>45734</v>
      </c>
      <c r="C266" s="18">
        <v>0</v>
      </c>
      <c r="D266" s="18">
        <v>13105</v>
      </c>
      <c r="E266" s="65" t="s">
        <v>31</v>
      </c>
      <c r="F266" s="20">
        <v>31805</v>
      </c>
      <c r="G266" s="78">
        <v>196.18</v>
      </c>
    </row>
    <row r="267" spans="1:7" ht="28.5" hidden="1" customHeight="1">
      <c r="A267" s="64"/>
      <c r="B267" s="66"/>
      <c r="C267" s="66"/>
      <c r="D267" s="66"/>
      <c r="E267" s="24" t="s">
        <v>69</v>
      </c>
      <c r="F267" s="24"/>
      <c r="G267" s="67">
        <v>0</v>
      </c>
    </row>
    <row r="268" spans="1:7" ht="15.75" hidden="1" customHeight="1">
      <c r="A268" s="64"/>
      <c r="B268" s="11">
        <v>45734</v>
      </c>
      <c r="C268" s="12">
        <v>0</v>
      </c>
      <c r="D268" s="12">
        <v>13105</v>
      </c>
      <c r="E268" s="76" t="s">
        <v>31</v>
      </c>
      <c r="F268" s="27">
        <v>31806</v>
      </c>
      <c r="G268" s="77">
        <v>18.62</v>
      </c>
    </row>
    <row r="269" spans="1:7" ht="15.75" hidden="1" customHeight="1">
      <c r="A269" s="64"/>
      <c r="B269" s="71"/>
      <c r="C269" s="71"/>
      <c r="D269" s="71"/>
      <c r="E269" s="13" t="s">
        <v>46</v>
      </c>
      <c r="F269" s="13"/>
      <c r="G269" s="72">
        <v>0</v>
      </c>
    </row>
    <row r="270" spans="1:7" ht="15.75" hidden="1" customHeight="1">
      <c r="A270" s="64"/>
      <c r="B270" s="17">
        <v>45734</v>
      </c>
      <c r="C270" s="18">
        <v>0</v>
      </c>
      <c r="D270" s="18">
        <v>13105</v>
      </c>
      <c r="E270" s="65" t="s">
        <v>31</v>
      </c>
      <c r="F270" s="20">
        <v>31807</v>
      </c>
      <c r="G270" s="78">
        <v>1356.94</v>
      </c>
    </row>
    <row r="271" spans="1:7" ht="28.5" hidden="1" customHeight="1">
      <c r="A271" s="64"/>
      <c r="B271" s="66"/>
      <c r="C271" s="66"/>
      <c r="D271" s="66"/>
      <c r="E271" s="24" t="s">
        <v>362</v>
      </c>
      <c r="F271" s="24"/>
      <c r="G271" s="67">
        <v>0</v>
      </c>
    </row>
    <row r="272" spans="1:7" ht="15.75" hidden="1" customHeight="1">
      <c r="A272" s="64"/>
      <c r="B272" s="11">
        <v>45734</v>
      </c>
      <c r="C272" s="12">
        <v>0</v>
      </c>
      <c r="D272" s="12">
        <v>0</v>
      </c>
      <c r="E272" s="76" t="s">
        <v>52</v>
      </c>
      <c r="F272" s="27">
        <v>9903</v>
      </c>
      <c r="G272" s="15">
        <v>5268.09</v>
      </c>
    </row>
    <row r="273" spans="1:8" ht="15.75" hidden="1" customHeight="1">
      <c r="A273" s="64"/>
      <c r="B273" s="71"/>
      <c r="C273" s="71"/>
      <c r="D273" s="71"/>
      <c r="E273" s="13" t="s">
        <v>53</v>
      </c>
      <c r="F273" s="13"/>
      <c r="G273" s="72">
        <v>0</v>
      </c>
    </row>
    <row r="274" spans="1:8" ht="15.75" hidden="1" customHeight="1">
      <c r="A274" s="64"/>
      <c r="B274" s="17">
        <v>45735</v>
      </c>
      <c r="C274" s="18">
        <v>0</v>
      </c>
      <c r="D274" s="18">
        <v>14397</v>
      </c>
      <c r="E274" s="65" t="s">
        <v>57</v>
      </c>
      <c r="F274" s="20">
        <v>191245323042352</v>
      </c>
      <c r="G274" s="21">
        <v>40000</v>
      </c>
    </row>
    <row r="275" spans="1:8" ht="28.5" hidden="1" customHeight="1">
      <c r="A275" s="64"/>
      <c r="B275" s="66"/>
      <c r="C275" s="66"/>
      <c r="D275" s="66"/>
      <c r="E275" s="24" t="s">
        <v>363</v>
      </c>
      <c r="F275" s="24"/>
      <c r="G275" s="67">
        <v>0</v>
      </c>
    </row>
    <row r="276" spans="1:8" ht="15.75" customHeight="1">
      <c r="A276" s="33" t="s">
        <v>140</v>
      </c>
      <c r="B276" s="34">
        <v>45735</v>
      </c>
      <c r="C276" s="35">
        <v>0</v>
      </c>
      <c r="D276" s="35">
        <v>14138</v>
      </c>
      <c r="E276" s="68" t="s">
        <v>141</v>
      </c>
      <c r="F276" s="69">
        <v>202503180007995</v>
      </c>
      <c r="G276" s="70">
        <v>1089.0899999999999</v>
      </c>
      <c r="H276" s="64" t="s">
        <v>364</v>
      </c>
    </row>
    <row r="277" spans="1:8" ht="15.75" hidden="1" customHeight="1">
      <c r="A277" s="64"/>
      <c r="B277" s="71"/>
      <c r="C277" s="71"/>
      <c r="D277" s="71"/>
      <c r="E277" s="13" t="s">
        <v>143</v>
      </c>
      <c r="F277" s="13"/>
      <c r="G277" s="72">
        <v>0</v>
      </c>
    </row>
    <row r="278" spans="1:8" ht="15.75" customHeight="1">
      <c r="A278" s="33" t="s">
        <v>140</v>
      </c>
      <c r="B278" s="41">
        <v>45735</v>
      </c>
      <c r="C278" s="42">
        <v>0</v>
      </c>
      <c r="D278" s="42">
        <v>14138</v>
      </c>
      <c r="E278" s="73" t="s">
        <v>141</v>
      </c>
      <c r="F278" s="74">
        <v>202503180007998</v>
      </c>
      <c r="G278" s="75">
        <v>3362.94</v>
      </c>
      <c r="H278" s="79" t="s">
        <v>365</v>
      </c>
    </row>
    <row r="279" spans="1:8" ht="15.75" hidden="1" customHeight="1">
      <c r="A279" s="64"/>
      <c r="B279" s="66"/>
      <c r="C279" s="66"/>
      <c r="D279" s="66"/>
      <c r="E279" s="24" t="s">
        <v>143</v>
      </c>
      <c r="F279" s="24"/>
      <c r="G279" s="67">
        <v>0</v>
      </c>
    </row>
    <row r="280" spans="1:8" ht="15.75" customHeight="1">
      <c r="A280" s="33" t="s">
        <v>140</v>
      </c>
      <c r="B280" s="34">
        <v>45735</v>
      </c>
      <c r="C280" s="35">
        <v>0</v>
      </c>
      <c r="D280" s="35">
        <v>14138</v>
      </c>
      <c r="E280" s="68" t="s">
        <v>141</v>
      </c>
      <c r="F280" s="69">
        <v>202503180008000</v>
      </c>
      <c r="G280" s="70">
        <v>1232.8399999999999</v>
      </c>
      <c r="H280" s="80" t="s">
        <v>366</v>
      </c>
    </row>
    <row r="281" spans="1:8" ht="15.75" hidden="1" customHeight="1">
      <c r="A281" s="64"/>
      <c r="B281" s="71"/>
      <c r="C281" s="71"/>
      <c r="D281" s="71"/>
      <c r="E281" s="13" t="s">
        <v>143</v>
      </c>
      <c r="F281" s="13"/>
      <c r="G281" s="72">
        <v>0</v>
      </c>
    </row>
    <row r="282" spans="1:8" ht="15.75" customHeight="1">
      <c r="A282" s="33" t="s">
        <v>140</v>
      </c>
      <c r="B282" s="41">
        <v>45735</v>
      </c>
      <c r="C282" s="42">
        <v>0</v>
      </c>
      <c r="D282" s="42">
        <v>14138</v>
      </c>
      <c r="E282" s="73" t="s">
        <v>141</v>
      </c>
      <c r="F282" s="74">
        <v>202503180017569</v>
      </c>
      <c r="G282" s="75">
        <v>1668.08</v>
      </c>
      <c r="H282" s="64">
        <v>2970</v>
      </c>
    </row>
    <row r="283" spans="1:8" ht="15.75" hidden="1" customHeight="1">
      <c r="A283" s="64"/>
      <c r="B283" s="66"/>
      <c r="C283" s="66"/>
      <c r="D283" s="66"/>
      <c r="E283" s="24" t="s">
        <v>143</v>
      </c>
      <c r="F283" s="24"/>
      <c r="G283" s="67">
        <v>0</v>
      </c>
    </row>
    <row r="284" spans="1:8" ht="15.75" customHeight="1">
      <c r="A284" s="33" t="s">
        <v>140</v>
      </c>
      <c r="B284" s="34">
        <v>45735</v>
      </c>
      <c r="C284" s="35">
        <v>0</v>
      </c>
      <c r="D284" s="35">
        <v>14138</v>
      </c>
      <c r="E284" s="68" t="s">
        <v>141</v>
      </c>
      <c r="F284" s="69">
        <v>202503180017570</v>
      </c>
      <c r="G284" s="70">
        <v>1566.61</v>
      </c>
      <c r="H284" s="64">
        <v>3038</v>
      </c>
    </row>
    <row r="285" spans="1:8" ht="15.75" hidden="1" customHeight="1">
      <c r="A285" s="64"/>
      <c r="B285" s="71"/>
      <c r="C285" s="71"/>
      <c r="D285" s="71"/>
      <c r="E285" s="13" t="s">
        <v>143</v>
      </c>
      <c r="F285" s="13"/>
      <c r="G285" s="72">
        <v>0</v>
      </c>
    </row>
    <row r="286" spans="1:8" ht="15.75" hidden="1" customHeight="1">
      <c r="A286" s="64"/>
      <c r="B286" s="17">
        <v>45735</v>
      </c>
      <c r="C286" s="18">
        <v>0</v>
      </c>
      <c r="D286" s="18">
        <v>14397</v>
      </c>
      <c r="E286" s="65" t="s">
        <v>57</v>
      </c>
      <c r="F286" s="20">
        <v>424105128047101</v>
      </c>
      <c r="G286" s="21">
        <v>160</v>
      </c>
    </row>
    <row r="287" spans="1:8" ht="28.5" hidden="1" customHeight="1">
      <c r="A287" s="64"/>
      <c r="B287" s="66"/>
      <c r="C287" s="66"/>
      <c r="D287" s="66"/>
      <c r="E287" s="24" t="s">
        <v>367</v>
      </c>
      <c r="F287" s="24"/>
      <c r="G287" s="67">
        <v>0</v>
      </c>
    </row>
    <row r="288" spans="1:8" ht="15.75" hidden="1" customHeight="1">
      <c r="A288" s="64"/>
      <c r="B288" s="11">
        <v>45735</v>
      </c>
      <c r="C288" s="12">
        <v>1533</v>
      </c>
      <c r="D288" s="12">
        <v>99008</v>
      </c>
      <c r="E288" s="76" t="s">
        <v>29</v>
      </c>
      <c r="F288" s="27">
        <v>913222</v>
      </c>
      <c r="G288" s="77">
        <v>211.46</v>
      </c>
    </row>
    <row r="289" spans="1:7" ht="15.75" hidden="1" customHeight="1">
      <c r="A289" s="64"/>
      <c r="B289" s="71"/>
      <c r="C289" s="71"/>
      <c r="D289" s="71"/>
      <c r="E289" s="13" t="s">
        <v>368</v>
      </c>
      <c r="F289" s="13"/>
      <c r="G289" s="72">
        <v>0</v>
      </c>
    </row>
    <row r="290" spans="1:7" ht="15.75" hidden="1" customHeight="1">
      <c r="A290" s="64"/>
      <c r="B290" s="17">
        <v>45735</v>
      </c>
      <c r="C290" s="18">
        <v>0</v>
      </c>
      <c r="D290" s="18">
        <v>13105</v>
      </c>
      <c r="E290" s="65" t="s">
        <v>118</v>
      </c>
      <c r="F290" s="20">
        <v>31901</v>
      </c>
      <c r="G290" s="78">
        <v>993.23</v>
      </c>
    </row>
    <row r="291" spans="1:7" ht="15.75" hidden="1" customHeight="1">
      <c r="A291" s="64"/>
      <c r="B291" s="66"/>
      <c r="C291" s="66"/>
      <c r="D291" s="66"/>
      <c r="E291" s="24" t="s">
        <v>369</v>
      </c>
      <c r="F291" s="24"/>
      <c r="G291" s="67">
        <v>0</v>
      </c>
    </row>
    <row r="292" spans="1:7" ht="15.75" hidden="1" customHeight="1">
      <c r="A292" s="64"/>
      <c r="B292" s="11">
        <v>45735</v>
      </c>
      <c r="C292" s="12">
        <v>0</v>
      </c>
      <c r="D292" s="12">
        <v>13105</v>
      </c>
      <c r="E292" s="76" t="s">
        <v>31</v>
      </c>
      <c r="F292" s="27">
        <v>31902</v>
      </c>
      <c r="G292" s="77">
        <v>5984.78</v>
      </c>
    </row>
    <row r="293" spans="1:7" ht="28.5" hidden="1" customHeight="1">
      <c r="A293" s="64"/>
      <c r="B293" s="71"/>
      <c r="C293" s="71"/>
      <c r="D293" s="71"/>
      <c r="E293" s="13" t="s">
        <v>95</v>
      </c>
      <c r="F293" s="13"/>
      <c r="G293" s="72">
        <v>0</v>
      </c>
    </row>
    <row r="294" spans="1:7" ht="15.75" hidden="1" customHeight="1">
      <c r="A294" s="64"/>
      <c r="B294" s="17">
        <v>45735</v>
      </c>
      <c r="C294" s="18">
        <v>0</v>
      </c>
      <c r="D294" s="18">
        <v>13105</v>
      </c>
      <c r="E294" s="65" t="s">
        <v>31</v>
      </c>
      <c r="F294" s="20">
        <v>31903</v>
      </c>
      <c r="G294" s="78">
        <v>319.97000000000003</v>
      </c>
    </row>
    <row r="295" spans="1:7" ht="15.75" hidden="1" customHeight="1">
      <c r="A295" s="64"/>
      <c r="B295" s="66"/>
      <c r="C295" s="66"/>
      <c r="D295" s="66"/>
      <c r="E295" s="24" t="s">
        <v>46</v>
      </c>
      <c r="F295" s="24"/>
      <c r="G295" s="67">
        <v>0</v>
      </c>
    </row>
    <row r="296" spans="1:7" ht="15.75" hidden="1" customHeight="1">
      <c r="A296" s="64"/>
      <c r="B296" s="11">
        <v>45735</v>
      </c>
      <c r="C296" s="12">
        <v>0</v>
      </c>
      <c r="D296" s="12">
        <v>13105</v>
      </c>
      <c r="E296" s="76" t="s">
        <v>31</v>
      </c>
      <c r="F296" s="27">
        <v>31904</v>
      </c>
      <c r="G296" s="77">
        <v>269.87</v>
      </c>
    </row>
    <row r="297" spans="1:7" ht="28.5" hidden="1" customHeight="1">
      <c r="A297" s="64"/>
      <c r="B297" s="71"/>
      <c r="C297" s="71"/>
      <c r="D297" s="71"/>
      <c r="E297" s="13" t="s">
        <v>45</v>
      </c>
      <c r="F297" s="13"/>
      <c r="G297" s="72">
        <v>0</v>
      </c>
    </row>
    <row r="298" spans="1:7" ht="15.75" hidden="1" customHeight="1">
      <c r="A298" s="64"/>
      <c r="B298" s="17">
        <v>45735</v>
      </c>
      <c r="C298" s="18">
        <v>0</v>
      </c>
      <c r="D298" s="18">
        <v>13105</v>
      </c>
      <c r="E298" s="65" t="s">
        <v>31</v>
      </c>
      <c r="F298" s="20">
        <v>31905</v>
      </c>
      <c r="G298" s="78">
        <v>631.84</v>
      </c>
    </row>
    <row r="299" spans="1:7" ht="15.75" hidden="1" customHeight="1">
      <c r="A299" s="64"/>
      <c r="B299" s="66"/>
      <c r="C299" s="66"/>
      <c r="D299" s="66"/>
      <c r="E299" s="24" t="s">
        <v>44</v>
      </c>
      <c r="F299" s="24"/>
      <c r="G299" s="67">
        <v>0</v>
      </c>
    </row>
    <row r="300" spans="1:7" ht="15.75" hidden="1" customHeight="1">
      <c r="A300" s="64"/>
      <c r="B300" s="11">
        <v>45735</v>
      </c>
      <c r="C300" s="12">
        <v>0</v>
      </c>
      <c r="D300" s="12">
        <v>13105</v>
      </c>
      <c r="E300" s="76" t="s">
        <v>31</v>
      </c>
      <c r="F300" s="27">
        <v>31906</v>
      </c>
      <c r="G300" s="77">
        <v>5082.34</v>
      </c>
    </row>
    <row r="301" spans="1:7" ht="15.75" hidden="1" customHeight="1">
      <c r="A301" s="64"/>
      <c r="B301" s="71"/>
      <c r="C301" s="71"/>
      <c r="D301" s="71"/>
      <c r="E301" s="13" t="s">
        <v>66</v>
      </c>
      <c r="F301" s="13"/>
      <c r="G301" s="72">
        <v>0</v>
      </c>
    </row>
    <row r="302" spans="1:7" ht="15.75" hidden="1" customHeight="1">
      <c r="A302" s="64"/>
      <c r="B302" s="17">
        <v>45735</v>
      </c>
      <c r="C302" s="18">
        <v>0</v>
      </c>
      <c r="D302" s="18">
        <v>13105</v>
      </c>
      <c r="E302" s="65" t="s">
        <v>31</v>
      </c>
      <c r="F302" s="20">
        <v>31907</v>
      </c>
      <c r="G302" s="78">
        <v>5726.55</v>
      </c>
    </row>
    <row r="303" spans="1:7" ht="28.5" hidden="1" customHeight="1">
      <c r="A303" s="64"/>
      <c r="B303" s="66"/>
      <c r="C303" s="66"/>
      <c r="D303" s="66"/>
      <c r="E303" s="24" t="s">
        <v>32</v>
      </c>
      <c r="F303" s="24"/>
      <c r="G303" s="67">
        <v>0</v>
      </c>
    </row>
    <row r="304" spans="1:7" ht="15.75" hidden="1" customHeight="1">
      <c r="A304" s="64"/>
      <c r="B304" s="11">
        <v>45735</v>
      </c>
      <c r="C304" s="12">
        <v>0</v>
      </c>
      <c r="D304" s="12">
        <v>13105</v>
      </c>
      <c r="E304" s="76" t="s">
        <v>31</v>
      </c>
      <c r="F304" s="27">
        <v>31908</v>
      </c>
      <c r="G304" s="77">
        <v>3759.71</v>
      </c>
    </row>
    <row r="305" spans="1:7" ht="28.5" hidden="1" customHeight="1">
      <c r="A305" s="64"/>
      <c r="B305" s="71"/>
      <c r="C305" s="71"/>
      <c r="D305" s="71"/>
      <c r="E305" s="13" t="s">
        <v>32</v>
      </c>
      <c r="F305" s="13"/>
      <c r="G305" s="72">
        <v>0</v>
      </c>
    </row>
    <row r="306" spans="1:7" ht="15.75" hidden="1" customHeight="1">
      <c r="A306" s="64"/>
      <c r="B306" s="17">
        <v>45735</v>
      </c>
      <c r="C306" s="18">
        <v>0</v>
      </c>
      <c r="D306" s="18">
        <v>13105</v>
      </c>
      <c r="E306" s="65" t="s">
        <v>31</v>
      </c>
      <c r="F306" s="20">
        <v>31909</v>
      </c>
      <c r="G306" s="78">
        <v>1867.59</v>
      </c>
    </row>
    <row r="307" spans="1:7" ht="15.75" hidden="1" customHeight="1">
      <c r="A307" s="64"/>
      <c r="B307" s="66"/>
      <c r="C307" s="66"/>
      <c r="D307" s="66"/>
      <c r="E307" s="24" t="s">
        <v>66</v>
      </c>
      <c r="F307" s="24"/>
      <c r="G307" s="67">
        <v>0</v>
      </c>
    </row>
    <row r="308" spans="1:7" ht="15.75" hidden="1" customHeight="1">
      <c r="A308" s="64"/>
      <c r="B308" s="11">
        <v>45735</v>
      </c>
      <c r="C308" s="12">
        <v>0</v>
      </c>
      <c r="D308" s="12">
        <v>13105</v>
      </c>
      <c r="E308" s="76" t="s">
        <v>31</v>
      </c>
      <c r="F308" s="27">
        <v>31910</v>
      </c>
      <c r="G308" s="77">
        <v>5671.33</v>
      </c>
    </row>
    <row r="309" spans="1:7" ht="28.5" hidden="1" customHeight="1">
      <c r="A309" s="64"/>
      <c r="B309" s="71"/>
      <c r="C309" s="71"/>
      <c r="D309" s="71"/>
      <c r="E309" s="13" t="s">
        <v>32</v>
      </c>
      <c r="F309" s="13"/>
      <c r="G309" s="72">
        <v>0</v>
      </c>
    </row>
    <row r="310" spans="1:7" ht="15.75" hidden="1" customHeight="1">
      <c r="A310" s="64"/>
      <c r="B310" s="17">
        <v>45735</v>
      </c>
      <c r="C310" s="18">
        <v>0</v>
      </c>
      <c r="D310" s="18">
        <v>13105</v>
      </c>
      <c r="E310" s="65" t="s">
        <v>31</v>
      </c>
      <c r="F310" s="20">
        <v>31911</v>
      </c>
      <c r="G310" s="78">
        <v>2757.63</v>
      </c>
    </row>
    <row r="311" spans="1:7" ht="15.75" hidden="1" customHeight="1">
      <c r="A311" s="64"/>
      <c r="B311" s="66"/>
      <c r="C311" s="66"/>
      <c r="D311" s="66"/>
      <c r="E311" s="24" t="s">
        <v>66</v>
      </c>
      <c r="F311" s="24"/>
      <c r="G311" s="67">
        <v>0</v>
      </c>
    </row>
    <row r="312" spans="1:7" ht="15.75" hidden="1" customHeight="1">
      <c r="A312" s="64"/>
      <c r="B312" s="11">
        <v>45735</v>
      </c>
      <c r="C312" s="12">
        <v>0</v>
      </c>
      <c r="D312" s="12">
        <v>13105</v>
      </c>
      <c r="E312" s="76" t="s">
        <v>370</v>
      </c>
      <c r="F312" s="27">
        <v>31912</v>
      </c>
      <c r="G312" s="77">
        <v>20000</v>
      </c>
    </row>
    <row r="313" spans="1:7" ht="28.5" hidden="1" customHeight="1">
      <c r="A313" s="64"/>
      <c r="B313" s="71"/>
      <c r="C313" s="71"/>
      <c r="D313" s="71"/>
      <c r="E313" s="13" t="s">
        <v>371</v>
      </c>
      <c r="F313" s="13"/>
      <c r="G313" s="72">
        <v>0</v>
      </c>
    </row>
    <row r="314" spans="1:7" ht="15.75" hidden="1" customHeight="1">
      <c r="A314" s="64"/>
      <c r="B314" s="17">
        <v>45735</v>
      </c>
      <c r="C314" s="18">
        <v>0</v>
      </c>
      <c r="D314" s="18">
        <v>0</v>
      </c>
      <c r="E314" s="65" t="s">
        <v>52</v>
      </c>
      <c r="F314" s="20">
        <v>9903</v>
      </c>
      <c r="G314" s="21">
        <v>4196.74</v>
      </c>
    </row>
    <row r="315" spans="1:7" ht="15.75" hidden="1" customHeight="1">
      <c r="A315" s="64"/>
      <c r="B315" s="66"/>
      <c r="C315" s="66"/>
      <c r="D315" s="66"/>
      <c r="E315" s="24" t="s">
        <v>53</v>
      </c>
      <c r="F315" s="24"/>
      <c r="G315" s="67">
        <v>0</v>
      </c>
    </row>
    <row r="316" spans="1:7" ht="15.75" hidden="1" customHeight="1">
      <c r="A316" s="64"/>
      <c r="B316" s="11">
        <v>45736</v>
      </c>
      <c r="C316" s="12">
        <v>3525</v>
      </c>
      <c r="D316" s="12">
        <v>99021</v>
      </c>
      <c r="E316" s="76" t="s">
        <v>27</v>
      </c>
      <c r="F316" s="27">
        <v>613525000032047</v>
      </c>
      <c r="G316" s="15">
        <v>329.88</v>
      </c>
    </row>
    <row r="317" spans="1:7" ht="28.5" hidden="1" customHeight="1">
      <c r="A317" s="64"/>
      <c r="B317" s="71"/>
      <c r="C317" s="71"/>
      <c r="D317" s="71"/>
      <c r="E317" s="13" t="s">
        <v>372</v>
      </c>
      <c r="F317" s="13"/>
      <c r="G317" s="72">
        <v>0</v>
      </c>
    </row>
    <row r="318" spans="1:7" ht="15.75" hidden="1" customHeight="1">
      <c r="A318" s="64"/>
      <c r="B318" s="17">
        <v>45736</v>
      </c>
      <c r="C318" s="18">
        <v>0</v>
      </c>
      <c r="D318" s="18">
        <v>14397</v>
      </c>
      <c r="E318" s="65" t="s">
        <v>57</v>
      </c>
      <c r="F318" s="20">
        <v>200913316117652</v>
      </c>
      <c r="G318" s="21">
        <v>854.89</v>
      </c>
    </row>
    <row r="319" spans="1:7" ht="28.5" hidden="1" customHeight="1">
      <c r="A319" s="64"/>
      <c r="B319" s="66"/>
      <c r="C319" s="66"/>
      <c r="D319" s="66"/>
      <c r="E319" s="24" t="s">
        <v>373</v>
      </c>
      <c r="F319" s="24"/>
      <c r="G319" s="67">
        <v>0</v>
      </c>
    </row>
    <row r="320" spans="1:7" ht="15.75" hidden="1" customHeight="1">
      <c r="A320" s="64"/>
      <c r="B320" s="11">
        <v>45736</v>
      </c>
      <c r="C320" s="12">
        <v>0</v>
      </c>
      <c r="D320" s="12">
        <v>14397</v>
      </c>
      <c r="E320" s="76" t="s">
        <v>57</v>
      </c>
      <c r="F320" s="27">
        <v>201402011118022</v>
      </c>
      <c r="G320" s="15">
        <v>2054.85</v>
      </c>
    </row>
    <row r="321" spans="1:7" ht="28.5" hidden="1" customHeight="1">
      <c r="A321" s="64"/>
      <c r="B321" s="71"/>
      <c r="C321" s="71"/>
      <c r="D321" s="71"/>
      <c r="E321" s="13" t="s">
        <v>374</v>
      </c>
      <c r="F321" s="13"/>
      <c r="G321" s="72">
        <v>0</v>
      </c>
    </row>
    <row r="322" spans="1:7" ht="15.75" hidden="1" customHeight="1">
      <c r="A322" s="64"/>
      <c r="B322" s="17">
        <v>45736</v>
      </c>
      <c r="C322" s="18">
        <v>0</v>
      </c>
      <c r="D322" s="18">
        <v>14397</v>
      </c>
      <c r="E322" s="65" t="s">
        <v>57</v>
      </c>
      <c r="F322" s="20">
        <v>201927211731382</v>
      </c>
      <c r="G322" s="21">
        <v>2200</v>
      </c>
    </row>
    <row r="323" spans="1:7" ht="28.5" hidden="1" customHeight="1">
      <c r="A323" s="64"/>
      <c r="B323" s="66"/>
      <c r="C323" s="66"/>
      <c r="D323" s="66"/>
      <c r="E323" s="24" t="s">
        <v>375</v>
      </c>
      <c r="F323" s="24"/>
      <c r="G323" s="67">
        <v>0</v>
      </c>
    </row>
    <row r="324" spans="1:7" ht="15.75" hidden="1" customHeight="1">
      <c r="A324" s="64"/>
      <c r="B324" s="11">
        <v>45736</v>
      </c>
      <c r="C324" s="12">
        <v>0</v>
      </c>
      <c r="D324" s="12">
        <v>14397</v>
      </c>
      <c r="E324" s="76" t="s">
        <v>57</v>
      </c>
      <c r="F324" s="27">
        <v>424727545419381</v>
      </c>
      <c r="G324" s="15">
        <v>564.05999999999995</v>
      </c>
    </row>
    <row r="325" spans="1:7" ht="28.5" hidden="1" customHeight="1">
      <c r="A325" s="64"/>
      <c r="B325" s="71"/>
      <c r="C325" s="71"/>
      <c r="D325" s="71"/>
      <c r="E325" s="13" t="s">
        <v>376</v>
      </c>
      <c r="F325" s="13"/>
      <c r="G325" s="72">
        <v>0</v>
      </c>
    </row>
    <row r="326" spans="1:7" ht="15.75" hidden="1" customHeight="1">
      <c r="A326" s="64"/>
      <c r="B326" s="17">
        <v>45736</v>
      </c>
      <c r="C326" s="18">
        <v>0</v>
      </c>
      <c r="D326" s="18">
        <v>14397</v>
      </c>
      <c r="E326" s="65" t="s">
        <v>57</v>
      </c>
      <c r="F326" s="20">
        <v>425040061532781</v>
      </c>
      <c r="G326" s="21">
        <v>96</v>
      </c>
    </row>
    <row r="327" spans="1:7" ht="28.5" hidden="1" customHeight="1">
      <c r="A327" s="64"/>
      <c r="B327" s="66"/>
      <c r="C327" s="66"/>
      <c r="D327" s="66"/>
      <c r="E327" s="24" t="s">
        <v>377</v>
      </c>
      <c r="F327" s="24"/>
      <c r="G327" s="67">
        <v>0</v>
      </c>
    </row>
    <row r="328" spans="1:7" ht="15.75" hidden="1" customHeight="1">
      <c r="A328" s="64"/>
      <c r="B328" s="11">
        <v>45736</v>
      </c>
      <c r="C328" s="12">
        <v>0</v>
      </c>
      <c r="D328" s="12">
        <v>13105</v>
      </c>
      <c r="E328" s="76" t="s">
        <v>118</v>
      </c>
      <c r="F328" s="27">
        <v>32001</v>
      </c>
      <c r="G328" s="77">
        <v>277.49</v>
      </c>
    </row>
    <row r="329" spans="1:7" ht="15.75" hidden="1" customHeight="1">
      <c r="A329" s="64"/>
      <c r="B329" s="71"/>
      <c r="C329" s="71"/>
      <c r="D329" s="71"/>
      <c r="E329" s="13" t="s">
        <v>378</v>
      </c>
      <c r="F329" s="13"/>
      <c r="G329" s="72">
        <v>0</v>
      </c>
    </row>
    <row r="330" spans="1:7" ht="15.75" hidden="1" customHeight="1">
      <c r="A330" s="64"/>
      <c r="B330" s="17">
        <v>45736</v>
      </c>
      <c r="C330" s="18">
        <v>0</v>
      </c>
      <c r="D330" s="18">
        <v>13105</v>
      </c>
      <c r="E330" s="65" t="s">
        <v>31</v>
      </c>
      <c r="F330" s="20">
        <v>32002</v>
      </c>
      <c r="G330" s="78">
        <v>191.34</v>
      </c>
    </row>
    <row r="331" spans="1:7" ht="28.5" hidden="1" customHeight="1">
      <c r="A331" s="64"/>
      <c r="B331" s="66"/>
      <c r="C331" s="66"/>
      <c r="D331" s="66"/>
      <c r="E331" s="24" t="s">
        <v>379</v>
      </c>
      <c r="F331" s="24"/>
      <c r="G331" s="67">
        <v>0</v>
      </c>
    </row>
    <row r="332" spans="1:7" ht="15.75" hidden="1" customHeight="1">
      <c r="A332" s="64"/>
      <c r="B332" s="11">
        <v>45736</v>
      </c>
      <c r="C332" s="12">
        <v>0</v>
      </c>
      <c r="D332" s="12">
        <v>13105</v>
      </c>
      <c r="E332" s="76" t="s">
        <v>31</v>
      </c>
      <c r="F332" s="27">
        <v>32003</v>
      </c>
      <c r="G332" s="77">
        <v>294.43</v>
      </c>
    </row>
    <row r="333" spans="1:7" ht="28.5" hidden="1" customHeight="1">
      <c r="A333" s="64"/>
      <c r="B333" s="71"/>
      <c r="C333" s="71"/>
      <c r="D333" s="71"/>
      <c r="E333" s="13" t="s">
        <v>379</v>
      </c>
      <c r="F333" s="13"/>
      <c r="G333" s="72">
        <v>0</v>
      </c>
    </row>
    <row r="334" spans="1:7" ht="15.75" hidden="1" customHeight="1">
      <c r="A334" s="64"/>
      <c r="B334" s="17">
        <v>45736</v>
      </c>
      <c r="C334" s="18">
        <v>0</v>
      </c>
      <c r="D334" s="18">
        <v>13105</v>
      </c>
      <c r="E334" s="65" t="s">
        <v>31</v>
      </c>
      <c r="F334" s="20">
        <v>32004</v>
      </c>
      <c r="G334" s="78">
        <v>372.86</v>
      </c>
    </row>
    <row r="335" spans="1:7" ht="15.75" hidden="1" customHeight="1">
      <c r="A335" s="64"/>
      <c r="B335" s="66"/>
      <c r="C335" s="66"/>
      <c r="D335" s="66"/>
      <c r="E335" s="24" t="s">
        <v>48</v>
      </c>
      <c r="F335" s="24"/>
      <c r="G335" s="67">
        <v>0</v>
      </c>
    </row>
    <row r="336" spans="1:7" ht="15.75" hidden="1" customHeight="1">
      <c r="A336" s="64"/>
      <c r="B336" s="11">
        <v>45736</v>
      </c>
      <c r="C336" s="12">
        <v>0</v>
      </c>
      <c r="D336" s="12">
        <v>13105</v>
      </c>
      <c r="E336" s="76" t="s">
        <v>31</v>
      </c>
      <c r="F336" s="27">
        <v>32005</v>
      </c>
      <c r="G336" s="77">
        <v>212.6</v>
      </c>
    </row>
    <row r="337" spans="1:7" ht="15.75" hidden="1" customHeight="1">
      <c r="A337" s="64"/>
      <c r="B337" s="71"/>
      <c r="C337" s="71"/>
      <c r="D337" s="71"/>
      <c r="E337" s="13" t="s">
        <v>349</v>
      </c>
      <c r="F337" s="13"/>
      <c r="G337" s="72">
        <v>0</v>
      </c>
    </row>
    <row r="338" spans="1:7" ht="15.75" hidden="1" customHeight="1">
      <c r="A338" s="64"/>
      <c r="B338" s="17">
        <v>45736</v>
      </c>
      <c r="C338" s="18">
        <v>0</v>
      </c>
      <c r="D338" s="18">
        <v>13105</v>
      </c>
      <c r="E338" s="65" t="s">
        <v>31</v>
      </c>
      <c r="F338" s="20">
        <v>32006</v>
      </c>
      <c r="G338" s="78">
        <v>768.74</v>
      </c>
    </row>
    <row r="339" spans="1:7" ht="28.5" hidden="1" customHeight="1">
      <c r="A339" s="64"/>
      <c r="B339" s="66"/>
      <c r="C339" s="66"/>
      <c r="D339" s="66"/>
      <c r="E339" s="24" t="s">
        <v>348</v>
      </c>
      <c r="F339" s="24"/>
      <c r="G339" s="67">
        <v>0</v>
      </c>
    </row>
    <row r="340" spans="1:7" ht="15.75" hidden="1" customHeight="1">
      <c r="A340" s="64"/>
      <c r="B340" s="11">
        <v>45736</v>
      </c>
      <c r="C340" s="12">
        <v>0</v>
      </c>
      <c r="D340" s="12">
        <v>13105</v>
      </c>
      <c r="E340" s="76" t="s">
        <v>80</v>
      </c>
      <c r="F340" s="27">
        <v>32007</v>
      </c>
      <c r="G340" s="77">
        <v>554.13</v>
      </c>
    </row>
    <row r="341" spans="1:7" ht="15.75" hidden="1" customHeight="1">
      <c r="A341" s="64"/>
      <c r="B341" s="71"/>
      <c r="C341" s="71"/>
      <c r="D341" s="71"/>
      <c r="E341" s="13" t="s">
        <v>84</v>
      </c>
      <c r="F341" s="13"/>
      <c r="G341" s="72">
        <v>0</v>
      </c>
    </row>
    <row r="342" spans="1:7" ht="15.75" hidden="1" customHeight="1">
      <c r="A342" s="64"/>
      <c r="B342" s="17">
        <v>45736</v>
      </c>
      <c r="C342" s="18">
        <v>0</v>
      </c>
      <c r="D342" s="18">
        <v>13105</v>
      </c>
      <c r="E342" s="65" t="s">
        <v>31</v>
      </c>
      <c r="F342" s="20">
        <v>32008</v>
      </c>
      <c r="G342" s="78">
        <v>364.3</v>
      </c>
    </row>
    <row r="343" spans="1:7" ht="15.75" hidden="1" customHeight="1">
      <c r="A343" s="64"/>
      <c r="B343" s="66"/>
      <c r="C343" s="66"/>
      <c r="D343" s="66"/>
      <c r="E343" s="24" t="s">
        <v>43</v>
      </c>
      <c r="F343" s="24"/>
      <c r="G343" s="67">
        <v>0</v>
      </c>
    </row>
    <row r="344" spans="1:7" ht="15.75" hidden="1" customHeight="1">
      <c r="A344" s="64"/>
      <c r="B344" s="11">
        <v>45736</v>
      </c>
      <c r="C344" s="12">
        <v>0</v>
      </c>
      <c r="D344" s="12">
        <v>13105</v>
      </c>
      <c r="E344" s="76" t="s">
        <v>31</v>
      </c>
      <c r="F344" s="27">
        <v>32009</v>
      </c>
      <c r="G344" s="77">
        <v>191.6</v>
      </c>
    </row>
    <row r="345" spans="1:7" ht="15.75" hidden="1" customHeight="1">
      <c r="A345" s="64"/>
      <c r="B345" s="71"/>
      <c r="C345" s="71"/>
      <c r="D345" s="71"/>
      <c r="E345" s="13" t="s">
        <v>47</v>
      </c>
      <c r="F345" s="13"/>
      <c r="G345" s="72">
        <v>0</v>
      </c>
    </row>
    <row r="346" spans="1:7" ht="15.75" hidden="1" customHeight="1">
      <c r="A346" s="64"/>
      <c r="B346" s="17">
        <v>45736</v>
      </c>
      <c r="C346" s="18">
        <v>0</v>
      </c>
      <c r="D346" s="18">
        <v>13105</v>
      </c>
      <c r="E346" s="65" t="s">
        <v>31</v>
      </c>
      <c r="F346" s="20">
        <v>32010</v>
      </c>
      <c r="G346" s="78">
        <v>158.87</v>
      </c>
    </row>
    <row r="347" spans="1:7" ht="28.5" hidden="1" customHeight="1">
      <c r="A347" s="64"/>
      <c r="B347" s="66"/>
      <c r="C347" s="66"/>
      <c r="D347" s="66"/>
      <c r="E347" s="24" t="s">
        <v>223</v>
      </c>
      <c r="F347" s="24"/>
      <c r="G347" s="67">
        <v>0</v>
      </c>
    </row>
    <row r="348" spans="1:7" ht="15.75" hidden="1" customHeight="1">
      <c r="A348" s="64"/>
      <c r="B348" s="11">
        <v>45736</v>
      </c>
      <c r="C348" s="12">
        <v>0</v>
      </c>
      <c r="D348" s="12">
        <v>13105</v>
      </c>
      <c r="E348" s="76" t="s">
        <v>31</v>
      </c>
      <c r="F348" s="27">
        <v>32011</v>
      </c>
      <c r="G348" s="77">
        <v>298.97000000000003</v>
      </c>
    </row>
    <row r="349" spans="1:7" ht="15.75" hidden="1" customHeight="1">
      <c r="A349" s="64"/>
      <c r="B349" s="71"/>
      <c r="C349" s="71"/>
      <c r="D349" s="71"/>
      <c r="E349" s="13" t="s">
        <v>47</v>
      </c>
      <c r="F349" s="13"/>
      <c r="G349" s="72">
        <v>0</v>
      </c>
    </row>
    <row r="350" spans="1:7" ht="15.75" hidden="1" customHeight="1">
      <c r="A350" s="64"/>
      <c r="B350" s="17">
        <v>45736</v>
      </c>
      <c r="C350" s="18">
        <v>0</v>
      </c>
      <c r="D350" s="18">
        <v>0</v>
      </c>
      <c r="E350" s="65" t="s">
        <v>59</v>
      </c>
      <c r="F350" s="20">
        <v>9903</v>
      </c>
      <c r="G350" s="78">
        <v>2414.35</v>
      </c>
    </row>
    <row r="351" spans="1:7" ht="15.75" hidden="1" customHeight="1">
      <c r="A351" s="64"/>
      <c r="B351" s="66"/>
      <c r="C351" s="66"/>
      <c r="D351" s="66"/>
      <c r="E351" s="24" t="s">
        <v>53</v>
      </c>
      <c r="F351" s="24"/>
      <c r="G351" s="67">
        <v>0</v>
      </c>
    </row>
    <row r="352" spans="1:7" ht="15.75" hidden="1" customHeight="1">
      <c r="A352" s="64"/>
      <c r="B352" s="11">
        <v>45737</v>
      </c>
      <c r="C352" s="12">
        <v>0</v>
      </c>
      <c r="D352" s="12">
        <v>14175</v>
      </c>
      <c r="E352" s="76" t="s">
        <v>62</v>
      </c>
      <c r="F352" s="27">
        <v>374768823</v>
      </c>
      <c r="G352" s="15">
        <v>1000</v>
      </c>
    </row>
    <row r="353" spans="1:7" ht="28.5" hidden="1" customHeight="1">
      <c r="A353" s="64"/>
      <c r="B353" s="71"/>
      <c r="C353" s="71"/>
      <c r="D353" s="71"/>
      <c r="E353" s="13" t="s">
        <v>97</v>
      </c>
      <c r="F353" s="13"/>
      <c r="G353" s="72">
        <v>0</v>
      </c>
    </row>
    <row r="354" spans="1:7" ht="15.75" hidden="1" customHeight="1">
      <c r="A354" s="64"/>
      <c r="B354" s="17">
        <v>45737</v>
      </c>
      <c r="C354" s="18">
        <v>0</v>
      </c>
      <c r="D354" s="18">
        <v>14397</v>
      </c>
      <c r="E354" s="65" t="s">
        <v>57</v>
      </c>
      <c r="F354" s="20">
        <v>211344474603012</v>
      </c>
      <c r="G354" s="21">
        <v>200</v>
      </c>
    </row>
    <row r="355" spans="1:7" ht="28.5" hidden="1" customHeight="1">
      <c r="A355" s="64"/>
      <c r="B355" s="66"/>
      <c r="C355" s="66"/>
      <c r="D355" s="66"/>
      <c r="E355" s="24" t="s">
        <v>380</v>
      </c>
      <c r="F355" s="24"/>
      <c r="G355" s="67">
        <v>0</v>
      </c>
    </row>
    <row r="356" spans="1:7" ht="15.75" hidden="1" customHeight="1">
      <c r="A356" s="64"/>
      <c r="B356" s="11">
        <v>45737</v>
      </c>
      <c r="C356" s="12">
        <v>0</v>
      </c>
      <c r="D356" s="12">
        <v>14397</v>
      </c>
      <c r="E356" s="76" t="s">
        <v>57</v>
      </c>
      <c r="F356" s="27">
        <v>211532448660912</v>
      </c>
      <c r="G356" s="15">
        <v>1115.79</v>
      </c>
    </row>
    <row r="357" spans="1:7" ht="28.5" hidden="1" customHeight="1">
      <c r="A357" s="64"/>
      <c r="B357" s="71"/>
      <c r="C357" s="71"/>
      <c r="D357" s="71"/>
      <c r="E357" s="13" t="s">
        <v>381</v>
      </c>
      <c r="F357" s="13"/>
      <c r="G357" s="72">
        <v>0</v>
      </c>
    </row>
    <row r="358" spans="1:7" ht="15.75" hidden="1" customHeight="1">
      <c r="A358" s="64"/>
      <c r="B358" s="17">
        <v>45737</v>
      </c>
      <c r="C358" s="18">
        <v>0</v>
      </c>
      <c r="D358" s="18">
        <v>14397</v>
      </c>
      <c r="E358" s="65" t="s">
        <v>57</v>
      </c>
      <c r="F358" s="20">
        <v>425693543927201</v>
      </c>
      <c r="G358" s="21">
        <v>109.21</v>
      </c>
    </row>
    <row r="359" spans="1:7" ht="28.5" hidden="1" customHeight="1">
      <c r="A359" s="64"/>
      <c r="B359" s="66"/>
      <c r="C359" s="66"/>
      <c r="D359" s="66"/>
      <c r="E359" s="24" t="s">
        <v>382</v>
      </c>
      <c r="F359" s="24"/>
      <c r="G359" s="67">
        <v>0</v>
      </c>
    </row>
    <row r="360" spans="1:7" ht="15.75" hidden="1" customHeight="1">
      <c r="A360" s="64"/>
      <c r="B360" s="11">
        <v>45737</v>
      </c>
      <c r="C360" s="12">
        <v>1533</v>
      </c>
      <c r="D360" s="12">
        <v>99008</v>
      </c>
      <c r="E360" s="76" t="s">
        <v>29</v>
      </c>
      <c r="F360" s="27">
        <v>886735</v>
      </c>
      <c r="G360" s="77">
        <v>251.29</v>
      </c>
    </row>
    <row r="361" spans="1:7" ht="15.75" hidden="1" customHeight="1">
      <c r="A361" s="64"/>
      <c r="B361" s="71"/>
      <c r="C361" s="71"/>
      <c r="D361" s="71"/>
      <c r="E361" s="13" t="s">
        <v>383</v>
      </c>
      <c r="F361" s="13"/>
      <c r="G361" s="72">
        <v>0</v>
      </c>
    </row>
    <row r="362" spans="1:7" ht="15.75" hidden="1" customHeight="1">
      <c r="A362" s="64"/>
      <c r="B362" s="17">
        <v>45737</v>
      </c>
      <c r="C362" s="18">
        <v>0</v>
      </c>
      <c r="D362" s="18">
        <v>13105</v>
      </c>
      <c r="E362" s="65" t="s">
        <v>31</v>
      </c>
      <c r="F362" s="20">
        <v>32101</v>
      </c>
      <c r="G362" s="78">
        <v>187.63</v>
      </c>
    </row>
    <row r="363" spans="1:7" ht="15.75" hidden="1" customHeight="1">
      <c r="A363" s="64"/>
      <c r="B363" s="66"/>
      <c r="C363" s="66"/>
      <c r="D363" s="66"/>
      <c r="E363" s="24" t="s">
        <v>349</v>
      </c>
      <c r="F363" s="24"/>
      <c r="G363" s="67">
        <v>0</v>
      </c>
    </row>
    <row r="364" spans="1:7" ht="15.75" hidden="1" customHeight="1">
      <c r="A364" s="64"/>
      <c r="B364" s="11">
        <v>45737</v>
      </c>
      <c r="C364" s="12">
        <v>0</v>
      </c>
      <c r="D364" s="12">
        <v>13105</v>
      </c>
      <c r="E364" s="76" t="s">
        <v>31</v>
      </c>
      <c r="F364" s="27">
        <v>32102</v>
      </c>
      <c r="G364" s="77">
        <v>395.61</v>
      </c>
    </row>
    <row r="365" spans="1:7" ht="15.75" hidden="1" customHeight="1">
      <c r="A365" s="64"/>
      <c r="B365" s="71"/>
      <c r="C365" s="71"/>
      <c r="D365" s="71"/>
      <c r="E365" s="13" t="s">
        <v>340</v>
      </c>
      <c r="F365" s="13"/>
      <c r="G365" s="72">
        <v>0</v>
      </c>
    </row>
    <row r="366" spans="1:7" ht="15.75" hidden="1" customHeight="1">
      <c r="A366" s="64"/>
      <c r="B366" s="17">
        <v>45737</v>
      </c>
      <c r="C366" s="18">
        <v>0</v>
      </c>
      <c r="D366" s="18">
        <v>13105</v>
      </c>
      <c r="E366" s="65" t="s">
        <v>118</v>
      </c>
      <c r="F366" s="20">
        <v>32103</v>
      </c>
      <c r="G366" s="78">
        <v>3794.93</v>
      </c>
    </row>
    <row r="367" spans="1:7" ht="28.5" hidden="1" customHeight="1">
      <c r="A367" s="64"/>
      <c r="B367" s="66"/>
      <c r="C367" s="66"/>
      <c r="D367" s="66"/>
      <c r="E367" s="24" t="s">
        <v>384</v>
      </c>
      <c r="F367" s="24"/>
      <c r="G367" s="67">
        <v>0</v>
      </c>
    </row>
    <row r="368" spans="1:7" ht="15.75" hidden="1" customHeight="1">
      <c r="A368" s="64"/>
      <c r="B368" s="11">
        <v>45737</v>
      </c>
      <c r="C368" s="12">
        <v>0</v>
      </c>
      <c r="D368" s="12">
        <v>13105</v>
      </c>
      <c r="E368" s="76" t="s">
        <v>80</v>
      </c>
      <c r="F368" s="27">
        <v>32104</v>
      </c>
      <c r="G368" s="77">
        <v>988.2</v>
      </c>
    </row>
    <row r="369" spans="1:7" ht="15.75" hidden="1" customHeight="1">
      <c r="A369" s="64"/>
      <c r="B369" s="71"/>
      <c r="C369" s="71"/>
      <c r="D369" s="71"/>
      <c r="E369" s="13" t="s">
        <v>81</v>
      </c>
      <c r="F369" s="13"/>
      <c r="G369" s="72">
        <v>0</v>
      </c>
    </row>
    <row r="370" spans="1:7" ht="15.75" hidden="1" customHeight="1">
      <c r="A370" s="64"/>
      <c r="B370" s="17">
        <v>45737</v>
      </c>
      <c r="C370" s="18">
        <v>0</v>
      </c>
      <c r="D370" s="18">
        <v>13105</v>
      </c>
      <c r="E370" s="65" t="s">
        <v>31</v>
      </c>
      <c r="F370" s="20">
        <v>32105</v>
      </c>
      <c r="G370" s="78">
        <v>148.5</v>
      </c>
    </row>
    <row r="371" spans="1:7" ht="15.75" hidden="1" customHeight="1">
      <c r="A371" s="64"/>
      <c r="B371" s="66"/>
      <c r="C371" s="66"/>
      <c r="D371" s="66"/>
      <c r="E371" s="24" t="s">
        <v>51</v>
      </c>
      <c r="F371" s="24"/>
      <c r="G371" s="67">
        <v>0</v>
      </c>
    </row>
    <row r="372" spans="1:7" ht="15.75" hidden="1" customHeight="1">
      <c r="A372" s="64"/>
      <c r="B372" s="11">
        <v>45737</v>
      </c>
      <c r="C372" s="12">
        <v>0</v>
      </c>
      <c r="D372" s="12">
        <v>0</v>
      </c>
      <c r="E372" s="76" t="s">
        <v>52</v>
      </c>
      <c r="F372" s="27">
        <v>9903</v>
      </c>
      <c r="G372" s="15">
        <v>3341.16</v>
      </c>
    </row>
    <row r="373" spans="1:7" ht="15.75" hidden="1" customHeight="1">
      <c r="A373" s="64"/>
      <c r="B373" s="71"/>
      <c r="C373" s="71"/>
      <c r="D373" s="71"/>
      <c r="E373" s="13" t="s">
        <v>53</v>
      </c>
      <c r="F373" s="13"/>
      <c r="G373" s="72">
        <v>0</v>
      </c>
    </row>
    <row r="374" spans="1:7" ht="15.75" hidden="1" customHeight="1">
      <c r="A374" s="64"/>
      <c r="B374" s="17">
        <v>45740</v>
      </c>
      <c r="C374" s="18">
        <v>0</v>
      </c>
      <c r="D374" s="18">
        <v>14175</v>
      </c>
      <c r="E374" s="65" t="s">
        <v>62</v>
      </c>
      <c r="F374" s="20">
        <v>374897891</v>
      </c>
      <c r="G374" s="21">
        <v>6930</v>
      </c>
    </row>
    <row r="375" spans="1:7" ht="28.5" hidden="1" customHeight="1">
      <c r="A375" s="64"/>
      <c r="B375" s="66"/>
      <c r="C375" s="66"/>
      <c r="D375" s="66"/>
      <c r="E375" s="24" t="s">
        <v>97</v>
      </c>
      <c r="F375" s="24"/>
      <c r="G375" s="67">
        <v>0</v>
      </c>
    </row>
    <row r="376" spans="1:7" ht="15.75" hidden="1" customHeight="1">
      <c r="A376" s="64"/>
      <c r="B376" s="11">
        <v>45740</v>
      </c>
      <c r="C376" s="12">
        <v>0</v>
      </c>
      <c r="D376" s="12">
        <v>14397</v>
      </c>
      <c r="E376" s="76" t="s">
        <v>57</v>
      </c>
      <c r="F376" s="27">
        <v>240944227406172</v>
      </c>
      <c r="G376" s="15">
        <v>200</v>
      </c>
    </row>
    <row r="377" spans="1:7" ht="28.5" hidden="1" customHeight="1">
      <c r="A377" s="64"/>
      <c r="B377" s="71"/>
      <c r="C377" s="71"/>
      <c r="D377" s="71"/>
      <c r="E377" s="13" t="s">
        <v>385</v>
      </c>
      <c r="F377" s="13"/>
      <c r="G377" s="72">
        <v>0</v>
      </c>
    </row>
    <row r="378" spans="1:7" ht="15.75" hidden="1" customHeight="1">
      <c r="A378" s="64"/>
      <c r="B378" s="17">
        <v>45740</v>
      </c>
      <c r="C378" s="18">
        <v>0</v>
      </c>
      <c r="D378" s="18">
        <v>14397</v>
      </c>
      <c r="E378" s="65" t="s">
        <v>57</v>
      </c>
      <c r="F378" s="20">
        <v>428256824820491</v>
      </c>
      <c r="G378" s="21">
        <v>54.64</v>
      </c>
    </row>
    <row r="379" spans="1:7" ht="28.5" hidden="1" customHeight="1">
      <c r="A379" s="64"/>
      <c r="B379" s="66"/>
      <c r="C379" s="66"/>
      <c r="D379" s="66"/>
      <c r="E379" s="24" t="s">
        <v>386</v>
      </c>
      <c r="F379" s="24"/>
      <c r="G379" s="67">
        <v>0</v>
      </c>
    </row>
    <row r="380" spans="1:7" ht="15.75" hidden="1" customHeight="1">
      <c r="A380" s="64"/>
      <c r="B380" s="11">
        <v>45740</v>
      </c>
      <c r="C380" s="12">
        <v>0</v>
      </c>
      <c r="D380" s="12">
        <v>13105</v>
      </c>
      <c r="E380" s="76" t="s">
        <v>31</v>
      </c>
      <c r="F380" s="27">
        <v>32401</v>
      </c>
      <c r="G380" s="77">
        <v>6349.87</v>
      </c>
    </row>
    <row r="381" spans="1:7" ht="28.5" hidden="1" customHeight="1">
      <c r="A381" s="64"/>
      <c r="B381" s="71"/>
      <c r="C381" s="71"/>
      <c r="D381" s="71"/>
      <c r="E381" s="13" t="s">
        <v>95</v>
      </c>
      <c r="F381" s="13"/>
      <c r="G381" s="72">
        <v>0</v>
      </c>
    </row>
    <row r="382" spans="1:7" ht="15.75" hidden="1" customHeight="1">
      <c r="A382" s="64"/>
      <c r="B382" s="17">
        <v>45740</v>
      </c>
      <c r="C382" s="18">
        <v>0</v>
      </c>
      <c r="D382" s="18">
        <v>0</v>
      </c>
      <c r="E382" s="65" t="s">
        <v>59</v>
      </c>
      <c r="F382" s="20">
        <v>9903</v>
      </c>
      <c r="G382" s="78">
        <v>834.77</v>
      </c>
    </row>
    <row r="383" spans="1:7" ht="15.75" hidden="1" customHeight="1">
      <c r="A383" s="64"/>
      <c r="B383" s="66"/>
      <c r="C383" s="66"/>
      <c r="D383" s="66"/>
      <c r="E383" s="24" t="s">
        <v>53</v>
      </c>
      <c r="F383" s="24"/>
      <c r="G383" s="67">
        <v>0</v>
      </c>
    </row>
    <row r="384" spans="1:7" ht="15.75" hidden="1" customHeight="1">
      <c r="A384" s="64"/>
      <c r="B384" s="11">
        <v>45741</v>
      </c>
      <c r="C384" s="12">
        <v>0</v>
      </c>
      <c r="D384" s="12">
        <v>14397</v>
      </c>
      <c r="E384" s="76" t="s">
        <v>57</v>
      </c>
      <c r="F384" s="27">
        <v>251726527368122</v>
      </c>
      <c r="G384" s="15">
        <v>52</v>
      </c>
    </row>
    <row r="385" spans="1:8" ht="28.5" hidden="1" customHeight="1">
      <c r="A385" s="64"/>
      <c r="B385" s="71"/>
      <c r="C385" s="71"/>
      <c r="D385" s="71"/>
      <c r="E385" s="13" t="s">
        <v>387</v>
      </c>
      <c r="F385" s="13"/>
      <c r="G385" s="72">
        <v>0</v>
      </c>
    </row>
    <row r="386" spans="1:8" ht="15.75" hidden="1" customHeight="1">
      <c r="A386" s="64"/>
      <c r="B386" s="17">
        <v>45741</v>
      </c>
      <c r="C386" s="18">
        <v>0</v>
      </c>
      <c r="D386" s="18">
        <v>14397</v>
      </c>
      <c r="E386" s="65" t="s">
        <v>57</v>
      </c>
      <c r="F386" s="20">
        <v>429222770442321</v>
      </c>
      <c r="G386" s="21">
        <v>420</v>
      </c>
    </row>
    <row r="387" spans="1:8" ht="28.5" hidden="1" customHeight="1">
      <c r="A387" s="64"/>
      <c r="B387" s="66"/>
      <c r="C387" s="66"/>
      <c r="D387" s="66"/>
      <c r="E387" s="24" t="s">
        <v>388</v>
      </c>
      <c r="F387" s="24"/>
      <c r="G387" s="67">
        <v>0</v>
      </c>
    </row>
    <row r="388" spans="1:8" ht="15.75" hidden="1" customHeight="1">
      <c r="A388" s="64"/>
      <c r="B388" s="11">
        <v>45741</v>
      </c>
      <c r="C388" s="12">
        <v>1533</v>
      </c>
      <c r="D388" s="12">
        <v>99008</v>
      </c>
      <c r="E388" s="76" t="s">
        <v>29</v>
      </c>
      <c r="F388" s="27">
        <v>817863</v>
      </c>
      <c r="G388" s="77">
        <v>239.94</v>
      </c>
    </row>
    <row r="389" spans="1:8" ht="15.75" hidden="1" customHeight="1">
      <c r="A389" s="64"/>
      <c r="B389" s="71"/>
      <c r="C389" s="71"/>
      <c r="D389" s="71"/>
      <c r="E389" s="13" t="s">
        <v>389</v>
      </c>
      <c r="F389" s="13"/>
      <c r="G389" s="72">
        <v>0</v>
      </c>
    </row>
    <row r="390" spans="1:8" ht="15.75" hidden="1" customHeight="1">
      <c r="A390" s="64"/>
      <c r="B390" s="17">
        <v>45741</v>
      </c>
      <c r="C390" s="18">
        <v>0</v>
      </c>
      <c r="D390" s="18">
        <v>13105</v>
      </c>
      <c r="E390" s="65" t="s">
        <v>80</v>
      </c>
      <c r="F390" s="20">
        <v>32501</v>
      </c>
      <c r="G390" s="78">
        <v>944.14</v>
      </c>
    </row>
    <row r="391" spans="1:8" ht="15.75" hidden="1" customHeight="1">
      <c r="A391" s="64"/>
      <c r="B391" s="66"/>
      <c r="C391" s="66"/>
      <c r="D391" s="66"/>
      <c r="E391" s="24" t="s">
        <v>154</v>
      </c>
      <c r="F391" s="24"/>
      <c r="G391" s="67">
        <v>0</v>
      </c>
    </row>
    <row r="392" spans="1:8" ht="15.75" hidden="1" customHeight="1">
      <c r="A392" s="64"/>
      <c r="B392" s="11">
        <v>45741</v>
      </c>
      <c r="C392" s="12">
        <v>0</v>
      </c>
      <c r="D392" s="12">
        <v>0</v>
      </c>
      <c r="E392" s="76" t="s">
        <v>52</v>
      </c>
      <c r="F392" s="27">
        <v>9903</v>
      </c>
      <c r="G392" s="15">
        <v>712.08</v>
      </c>
    </row>
    <row r="393" spans="1:8" ht="15.75" hidden="1" customHeight="1">
      <c r="A393" s="64"/>
      <c r="B393" s="71"/>
      <c r="C393" s="71"/>
      <c r="D393" s="71"/>
      <c r="E393" s="13" t="s">
        <v>53</v>
      </c>
      <c r="F393" s="13"/>
      <c r="G393" s="72">
        <v>0</v>
      </c>
    </row>
    <row r="394" spans="1:8" ht="15.75" customHeight="1">
      <c r="A394" s="33" t="s">
        <v>140</v>
      </c>
      <c r="B394" s="41">
        <v>45742</v>
      </c>
      <c r="C394" s="42">
        <v>0</v>
      </c>
      <c r="D394" s="42">
        <v>14138</v>
      </c>
      <c r="E394" s="73" t="s">
        <v>141</v>
      </c>
      <c r="F394" s="74">
        <v>202503250025952</v>
      </c>
      <c r="G394" s="75">
        <v>1225.22</v>
      </c>
      <c r="H394" s="64" t="s">
        <v>390</v>
      </c>
    </row>
    <row r="395" spans="1:8" ht="15.75" hidden="1" customHeight="1">
      <c r="B395" s="66"/>
      <c r="C395" s="66"/>
      <c r="D395" s="66"/>
      <c r="E395" s="24" t="s">
        <v>143</v>
      </c>
      <c r="F395" s="24"/>
      <c r="G395" s="67">
        <v>0</v>
      </c>
    </row>
    <row r="396" spans="1:8" ht="15.75" hidden="1" customHeight="1">
      <c r="B396" s="11">
        <v>45742</v>
      </c>
      <c r="C396" s="12">
        <v>0</v>
      </c>
      <c r="D396" s="12">
        <v>13105</v>
      </c>
      <c r="E396" s="76" t="s">
        <v>31</v>
      </c>
      <c r="F396" s="27">
        <v>32601</v>
      </c>
      <c r="G396" s="77">
        <v>329.06</v>
      </c>
    </row>
    <row r="397" spans="1:8" ht="28.5" hidden="1" customHeight="1">
      <c r="B397" s="71"/>
      <c r="C397" s="71"/>
      <c r="D397" s="71"/>
      <c r="E397" s="13" t="s">
        <v>45</v>
      </c>
      <c r="F397" s="13"/>
      <c r="G397" s="72">
        <v>0</v>
      </c>
    </row>
    <row r="398" spans="1:8" ht="15.75" hidden="1" customHeight="1">
      <c r="B398" s="17">
        <v>45742</v>
      </c>
      <c r="C398" s="18">
        <v>0</v>
      </c>
      <c r="D398" s="18">
        <v>13105</v>
      </c>
      <c r="E398" s="65" t="s">
        <v>31</v>
      </c>
      <c r="F398" s="20">
        <v>32602</v>
      </c>
      <c r="G398" s="78">
        <v>400.92</v>
      </c>
    </row>
    <row r="399" spans="1:8" ht="15.75" hidden="1" customHeight="1">
      <c r="B399" s="66"/>
      <c r="C399" s="66"/>
      <c r="D399" s="66"/>
      <c r="E399" s="24" t="s">
        <v>231</v>
      </c>
      <c r="F399" s="24"/>
      <c r="G399" s="67">
        <v>0</v>
      </c>
    </row>
    <row r="400" spans="1:8" ht="15.75" hidden="1" customHeight="1">
      <c r="B400" s="11">
        <v>45742</v>
      </c>
      <c r="C400" s="12">
        <v>0</v>
      </c>
      <c r="D400" s="12">
        <v>0</v>
      </c>
      <c r="E400" s="76" t="s">
        <v>59</v>
      </c>
      <c r="F400" s="27">
        <v>9903</v>
      </c>
      <c r="G400" s="77">
        <v>495.24</v>
      </c>
    </row>
    <row r="401" spans="2:7" ht="15.75" hidden="1" customHeight="1">
      <c r="B401" s="71"/>
      <c r="C401" s="71"/>
      <c r="D401" s="71"/>
      <c r="E401" s="13" t="s">
        <v>53</v>
      </c>
      <c r="F401" s="13"/>
      <c r="G401" s="72">
        <v>0</v>
      </c>
    </row>
    <row r="402" spans="2:7" ht="15.75" hidden="1" customHeight="1">
      <c r="B402" s="17">
        <v>45743</v>
      </c>
      <c r="C402" s="18">
        <v>128</v>
      </c>
      <c r="D402" s="18">
        <v>99021</v>
      </c>
      <c r="E402" s="65" t="s">
        <v>27</v>
      </c>
      <c r="F402" s="20">
        <v>610128000064860</v>
      </c>
      <c r="G402" s="21">
        <v>2663.71</v>
      </c>
    </row>
    <row r="403" spans="2:7" ht="15.75" hidden="1" customHeight="1">
      <c r="B403" s="66"/>
      <c r="C403" s="66"/>
      <c r="D403" s="66"/>
      <c r="E403" s="24" t="s">
        <v>391</v>
      </c>
      <c r="F403" s="24"/>
      <c r="G403" s="67">
        <v>0</v>
      </c>
    </row>
    <row r="404" spans="2:7" ht="15.75" hidden="1" customHeight="1">
      <c r="B404" s="11">
        <v>45743</v>
      </c>
      <c r="C404" s="12">
        <v>1845</v>
      </c>
      <c r="D404" s="12">
        <v>99021</v>
      </c>
      <c r="E404" s="76" t="s">
        <v>27</v>
      </c>
      <c r="F404" s="27">
        <v>611845000040070</v>
      </c>
      <c r="G404" s="15">
        <v>300</v>
      </c>
    </row>
    <row r="405" spans="2:7" ht="28.5" hidden="1" customHeight="1">
      <c r="B405" s="71"/>
      <c r="C405" s="71"/>
      <c r="D405" s="71"/>
      <c r="E405" s="13" t="s">
        <v>392</v>
      </c>
      <c r="F405" s="13"/>
      <c r="G405" s="72">
        <v>0</v>
      </c>
    </row>
    <row r="406" spans="2:7" ht="15.75" hidden="1" customHeight="1">
      <c r="B406" s="17">
        <v>45743</v>
      </c>
      <c r="C406" s="18">
        <v>0</v>
      </c>
      <c r="D406" s="18">
        <v>14397</v>
      </c>
      <c r="E406" s="65" t="s">
        <v>57</v>
      </c>
      <c r="F406" s="20">
        <v>271028155566252</v>
      </c>
      <c r="G406" s="21">
        <v>4827</v>
      </c>
    </row>
    <row r="407" spans="2:7" ht="28.5" hidden="1" customHeight="1">
      <c r="B407" s="66"/>
      <c r="C407" s="66"/>
      <c r="D407" s="66"/>
      <c r="E407" s="24" t="s">
        <v>393</v>
      </c>
      <c r="F407" s="24"/>
      <c r="G407" s="67">
        <v>0</v>
      </c>
    </row>
    <row r="408" spans="2:7" ht="15.75" hidden="1" customHeight="1">
      <c r="B408" s="11">
        <v>45743</v>
      </c>
      <c r="C408" s="12">
        <v>0</v>
      </c>
      <c r="D408" s="12">
        <v>14397</v>
      </c>
      <c r="E408" s="76" t="s">
        <v>57</v>
      </c>
      <c r="F408" s="27">
        <v>430932998516031</v>
      </c>
      <c r="G408" s="15">
        <v>3600</v>
      </c>
    </row>
    <row r="409" spans="2:7" ht="28.5" hidden="1" customHeight="1">
      <c r="B409" s="71"/>
      <c r="C409" s="71"/>
      <c r="D409" s="71"/>
      <c r="E409" s="13" t="s">
        <v>394</v>
      </c>
      <c r="F409" s="13"/>
      <c r="G409" s="72">
        <v>0</v>
      </c>
    </row>
    <row r="410" spans="2:7" ht="15.75" hidden="1" customHeight="1">
      <c r="B410" s="17">
        <v>45743</v>
      </c>
      <c r="C410" s="18">
        <v>1533</v>
      </c>
      <c r="D410" s="18">
        <v>99008</v>
      </c>
      <c r="E410" s="65" t="s">
        <v>29</v>
      </c>
      <c r="F410" s="20">
        <v>573560</v>
      </c>
      <c r="G410" s="78">
        <v>208.28</v>
      </c>
    </row>
    <row r="411" spans="2:7" ht="15.75" hidden="1" customHeight="1">
      <c r="B411" s="66"/>
      <c r="C411" s="66"/>
      <c r="D411" s="66"/>
      <c r="E411" s="24" t="s">
        <v>395</v>
      </c>
      <c r="F411" s="24"/>
      <c r="G411" s="67">
        <v>0</v>
      </c>
    </row>
    <row r="412" spans="2:7" ht="15.75" hidden="1" customHeight="1">
      <c r="B412" s="11">
        <v>45743</v>
      </c>
      <c r="C412" s="12">
        <v>0</v>
      </c>
      <c r="D412" s="12">
        <v>13105</v>
      </c>
      <c r="E412" s="76" t="s">
        <v>31</v>
      </c>
      <c r="F412" s="27">
        <v>32701</v>
      </c>
      <c r="G412" s="77">
        <v>1559.86</v>
      </c>
    </row>
    <row r="413" spans="2:7" ht="28.5" hidden="1" customHeight="1">
      <c r="B413" s="71"/>
      <c r="C413" s="71"/>
      <c r="D413" s="71"/>
      <c r="E413" s="13" t="s">
        <v>68</v>
      </c>
      <c r="F413" s="13"/>
      <c r="G413" s="72">
        <v>0</v>
      </c>
    </row>
    <row r="414" spans="2:7" ht="15.75" hidden="1" customHeight="1">
      <c r="B414" s="17">
        <v>45743</v>
      </c>
      <c r="C414" s="18">
        <v>0</v>
      </c>
      <c r="D414" s="18">
        <v>13105</v>
      </c>
      <c r="E414" s="65" t="s">
        <v>31</v>
      </c>
      <c r="F414" s="20">
        <v>32702</v>
      </c>
      <c r="G414" s="78">
        <v>5960.96</v>
      </c>
    </row>
    <row r="415" spans="2:7" ht="28.5" hidden="1" customHeight="1">
      <c r="B415" s="66"/>
      <c r="C415" s="66"/>
      <c r="D415" s="66"/>
      <c r="E415" s="24" t="s">
        <v>95</v>
      </c>
      <c r="F415" s="24"/>
      <c r="G415" s="67">
        <v>0</v>
      </c>
    </row>
    <row r="416" spans="2:7" ht="15.75" hidden="1" customHeight="1">
      <c r="B416" s="11">
        <v>45743</v>
      </c>
      <c r="C416" s="12">
        <v>0</v>
      </c>
      <c r="D416" s="12">
        <v>13105</v>
      </c>
      <c r="E416" s="76" t="s">
        <v>31</v>
      </c>
      <c r="F416" s="27">
        <v>32703</v>
      </c>
      <c r="G416" s="77">
        <v>278.47000000000003</v>
      </c>
    </row>
    <row r="417" spans="2:7" ht="28.5" hidden="1" customHeight="1">
      <c r="B417" s="71"/>
      <c r="C417" s="71"/>
      <c r="D417" s="71"/>
      <c r="E417" s="13" t="s">
        <v>45</v>
      </c>
      <c r="F417" s="13"/>
      <c r="G417" s="72">
        <v>0</v>
      </c>
    </row>
    <row r="418" spans="2:7" ht="15.75" hidden="1" customHeight="1">
      <c r="B418" s="17">
        <v>45743</v>
      </c>
      <c r="C418" s="18">
        <v>0</v>
      </c>
      <c r="D418" s="18">
        <v>13105</v>
      </c>
      <c r="E418" s="65" t="s">
        <v>31</v>
      </c>
      <c r="F418" s="20">
        <v>32704</v>
      </c>
      <c r="G418" s="78">
        <v>1320</v>
      </c>
    </row>
    <row r="419" spans="2:7" ht="15.75" hidden="1" customHeight="1">
      <c r="B419" s="66"/>
      <c r="C419" s="66"/>
      <c r="D419" s="66"/>
      <c r="E419" s="24" t="s">
        <v>85</v>
      </c>
      <c r="F419" s="24"/>
      <c r="G419" s="67">
        <v>0</v>
      </c>
    </row>
    <row r="420" spans="2:7" ht="15.75" hidden="1" customHeight="1">
      <c r="B420" s="11">
        <v>45743</v>
      </c>
      <c r="C420" s="12">
        <v>0</v>
      </c>
      <c r="D420" s="12">
        <v>13105</v>
      </c>
      <c r="E420" s="76" t="s">
        <v>31</v>
      </c>
      <c r="F420" s="27">
        <v>32705</v>
      </c>
      <c r="G420" s="77">
        <v>863.2</v>
      </c>
    </row>
    <row r="421" spans="2:7" ht="28.5" hidden="1" customHeight="1">
      <c r="B421" s="71"/>
      <c r="C421" s="71"/>
      <c r="D421" s="71"/>
      <c r="E421" s="13" t="s">
        <v>396</v>
      </c>
      <c r="F421" s="13"/>
      <c r="G421" s="72">
        <v>0</v>
      </c>
    </row>
    <row r="422" spans="2:7" ht="15.75" hidden="1" customHeight="1">
      <c r="B422" s="17">
        <v>45743</v>
      </c>
      <c r="C422" s="18">
        <v>0</v>
      </c>
      <c r="D422" s="18">
        <v>13105</v>
      </c>
      <c r="E422" s="65" t="s">
        <v>31</v>
      </c>
      <c r="F422" s="20">
        <v>32706</v>
      </c>
      <c r="G422" s="78">
        <v>243.55</v>
      </c>
    </row>
    <row r="423" spans="2:7" ht="15.75" hidden="1" customHeight="1">
      <c r="B423" s="66"/>
      <c r="C423" s="66"/>
      <c r="D423" s="66"/>
      <c r="E423" s="24" t="s">
        <v>111</v>
      </c>
      <c r="F423" s="24"/>
      <c r="G423" s="67">
        <v>0</v>
      </c>
    </row>
    <row r="424" spans="2:7" ht="15.75" hidden="1" customHeight="1">
      <c r="B424" s="11">
        <v>45743</v>
      </c>
      <c r="C424" s="12">
        <v>0</v>
      </c>
      <c r="D424" s="12">
        <v>13105</v>
      </c>
      <c r="E424" s="76" t="s">
        <v>118</v>
      </c>
      <c r="F424" s="27">
        <v>32707</v>
      </c>
      <c r="G424" s="77">
        <v>1032.6400000000001</v>
      </c>
    </row>
    <row r="425" spans="2:7" ht="28.5" hidden="1" customHeight="1">
      <c r="B425" s="71"/>
      <c r="C425" s="71"/>
      <c r="D425" s="71"/>
      <c r="E425" s="13" t="s">
        <v>397</v>
      </c>
      <c r="F425" s="13"/>
      <c r="G425" s="72">
        <v>0</v>
      </c>
    </row>
    <row r="426" spans="2:7" ht="15.75" hidden="1" customHeight="1">
      <c r="B426" s="17">
        <v>45743</v>
      </c>
      <c r="C426" s="18">
        <v>0</v>
      </c>
      <c r="D426" s="18">
        <v>13113</v>
      </c>
      <c r="E426" s="65" t="s">
        <v>189</v>
      </c>
      <c r="F426" s="20">
        <v>890861200142631</v>
      </c>
      <c r="G426" s="78">
        <v>10</v>
      </c>
    </row>
    <row r="427" spans="2:7" ht="28.5" hidden="1" customHeight="1">
      <c r="B427" s="66"/>
      <c r="C427" s="66"/>
      <c r="D427" s="66"/>
      <c r="E427" s="24" t="s">
        <v>398</v>
      </c>
      <c r="F427" s="24"/>
      <c r="G427" s="67">
        <v>0</v>
      </c>
    </row>
    <row r="428" spans="2:7" ht="15.75" hidden="1" customHeight="1">
      <c r="B428" s="11">
        <v>45743</v>
      </c>
      <c r="C428" s="12">
        <v>0</v>
      </c>
      <c r="D428" s="12">
        <v>0</v>
      </c>
      <c r="E428" s="76" t="s">
        <v>52</v>
      </c>
      <c r="F428" s="27">
        <v>9903</v>
      </c>
      <c r="G428" s="15">
        <v>86.25</v>
      </c>
    </row>
    <row r="429" spans="2:7" ht="15.75" hidden="1" customHeight="1">
      <c r="B429" s="71"/>
      <c r="C429" s="71"/>
      <c r="D429" s="71"/>
      <c r="E429" s="13" t="s">
        <v>53</v>
      </c>
      <c r="F429" s="13"/>
      <c r="G429" s="72">
        <v>0</v>
      </c>
    </row>
    <row r="430" spans="2:7" ht="15.75" hidden="1" customHeight="1">
      <c r="B430" s="17">
        <v>45744</v>
      </c>
      <c r="C430" s="18">
        <v>0</v>
      </c>
      <c r="D430" s="18">
        <v>14175</v>
      </c>
      <c r="E430" s="65" t="s">
        <v>62</v>
      </c>
      <c r="F430" s="20">
        <v>375529147</v>
      </c>
      <c r="G430" s="21">
        <v>7000</v>
      </c>
    </row>
    <row r="431" spans="2:7" ht="28.5" hidden="1" customHeight="1">
      <c r="B431" s="66"/>
      <c r="C431" s="66"/>
      <c r="D431" s="66"/>
      <c r="E431" s="24" t="s">
        <v>97</v>
      </c>
      <c r="F431" s="24"/>
      <c r="G431" s="67">
        <v>0</v>
      </c>
    </row>
    <row r="432" spans="2:7" ht="15.75" hidden="1" customHeight="1">
      <c r="B432" s="11">
        <v>45744</v>
      </c>
      <c r="C432" s="12">
        <v>0</v>
      </c>
      <c r="D432" s="12">
        <v>14397</v>
      </c>
      <c r="E432" s="76" t="s">
        <v>57</v>
      </c>
      <c r="F432" s="27">
        <v>431790355754441</v>
      </c>
      <c r="G432" s="15">
        <v>526.09</v>
      </c>
    </row>
    <row r="433" spans="2:7" ht="28.5" hidden="1" customHeight="1">
      <c r="B433" s="71"/>
      <c r="C433" s="71"/>
      <c r="D433" s="71"/>
      <c r="E433" s="13" t="s">
        <v>399</v>
      </c>
      <c r="F433" s="13"/>
      <c r="G433" s="72">
        <v>0</v>
      </c>
    </row>
    <row r="434" spans="2:7" ht="15.75" hidden="1" customHeight="1">
      <c r="B434" s="17">
        <v>45744</v>
      </c>
      <c r="C434" s="18">
        <v>1533</v>
      </c>
      <c r="D434" s="18">
        <v>99008</v>
      </c>
      <c r="E434" s="65" t="s">
        <v>29</v>
      </c>
      <c r="F434" s="20">
        <v>737408</v>
      </c>
      <c r="G434" s="78">
        <v>253.12</v>
      </c>
    </row>
    <row r="435" spans="2:7" ht="15.75" hidden="1" customHeight="1">
      <c r="B435" s="66"/>
      <c r="C435" s="66"/>
      <c r="D435" s="66"/>
      <c r="E435" s="24" t="s">
        <v>400</v>
      </c>
      <c r="F435" s="24"/>
      <c r="G435" s="67">
        <v>0</v>
      </c>
    </row>
    <row r="436" spans="2:7" ht="15.75" hidden="1" customHeight="1">
      <c r="B436" s="11">
        <v>45744</v>
      </c>
      <c r="C436" s="12">
        <v>0</v>
      </c>
      <c r="D436" s="12">
        <v>13105</v>
      </c>
      <c r="E436" s="76" t="s">
        <v>31</v>
      </c>
      <c r="F436" s="27">
        <v>32801</v>
      </c>
      <c r="G436" s="77">
        <v>159.29</v>
      </c>
    </row>
    <row r="437" spans="2:7" ht="28.5" hidden="1" customHeight="1">
      <c r="B437" s="71"/>
      <c r="C437" s="71"/>
      <c r="D437" s="71"/>
      <c r="E437" s="13" t="s">
        <v>223</v>
      </c>
      <c r="F437" s="13"/>
      <c r="G437" s="72">
        <v>0</v>
      </c>
    </row>
    <row r="438" spans="2:7" ht="15.75" hidden="1" customHeight="1">
      <c r="B438" s="17">
        <v>45744</v>
      </c>
      <c r="C438" s="18">
        <v>0</v>
      </c>
      <c r="D438" s="18">
        <v>13105</v>
      </c>
      <c r="E438" s="65" t="s">
        <v>31</v>
      </c>
      <c r="F438" s="20">
        <v>32802</v>
      </c>
      <c r="G438" s="78">
        <v>151.15</v>
      </c>
    </row>
    <row r="439" spans="2:7" ht="15.75" hidden="1" customHeight="1">
      <c r="B439" s="66"/>
      <c r="C439" s="66"/>
      <c r="D439" s="66"/>
      <c r="E439" s="24" t="s">
        <v>47</v>
      </c>
      <c r="F439" s="24"/>
      <c r="G439" s="67">
        <v>0</v>
      </c>
    </row>
    <row r="440" spans="2:7" ht="15.75" hidden="1" customHeight="1">
      <c r="B440" s="11">
        <v>45744</v>
      </c>
      <c r="C440" s="12">
        <v>0</v>
      </c>
      <c r="D440" s="12">
        <v>13105</v>
      </c>
      <c r="E440" s="76" t="s">
        <v>31</v>
      </c>
      <c r="F440" s="27">
        <v>32803</v>
      </c>
      <c r="G440" s="77">
        <v>130.81</v>
      </c>
    </row>
    <row r="441" spans="2:7" ht="15.75" hidden="1" customHeight="1">
      <c r="B441" s="71"/>
      <c r="C441" s="71"/>
      <c r="D441" s="71"/>
      <c r="E441" s="13" t="s">
        <v>46</v>
      </c>
      <c r="F441" s="13"/>
      <c r="G441" s="72">
        <v>0</v>
      </c>
    </row>
    <row r="442" spans="2:7" ht="15.75" hidden="1" customHeight="1">
      <c r="B442" s="17">
        <v>45744</v>
      </c>
      <c r="C442" s="18">
        <v>0</v>
      </c>
      <c r="D442" s="18">
        <v>13105</v>
      </c>
      <c r="E442" s="65" t="s">
        <v>31</v>
      </c>
      <c r="F442" s="20">
        <v>32804</v>
      </c>
      <c r="G442" s="78">
        <v>228.51</v>
      </c>
    </row>
    <row r="443" spans="2:7" ht="15.75" hidden="1" customHeight="1">
      <c r="B443" s="66"/>
      <c r="C443" s="66"/>
      <c r="D443" s="66"/>
      <c r="E443" s="24" t="s">
        <v>46</v>
      </c>
      <c r="F443" s="24"/>
      <c r="G443" s="67">
        <v>0</v>
      </c>
    </row>
    <row r="444" spans="2:7" ht="15.75" hidden="1" customHeight="1">
      <c r="B444" s="11">
        <v>45744</v>
      </c>
      <c r="C444" s="12">
        <v>0</v>
      </c>
      <c r="D444" s="12">
        <v>13105</v>
      </c>
      <c r="E444" s="76" t="s">
        <v>31</v>
      </c>
      <c r="F444" s="27">
        <v>32805</v>
      </c>
      <c r="G444" s="77">
        <v>247.47</v>
      </c>
    </row>
    <row r="445" spans="2:7" ht="15.75" hidden="1" customHeight="1">
      <c r="B445" s="71"/>
      <c r="C445" s="71"/>
      <c r="D445" s="71"/>
      <c r="E445" s="13" t="s">
        <v>111</v>
      </c>
      <c r="F445" s="13"/>
      <c r="G445" s="72">
        <v>0</v>
      </c>
    </row>
    <row r="446" spans="2:7" ht="15.75" hidden="1" customHeight="1">
      <c r="B446" s="17">
        <v>45744</v>
      </c>
      <c r="C446" s="18">
        <v>0</v>
      </c>
      <c r="D446" s="18">
        <v>13105</v>
      </c>
      <c r="E446" s="65" t="s">
        <v>31</v>
      </c>
      <c r="F446" s="20">
        <v>32806</v>
      </c>
      <c r="G446" s="78">
        <v>276.64</v>
      </c>
    </row>
    <row r="447" spans="2:7" ht="28.5" hidden="1" customHeight="1">
      <c r="B447" s="66"/>
      <c r="C447" s="66"/>
      <c r="D447" s="66"/>
      <c r="E447" s="24" t="s">
        <v>110</v>
      </c>
      <c r="F447" s="24"/>
      <c r="G447" s="67">
        <v>0</v>
      </c>
    </row>
    <row r="448" spans="2:7" ht="15.75" hidden="1" customHeight="1">
      <c r="B448" s="11">
        <v>45744</v>
      </c>
      <c r="C448" s="12">
        <v>0</v>
      </c>
      <c r="D448" s="12">
        <v>13105</v>
      </c>
      <c r="E448" s="76" t="s">
        <v>31</v>
      </c>
      <c r="F448" s="27">
        <v>32807</v>
      </c>
      <c r="G448" s="77">
        <v>336.38</v>
      </c>
    </row>
    <row r="449" spans="2:7" ht="28.5" hidden="1" customHeight="1">
      <c r="B449" s="71"/>
      <c r="C449" s="71"/>
      <c r="D449" s="71"/>
      <c r="E449" s="13" t="s">
        <v>110</v>
      </c>
      <c r="F449" s="13"/>
      <c r="G449" s="72">
        <v>0</v>
      </c>
    </row>
    <row r="450" spans="2:7" ht="15.75" hidden="1" customHeight="1">
      <c r="B450" s="17">
        <v>45744</v>
      </c>
      <c r="C450" s="18">
        <v>0</v>
      </c>
      <c r="D450" s="18">
        <v>13105</v>
      </c>
      <c r="E450" s="65" t="s">
        <v>31</v>
      </c>
      <c r="F450" s="20">
        <v>32808</v>
      </c>
      <c r="G450" s="78">
        <v>316.18</v>
      </c>
    </row>
    <row r="451" spans="2:7" ht="28.5" hidden="1" customHeight="1">
      <c r="B451" s="66"/>
      <c r="C451" s="66"/>
      <c r="D451" s="66"/>
      <c r="E451" s="24" t="s">
        <v>45</v>
      </c>
      <c r="F451" s="24"/>
      <c r="G451" s="67">
        <v>0</v>
      </c>
    </row>
    <row r="452" spans="2:7" ht="15.75" hidden="1" customHeight="1">
      <c r="B452" s="11">
        <v>45744</v>
      </c>
      <c r="C452" s="12">
        <v>0</v>
      </c>
      <c r="D452" s="12">
        <v>13105</v>
      </c>
      <c r="E452" s="76" t="s">
        <v>31</v>
      </c>
      <c r="F452" s="27">
        <v>32809</v>
      </c>
      <c r="G452" s="77">
        <v>89.02</v>
      </c>
    </row>
    <row r="453" spans="2:7" ht="15.75" hidden="1" customHeight="1">
      <c r="B453" s="71"/>
      <c r="C453" s="71"/>
      <c r="D453" s="71"/>
      <c r="E453" s="13" t="s">
        <v>46</v>
      </c>
      <c r="F453" s="13"/>
      <c r="G453" s="72">
        <v>0</v>
      </c>
    </row>
    <row r="454" spans="2:7" ht="15.75" hidden="1" customHeight="1">
      <c r="B454" s="17">
        <v>45744</v>
      </c>
      <c r="C454" s="18">
        <v>0</v>
      </c>
      <c r="D454" s="18">
        <v>13105</v>
      </c>
      <c r="E454" s="65" t="s">
        <v>31</v>
      </c>
      <c r="F454" s="20">
        <v>32810</v>
      </c>
      <c r="G454" s="78">
        <v>1056</v>
      </c>
    </row>
    <row r="455" spans="2:7" ht="15.75" hidden="1" customHeight="1">
      <c r="B455" s="66"/>
      <c r="C455" s="66"/>
      <c r="D455" s="66"/>
      <c r="E455" s="24" t="s">
        <v>85</v>
      </c>
      <c r="F455" s="24"/>
      <c r="G455" s="67">
        <v>0</v>
      </c>
    </row>
    <row r="456" spans="2:7" ht="15.75" hidden="1" customHeight="1">
      <c r="B456" s="11">
        <v>45744</v>
      </c>
      <c r="C456" s="12">
        <v>0</v>
      </c>
      <c r="D456" s="12">
        <v>13105</v>
      </c>
      <c r="E456" s="76" t="s">
        <v>31</v>
      </c>
      <c r="F456" s="27">
        <v>32811</v>
      </c>
      <c r="G456" s="77">
        <v>3377.22</v>
      </c>
    </row>
    <row r="457" spans="2:7" ht="28.5" hidden="1" customHeight="1">
      <c r="B457" s="71"/>
      <c r="C457" s="71"/>
      <c r="D457" s="71"/>
      <c r="E457" s="13" t="s">
        <v>65</v>
      </c>
      <c r="F457" s="13"/>
      <c r="G457" s="72">
        <v>0</v>
      </c>
    </row>
    <row r="458" spans="2:7" ht="15.75" hidden="1" customHeight="1">
      <c r="B458" s="17">
        <v>45744</v>
      </c>
      <c r="C458" s="18">
        <v>0</v>
      </c>
      <c r="D458" s="18">
        <v>13105</v>
      </c>
      <c r="E458" s="65" t="s">
        <v>31</v>
      </c>
      <c r="F458" s="20">
        <v>32812</v>
      </c>
      <c r="G458" s="78">
        <v>1286.07</v>
      </c>
    </row>
    <row r="459" spans="2:7" ht="28.5" hidden="1" customHeight="1">
      <c r="B459" s="66"/>
      <c r="C459" s="66"/>
      <c r="D459" s="66"/>
      <c r="E459" s="24" t="s">
        <v>65</v>
      </c>
      <c r="F459" s="24"/>
      <c r="G459" s="67">
        <v>0</v>
      </c>
    </row>
    <row r="460" spans="2:7" ht="15.75" hidden="1" customHeight="1">
      <c r="B460" s="11">
        <v>45744</v>
      </c>
      <c r="C460" s="12">
        <v>0</v>
      </c>
      <c r="D460" s="12">
        <v>0</v>
      </c>
      <c r="E460" s="76" t="s">
        <v>52</v>
      </c>
      <c r="F460" s="27">
        <v>9903</v>
      </c>
      <c r="G460" s="15">
        <v>381.77</v>
      </c>
    </row>
    <row r="461" spans="2:7" ht="15.75" hidden="1" customHeight="1">
      <c r="B461" s="71"/>
      <c r="C461" s="71"/>
      <c r="D461" s="71"/>
      <c r="E461" s="13" t="s">
        <v>53</v>
      </c>
      <c r="F461" s="13"/>
      <c r="G461" s="72">
        <v>0</v>
      </c>
    </row>
    <row r="462" spans="2:7" ht="15.75" hidden="1" customHeight="1">
      <c r="B462" s="17">
        <v>45747</v>
      </c>
      <c r="C462" s="18">
        <v>5072</v>
      </c>
      <c r="D462" s="18">
        <v>99021</v>
      </c>
      <c r="E462" s="65" t="s">
        <v>27</v>
      </c>
      <c r="F462" s="20">
        <v>615072000004700</v>
      </c>
      <c r="G462" s="21">
        <v>360.4</v>
      </c>
    </row>
    <row r="463" spans="2:7" ht="15.75" hidden="1" customHeight="1">
      <c r="B463" s="66"/>
      <c r="C463" s="66"/>
      <c r="D463" s="66"/>
      <c r="E463" s="24" t="s">
        <v>401</v>
      </c>
      <c r="F463" s="24"/>
      <c r="G463" s="67">
        <v>0</v>
      </c>
    </row>
    <row r="464" spans="2:7" ht="15.75" hidden="1" customHeight="1">
      <c r="B464" s="11">
        <v>45747</v>
      </c>
      <c r="C464" s="12">
        <v>0</v>
      </c>
      <c r="D464" s="12">
        <v>14175</v>
      </c>
      <c r="E464" s="76" t="s">
        <v>62</v>
      </c>
      <c r="F464" s="27">
        <v>375883856</v>
      </c>
      <c r="G464" s="15">
        <v>3800</v>
      </c>
    </row>
    <row r="465" spans="2:7" ht="28.5" hidden="1" customHeight="1">
      <c r="B465" s="71"/>
      <c r="C465" s="71"/>
      <c r="D465" s="71"/>
      <c r="E465" s="13" t="s">
        <v>97</v>
      </c>
      <c r="F465" s="13"/>
      <c r="G465" s="72">
        <v>0</v>
      </c>
    </row>
    <row r="466" spans="2:7" ht="15.75" hidden="1" customHeight="1">
      <c r="B466" s="17">
        <v>45747</v>
      </c>
      <c r="C466" s="18">
        <v>0</v>
      </c>
      <c r="D466" s="18">
        <v>14397</v>
      </c>
      <c r="E466" s="65" t="s">
        <v>57</v>
      </c>
      <c r="F466" s="20">
        <v>311107517001592</v>
      </c>
      <c r="G466" s="21">
        <v>79.709999999999994</v>
      </c>
    </row>
    <row r="467" spans="2:7" ht="28.5" hidden="1" customHeight="1">
      <c r="B467" s="66"/>
      <c r="C467" s="66"/>
      <c r="D467" s="66"/>
      <c r="E467" s="24" t="s">
        <v>402</v>
      </c>
      <c r="F467" s="24"/>
      <c r="G467" s="67">
        <v>0</v>
      </c>
    </row>
    <row r="468" spans="2:7" ht="15.75" hidden="1" customHeight="1">
      <c r="B468" s="11">
        <v>45747</v>
      </c>
      <c r="C468" s="12">
        <v>1533</v>
      </c>
      <c r="D468" s="12">
        <v>99008</v>
      </c>
      <c r="E468" s="76" t="s">
        <v>29</v>
      </c>
      <c r="F468" s="27">
        <v>949263</v>
      </c>
      <c r="G468" s="77">
        <v>163.63999999999999</v>
      </c>
    </row>
    <row r="469" spans="2:7" ht="15.75" hidden="1" customHeight="1">
      <c r="B469" s="71"/>
      <c r="C469" s="71"/>
      <c r="D469" s="71"/>
      <c r="E469" s="13" t="s">
        <v>403</v>
      </c>
      <c r="F469" s="13"/>
      <c r="G469" s="72">
        <v>0</v>
      </c>
    </row>
    <row r="470" spans="2:7" ht="15.75" hidden="1" customHeight="1">
      <c r="B470" s="17">
        <v>45747</v>
      </c>
      <c r="C470" s="18">
        <v>0</v>
      </c>
      <c r="D470" s="18">
        <v>13105</v>
      </c>
      <c r="E470" s="65" t="s">
        <v>31</v>
      </c>
      <c r="F470" s="20">
        <v>33101</v>
      </c>
      <c r="G470" s="78">
        <v>95</v>
      </c>
    </row>
    <row r="471" spans="2:7" ht="15.75" hidden="1" customHeight="1">
      <c r="B471" s="66"/>
      <c r="C471" s="66"/>
      <c r="D471" s="66"/>
      <c r="E471" s="24" t="s">
        <v>43</v>
      </c>
      <c r="F471" s="24"/>
      <c r="G471" s="67">
        <v>0</v>
      </c>
    </row>
    <row r="472" spans="2:7" ht="15.75" hidden="1" customHeight="1">
      <c r="B472" s="11">
        <v>45747</v>
      </c>
      <c r="C472" s="12">
        <v>0</v>
      </c>
      <c r="D472" s="12">
        <v>13013</v>
      </c>
      <c r="E472" s="76" t="s">
        <v>204</v>
      </c>
      <c r="F472" s="27">
        <v>3941</v>
      </c>
      <c r="G472" s="77">
        <v>998.26</v>
      </c>
    </row>
    <row r="473" spans="2:7" ht="15.75" hidden="1" customHeight="1">
      <c r="B473" s="71"/>
      <c r="C473" s="71"/>
      <c r="D473" s="71"/>
      <c r="E473" s="13" t="s">
        <v>205</v>
      </c>
      <c r="F473" s="13"/>
      <c r="G473" s="72">
        <v>0</v>
      </c>
    </row>
    <row r="474" spans="2:7" ht="15.75" hidden="1" customHeight="1">
      <c r="B474" s="17">
        <v>45747</v>
      </c>
      <c r="C474" s="18">
        <v>0</v>
      </c>
      <c r="D474" s="18">
        <v>13013</v>
      </c>
      <c r="E474" s="65" t="s">
        <v>204</v>
      </c>
      <c r="F474" s="20">
        <v>3941</v>
      </c>
      <c r="G474" s="78">
        <v>2359.71</v>
      </c>
    </row>
    <row r="475" spans="2:7" ht="15.75" hidden="1" customHeight="1">
      <c r="B475" s="66"/>
      <c r="C475" s="66"/>
      <c r="D475" s="66"/>
      <c r="E475" s="24" t="s">
        <v>205</v>
      </c>
      <c r="F475" s="24"/>
      <c r="G475" s="67">
        <v>0</v>
      </c>
    </row>
    <row r="476" spans="2:7" ht="15.75" hidden="1" customHeight="1">
      <c r="B476" s="11">
        <v>45747</v>
      </c>
      <c r="C476" s="12">
        <v>0</v>
      </c>
      <c r="D476" s="12">
        <v>13013</v>
      </c>
      <c r="E476" s="76" t="s">
        <v>204</v>
      </c>
      <c r="F476" s="27">
        <v>3941</v>
      </c>
      <c r="G476" s="77">
        <v>817.79</v>
      </c>
    </row>
    <row r="477" spans="2:7" ht="15.75" hidden="1" customHeight="1">
      <c r="B477" s="71"/>
      <c r="C477" s="71"/>
      <c r="D477" s="71"/>
      <c r="E477" s="13" t="s">
        <v>205</v>
      </c>
      <c r="F477" s="13"/>
      <c r="G477" s="72">
        <v>0</v>
      </c>
    </row>
    <row r="478" spans="2:7" ht="15.75" hidden="1" customHeight="1">
      <c r="B478" s="17">
        <v>45747</v>
      </c>
      <c r="C478" s="18">
        <v>0</v>
      </c>
      <c r="D478" s="18">
        <v>0</v>
      </c>
      <c r="E478" s="65" t="s">
        <v>52</v>
      </c>
      <c r="F478" s="20">
        <v>9903</v>
      </c>
      <c r="G478" s="21">
        <v>194.29</v>
      </c>
    </row>
    <row r="479" spans="2:7" ht="15.75" customHeight="1">
      <c r="G479" s="81"/>
    </row>
    <row r="480" spans="2:7" ht="15.75" customHeight="1">
      <c r="G480" s="81"/>
    </row>
    <row r="481" spans="7:7" ht="15.75" customHeight="1">
      <c r="G481" s="81"/>
    </row>
    <row r="482" spans="7:7" ht="15.75" customHeight="1">
      <c r="G482" s="81"/>
    </row>
    <row r="483" spans="7:7" ht="15.75" customHeight="1">
      <c r="G483" s="81"/>
    </row>
    <row r="484" spans="7:7" ht="15.75" customHeight="1">
      <c r="G484" s="81"/>
    </row>
    <row r="485" spans="7:7" ht="15.75" customHeight="1">
      <c r="G485" s="81"/>
    </row>
    <row r="486" spans="7:7" ht="15.75" customHeight="1">
      <c r="G486" s="81"/>
    </row>
    <row r="487" spans="7:7" ht="15.75" customHeight="1">
      <c r="G487" s="81"/>
    </row>
    <row r="488" spans="7:7" ht="15.75" customHeight="1">
      <c r="G488" s="81"/>
    </row>
    <row r="489" spans="7:7" ht="15.75" customHeight="1">
      <c r="G489" s="81"/>
    </row>
    <row r="490" spans="7:7" ht="15.75" customHeight="1">
      <c r="G490" s="81"/>
    </row>
    <row r="491" spans="7:7" ht="15.75" customHeight="1">
      <c r="G491" s="81"/>
    </row>
    <row r="492" spans="7:7" ht="15.75" customHeight="1">
      <c r="G492" s="81"/>
    </row>
    <row r="493" spans="7:7" ht="15.75" customHeight="1">
      <c r="G493" s="81"/>
    </row>
    <row r="494" spans="7:7" ht="15.75" customHeight="1">
      <c r="G494" s="81"/>
    </row>
    <row r="495" spans="7:7" ht="15.75" customHeight="1">
      <c r="G495" s="81"/>
    </row>
    <row r="496" spans="7:7" ht="15.75" customHeight="1">
      <c r="G496" s="81"/>
    </row>
    <row r="497" spans="7:7" ht="15.75" customHeight="1">
      <c r="G497" s="81"/>
    </row>
    <row r="498" spans="7:7" ht="15.75" customHeight="1">
      <c r="G498" s="81"/>
    </row>
    <row r="499" spans="7:7" ht="15.75" customHeight="1">
      <c r="G499" s="81"/>
    </row>
    <row r="500" spans="7:7" ht="15.75" customHeight="1">
      <c r="G500" s="81"/>
    </row>
    <row r="501" spans="7:7" ht="15.75" customHeight="1">
      <c r="G501" s="81"/>
    </row>
    <row r="502" spans="7:7" ht="15.75" customHeight="1">
      <c r="G502" s="81"/>
    </row>
    <row r="503" spans="7:7" ht="15.75" customHeight="1">
      <c r="G503" s="81"/>
    </row>
    <row r="504" spans="7:7" ht="15.75" customHeight="1">
      <c r="G504" s="81"/>
    </row>
    <row r="505" spans="7:7" ht="15.75" customHeight="1">
      <c r="G505" s="81"/>
    </row>
    <row r="506" spans="7:7" ht="15.75" customHeight="1">
      <c r="G506" s="81"/>
    </row>
    <row r="507" spans="7:7" ht="15.75" customHeight="1">
      <c r="G507" s="81"/>
    </row>
    <row r="508" spans="7:7" ht="15.75" customHeight="1">
      <c r="G508" s="81"/>
    </row>
    <row r="509" spans="7:7" ht="15.75" customHeight="1">
      <c r="G509" s="81"/>
    </row>
    <row r="510" spans="7:7" ht="15.75" customHeight="1">
      <c r="G510" s="81"/>
    </row>
    <row r="511" spans="7:7" ht="15.75" customHeight="1">
      <c r="G511" s="81"/>
    </row>
    <row r="512" spans="7:7" ht="15.75" customHeight="1">
      <c r="G512" s="81"/>
    </row>
    <row r="513" spans="7:7" ht="15.75" customHeight="1">
      <c r="G513" s="81"/>
    </row>
    <row r="514" spans="7:7" ht="15.75" customHeight="1">
      <c r="G514" s="81"/>
    </row>
    <row r="515" spans="7:7" ht="15.75" customHeight="1">
      <c r="G515" s="81"/>
    </row>
    <row r="516" spans="7:7" ht="15.75" customHeight="1">
      <c r="G516" s="81"/>
    </row>
    <row r="517" spans="7:7" ht="15.75" customHeight="1">
      <c r="G517" s="81"/>
    </row>
    <row r="518" spans="7:7" ht="15.75" customHeight="1">
      <c r="G518" s="81"/>
    </row>
    <row r="519" spans="7:7" ht="15.75" customHeight="1">
      <c r="G519" s="81"/>
    </row>
    <row r="520" spans="7:7" ht="15.75" customHeight="1">
      <c r="G520" s="81"/>
    </row>
    <row r="521" spans="7:7" ht="15.75" customHeight="1">
      <c r="G521" s="81"/>
    </row>
    <row r="522" spans="7:7" ht="15.75" customHeight="1">
      <c r="G522" s="81"/>
    </row>
    <row r="523" spans="7:7" ht="15.75" customHeight="1">
      <c r="G523" s="81"/>
    </row>
    <row r="524" spans="7:7" ht="15.75" customHeight="1">
      <c r="G524" s="81"/>
    </row>
    <row r="525" spans="7:7" ht="15.75" customHeight="1">
      <c r="G525" s="81"/>
    </row>
    <row r="526" spans="7:7" ht="15.75" customHeight="1">
      <c r="G526" s="81"/>
    </row>
    <row r="527" spans="7:7" ht="15.75" customHeight="1">
      <c r="G527" s="81"/>
    </row>
    <row r="528" spans="7:7" ht="15.75" customHeight="1">
      <c r="G528" s="81"/>
    </row>
    <row r="529" spans="7:7" ht="15.75" customHeight="1">
      <c r="G529" s="81"/>
    </row>
    <row r="530" spans="7:7" ht="15.75" customHeight="1">
      <c r="G530" s="81"/>
    </row>
    <row r="531" spans="7:7" ht="15.75" customHeight="1">
      <c r="G531" s="81"/>
    </row>
    <row r="532" spans="7:7" ht="15.75" customHeight="1">
      <c r="G532" s="81"/>
    </row>
    <row r="533" spans="7:7" ht="15.75" customHeight="1">
      <c r="G533" s="81"/>
    </row>
    <row r="534" spans="7:7" ht="15.75" customHeight="1">
      <c r="G534" s="81"/>
    </row>
    <row r="535" spans="7:7" ht="15.75" customHeight="1">
      <c r="G535" s="81"/>
    </row>
    <row r="536" spans="7:7" ht="15.75" customHeight="1">
      <c r="G536" s="81"/>
    </row>
    <row r="537" spans="7:7" ht="15.75" customHeight="1">
      <c r="G537" s="81"/>
    </row>
    <row r="538" spans="7:7" ht="15.75" customHeight="1">
      <c r="G538" s="81"/>
    </row>
    <row r="539" spans="7:7" ht="15.75" customHeight="1">
      <c r="G539" s="81"/>
    </row>
    <row r="540" spans="7:7" ht="15.75" customHeight="1">
      <c r="G540" s="81"/>
    </row>
    <row r="541" spans="7:7" ht="15.75" customHeight="1">
      <c r="G541" s="81"/>
    </row>
    <row r="542" spans="7:7" ht="15.75" customHeight="1">
      <c r="G542" s="81"/>
    </row>
    <row r="543" spans="7:7" ht="15.75" customHeight="1">
      <c r="G543" s="81"/>
    </row>
    <row r="544" spans="7:7" ht="15.75" customHeight="1">
      <c r="G544" s="81"/>
    </row>
    <row r="545" spans="7:7" ht="15.75" customHeight="1">
      <c r="G545" s="81"/>
    </row>
    <row r="546" spans="7:7" ht="15.75" customHeight="1">
      <c r="G546" s="81"/>
    </row>
    <row r="547" spans="7:7" ht="15.75" customHeight="1">
      <c r="G547" s="81"/>
    </row>
    <row r="548" spans="7:7" ht="15.75" customHeight="1">
      <c r="G548" s="81"/>
    </row>
    <row r="549" spans="7:7" ht="15.75" customHeight="1">
      <c r="G549" s="81"/>
    </row>
    <row r="550" spans="7:7" ht="15.75" customHeight="1">
      <c r="G550" s="81"/>
    </row>
    <row r="551" spans="7:7" ht="15.75" customHeight="1">
      <c r="G551" s="81"/>
    </row>
    <row r="552" spans="7:7" ht="15.75" customHeight="1">
      <c r="G552" s="81"/>
    </row>
    <row r="553" spans="7:7" ht="15.75" customHeight="1">
      <c r="G553" s="81"/>
    </row>
    <row r="554" spans="7:7" ht="15.75" customHeight="1">
      <c r="G554" s="81"/>
    </row>
    <row r="555" spans="7:7" ht="15.75" customHeight="1">
      <c r="G555" s="81"/>
    </row>
    <row r="556" spans="7:7" ht="15.75" customHeight="1">
      <c r="G556" s="81"/>
    </row>
    <row r="557" spans="7:7" ht="15.75" customHeight="1">
      <c r="G557" s="81"/>
    </row>
    <row r="558" spans="7:7" ht="15.75" customHeight="1">
      <c r="G558" s="81"/>
    </row>
    <row r="559" spans="7:7" ht="15.75" customHeight="1">
      <c r="G559" s="81"/>
    </row>
    <row r="560" spans="7:7" ht="15.75" customHeight="1">
      <c r="G560" s="81"/>
    </row>
    <row r="561" spans="7:7" ht="15.75" customHeight="1">
      <c r="G561" s="81"/>
    </row>
    <row r="562" spans="7:7" ht="15.75" customHeight="1">
      <c r="G562" s="81"/>
    </row>
    <row r="563" spans="7:7" ht="15.75" customHeight="1">
      <c r="G563" s="81"/>
    </row>
    <row r="564" spans="7:7" ht="15.75" customHeight="1">
      <c r="G564" s="81"/>
    </row>
    <row r="565" spans="7:7" ht="15.75" customHeight="1">
      <c r="G565" s="81"/>
    </row>
    <row r="566" spans="7:7" ht="15.75" customHeight="1">
      <c r="G566" s="81"/>
    </row>
    <row r="567" spans="7:7" ht="15.75" customHeight="1">
      <c r="G567" s="81"/>
    </row>
    <row r="568" spans="7:7" ht="15.75" customHeight="1">
      <c r="G568" s="81"/>
    </row>
    <row r="569" spans="7:7" ht="15.75" customHeight="1">
      <c r="G569" s="81"/>
    </row>
    <row r="570" spans="7:7" ht="15.75" customHeight="1">
      <c r="G570" s="81"/>
    </row>
    <row r="571" spans="7:7" ht="15.75" customHeight="1">
      <c r="G571" s="81"/>
    </row>
    <row r="572" spans="7:7" ht="15.75" customHeight="1">
      <c r="G572" s="81"/>
    </row>
    <row r="573" spans="7:7" ht="15.75" customHeight="1">
      <c r="G573" s="81"/>
    </row>
    <row r="574" spans="7:7" ht="15.75" customHeight="1">
      <c r="G574" s="81"/>
    </row>
    <row r="575" spans="7:7" ht="15.75" customHeight="1">
      <c r="G575" s="81"/>
    </row>
    <row r="576" spans="7:7" ht="15.75" customHeight="1">
      <c r="G576" s="81"/>
    </row>
    <row r="577" spans="7:7" ht="15.75" customHeight="1">
      <c r="G577" s="81"/>
    </row>
    <row r="578" spans="7:7" ht="15.75" customHeight="1">
      <c r="G578" s="81"/>
    </row>
    <row r="579" spans="7:7" ht="15.75" customHeight="1">
      <c r="G579" s="81"/>
    </row>
    <row r="580" spans="7:7" ht="15.75" customHeight="1">
      <c r="G580" s="81"/>
    </row>
    <row r="581" spans="7:7" ht="15.75" customHeight="1">
      <c r="G581" s="81"/>
    </row>
    <row r="582" spans="7:7" ht="15.75" customHeight="1">
      <c r="G582" s="81"/>
    </row>
    <row r="583" spans="7:7" ht="15.75" customHeight="1">
      <c r="G583" s="81"/>
    </row>
    <row r="584" spans="7:7" ht="15.75" customHeight="1">
      <c r="G584" s="81"/>
    </row>
    <row r="585" spans="7:7" ht="15.75" customHeight="1">
      <c r="G585" s="81"/>
    </row>
    <row r="586" spans="7:7" ht="15.75" customHeight="1">
      <c r="G586" s="81"/>
    </row>
    <row r="587" spans="7:7" ht="15.75" customHeight="1">
      <c r="G587" s="81"/>
    </row>
    <row r="588" spans="7:7" ht="15.75" customHeight="1">
      <c r="G588" s="81"/>
    </row>
    <row r="589" spans="7:7" ht="15.75" customHeight="1">
      <c r="G589" s="81"/>
    </row>
    <row r="590" spans="7:7" ht="15.75" customHeight="1">
      <c r="G590" s="81"/>
    </row>
    <row r="591" spans="7:7" ht="15.75" customHeight="1">
      <c r="G591" s="81"/>
    </row>
    <row r="592" spans="7:7" ht="15.75" customHeight="1">
      <c r="G592" s="81"/>
    </row>
    <row r="593" spans="7:7" ht="15.75" customHeight="1">
      <c r="G593" s="81"/>
    </row>
    <row r="594" spans="7:7" ht="15.75" customHeight="1">
      <c r="G594" s="81"/>
    </row>
    <row r="595" spans="7:7" ht="15.75" customHeight="1">
      <c r="G595" s="81"/>
    </row>
    <row r="596" spans="7:7" ht="15.75" customHeight="1">
      <c r="G596" s="81"/>
    </row>
    <row r="597" spans="7:7" ht="15.75" customHeight="1">
      <c r="G597" s="81"/>
    </row>
    <row r="598" spans="7:7" ht="15.75" customHeight="1">
      <c r="G598" s="81"/>
    </row>
    <row r="599" spans="7:7" ht="15.75" customHeight="1">
      <c r="G599" s="81"/>
    </row>
    <row r="600" spans="7:7" ht="15.75" customHeight="1">
      <c r="G600" s="81"/>
    </row>
    <row r="601" spans="7:7" ht="15.75" customHeight="1">
      <c r="G601" s="81"/>
    </row>
    <row r="602" spans="7:7" ht="15.75" customHeight="1">
      <c r="G602" s="81"/>
    </row>
    <row r="603" spans="7:7" ht="15.75" customHeight="1">
      <c r="G603" s="81"/>
    </row>
    <row r="604" spans="7:7" ht="15.75" customHeight="1">
      <c r="G604" s="81"/>
    </row>
    <row r="605" spans="7:7" ht="15.75" customHeight="1">
      <c r="G605" s="81"/>
    </row>
    <row r="606" spans="7:7" ht="15.75" customHeight="1">
      <c r="G606" s="81"/>
    </row>
    <row r="607" spans="7:7" ht="15.75" customHeight="1">
      <c r="G607" s="81"/>
    </row>
    <row r="608" spans="7:7" ht="15.75" customHeight="1">
      <c r="G608" s="81"/>
    </row>
    <row r="609" spans="7:7" ht="15.75" customHeight="1">
      <c r="G609" s="81"/>
    </row>
    <row r="610" spans="7:7" ht="15.75" customHeight="1">
      <c r="G610" s="81"/>
    </row>
    <row r="611" spans="7:7" ht="15.75" customHeight="1">
      <c r="G611" s="81"/>
    </row>
    <row r="612" spans="7:7" ht="15.75" customHeight="1">
      <c r="G612" s="81"/>
    </row>
    <row r="613" spans="7:7" ht="15.75" customHeight="1">
      <c r="G613" s="81"/>
    </row>
    <row r="614" spans="7:7" ht="15.75" customHeight="1">
      <c r="G614" s="81"/>
    </row>
    <row r="615" spans="7:7" ht="15.75" customHeight="1">
      <c r="G615" s="81"/>
    </row>
    <row r="616" spans="7:7" ht="15.75" customHeight="1">
      <c r="G616" s="81"/>
    </row>
    <row r="617" spans="7:7" ht="15.75" customHeight="1">
      <c r="G617" s="81"/>
    </row>
    <row r="618" spans="7:7" ht="15.75" customHeight="1">
      <c r="G618" s="81"/>
    </row>
    <row r="619" spans="7:7" ht="15.75" customHeight="1">
      <c r="G619" s="81"/>
    </row>
    <row r="620" spans="7:7" ht="15.75" customHeight="1">
      <c r="G620" s="81"/>
    </row>
    <row r="621" spans="7:7" ht="15.75" customHeight="1">
      <c r="G621" s="81"/>
    </row>
    <row r="622" spans="7:7" ht="15.75" customHeight="1">
      <c r="G622" s="81"/>
    </row>
    <row r="623" spans="7:7" ht="15.75" customHeight="1">
      <c r="G623" s="81"/>
    </row>
    <row r="624" spans="7:7" ht="15.75" customHeight="1">
      <c r="G624" s="81"/>
    </row>
    <row r="625" spans="7:7" ht="15.75" customHeight="1">
      <c r="G625" s="81"/>
    </row>
    <row r="626" spans="7:7" ht="15.75" customHeight="1">
      <c r="G626" s="81"/>
    </row>
    <row r="627" spans="7:7" ht="15.75" customHeight="1">
      <c r="G627" s="81"/>
    </row>
    <row r="628" spans="7:7" ht="15.75" customHeight="1">
      <c r="G628" s="81"/>
    </row>
    <row r="629" spans="7:7" ht="15.75" customHeight="1">
      <c r="G629" s="81"/>
    </row>
    <row r="630" spans="7:7" ht="15.75" customHeight="1">
      <c r="G630" s="81"/>
    </row>
    <row r="631" spans="7:7" ht="15.75" customHeight="1">
      <c r="G631" s="81"/>
    </row>
    <row r="632" spans="7:7" ht="15.75" customHeight="1">
      <c r="G632" s="81"/>
    </row>
    <row r="633" spans="7:7" ht="15.75" customHeight="1">
      <c r="G633" s="81"/>
    </row>
    <row r="634" spans="7:7" ht="15.75" customHeight="1">
      <c r="G634" s="81"/>
    </row>
    <row r="635" spans="7:7" ht="15.75" customHeight="1">
      <c r="G635" s="81"/>
    </row>
    <row r="636" spans="7:7" ht="15.75" customHeight="1">
      <c r="G636" s="81"/>
    </row>
    <row r="637" spans="7:7" ht="15.75" customHeight="1">
      <c r="G637" s="81"/>
    </row>
    <row r="638" spans="7:7" ht="15.75" customHeight="1">
      <c r="G638" s="81"/>
    </row>
    <row r="639" spans="7:7" ht="15.75" customHeight="1">
      <c r="G639" s="81"/>
    </row>
    <row r="640" spans="7:7" ht="15.75" customHeight="1">
      <c r="G640" s="81"/>
    </row>
    <row r="641" spans="7:7" ht="15.75" customHeight="1">
      <c r="G641" s="81"/>
    </row>
    <row r="642" spans="7:7" ht="15.75" customHeight="1">
      <c r="G642" s="81"/>
    </row>
    <row r="643" spans="7:7" ht="15.75" customHeight="1">
      <c r="G643" s="81"/>
    </row>
    <row r="644" spans="7:7" ht="15.75" customHeight="1">
      <c r="G644" s="81"/>
    </row>
    <row r="645" spans="7:7" ht="15.75" customHeight="1">
      <c r="G645" s="81"/>
    </row>
    <row r="646" spans="7:7" ht="15.75" customHeight="1">
      <c r="G646" s="81"/>
    </row>
    <row r="647" spans="7:7" ht="15.75" customHeight="1">
      <c r="G647" s="81"/>
    </row>
    <row r="648" spans="7:7" ht="15.75" customHeight="1">
      <c r="G648" s="81"/>
    </row>
    <row r="649" spans="7:7" ht="15.75" customHeight="1">
      <c r="G649" s="81"/>
    </row>
    <row r="650" spans="7:7" ht="15.75" customHeight="1">
      <c r="G650" s="81"/>
    </row>
    <row r="651" spans="7:7" ht="15.75" customHeight="1">
      <c r="G651" s="81"/>
    </row>
    <row r="652" spans="7:7" ht="15.75" customHeight="1">
      <c r="G652" s="81"/>
    </row>
    <row r="653" spans="7:7" ht="15.75" customHeight="1">
      <c r="G653" s="81"/>
    </row>
    <row r="654" spans="7:7" ht="15.75" customHeight="1">
      <c r="G654" s="81"/>
    </row>
    <row r="655" spans="7:7" ht="15.75" customHeight="1">
      <c r="G655" s="81"/>
    </row>
    <row r="656" spans="7:7" ht="15.75" customHeight="1">
      <c r="G656" s="81"/>
    </row>
    <row r="657" spans="7:7" ht="15.75" customHeight="1">
      <c r="G657" s="81"/>
    </row>
    <row r="658" spans="7:7" ht="15.75" customHeight="1">
      <c r="G658" s="81"/>
    </row>
    <row r="659" spans="7:7" ht="15.75" customHeight="1">
      <c r="G659" s="81"/>
    </row>
    <row r="660" spans="7:7" ht="15.75" customHeight="1">
      <c r="G660" s="81"/>
    </row>
    <row r="661" spans="7:7" ht="15.75" customHeight="1">
      <c r="G661" s="81"/>
    </row>
    <row r="662" spans="7:7" ht="15.75" customHeight="1">
      <c r="G662" s="81"/>
    </row>
    <row r="663" spans="7:7" ht="15.75" customHeight="1">
      <c r="G663" s="81"/>
    </row>
    <row r="664" spans="7:7" ht="15.75" customHeight="1">
      <c r="G664" s="81"/>
    </row>
    <row r="665" spans="7:7" ht="15.75" customHeight="1">
      <c r="G665" s="81"/>
    </row>
    <row r="666" spans="7:7" ht="15.75" customHeight="1">
      <c r="G666" s="81"/>
    </row>
    <row r="667" spans="7:7" ht="15.75" customHeight="1">
      <c r="G667" s="81"/>
    </row>
    <row r="668" spans="7:7" ht="15.75" customHeight="1">
      <c r="G668" s="81"/>
    </row>
    <row r="669" spans="7:7" ht="15.75" customHeight="1">
      <c r="G669" s="81"/>
    </row>
    <row r="670" spans="7:7" ht="15.75" customHeight="1">
      <c r="G670" s="81"/>
    </row>
    <row r="671" spans="7:7" ht="15.75" customHeight="1">
      <c r="G671" s="81"/>
    </row>
    <row r="672" spans="7:7" ht="15.75" customHeight="1">
      <c r="G672" s="81"/>
    </row>
    <row r="673" spans="7:7" ht="15.75" customHeight="1">
      <c r="G673" s="81"/>
    </row>
    <row r="674" spans="7:7" ht="15.75" customHeight="1">
      <c r="G674" s="81"/>
    </row>
    <row r="675" spans="7:7" ht="15.75" customHeight="1">
      <c r="G675" s="81"/>
    </row>
    <row r="676" spans="7:7" ht="15.75" customHeight="1">
      <c r="G676" s="81"/>
    </row>
    <row r="677" spans="7:7" ht="15.75" customHeight="1">
      <c r="G677" s="81"/>
    </row>
    <row r="678" spans="7:7" ht="15.75" customHeight="1">
      <c r="G678" s="81"/>
    </row>
    <row r="679" spans="7:7" ht="15.75" customHeight="1">
      <c r="G679" s="81"/>
    </row>
    <row r="680" spans="7:7" ht="15.75" customHeight="1">
      <c r="G680" s="81"/>
    </row>
    <row r="681" spans="7:7" ht="15.75" customHeight="1">
      <c r="G681" s="81"/>
    </row>
    <row r="682" spans="7:7" ht="15.75" customHeight="1">
      <c r="G682" s="81"/>
    </row>
    <row r="683" spans="7:7" ht="15.75" customHeight="1">
      <c r="G683" s="81"/>
    </row>
    <row r="684" spans="7:7" ht="15.75" customHeight="1">
      <c r="G684" s="81"/>
    </row>
    <row r="685" spans="7:7" ht="15.75" customHeight="1">
      <c r="G685" s="81"/>
    </row>
    <row r="686" spans="7:7" ht="15.75" customHeight="1">
      <c r="G686" s="81"/>
    </row>
    <row r="687" spans="7:7" ht="15.75" customHeight="1">
      <c r="G687" s="81"/>
    </row>
    <row r="688" spans="7:7" ht="15.75" customHeight="1">
      <c r="G688" s="81"/>
    </row>
    <row r="689" spans="7:7" ht="15.75" customHeight="1">
      <c r="G689" s="81"/>
    </row>
    <row r="690" spans="7:7" ht="15.75" customHeight="1">
      <c r="G690" s="81"/>
    </row>
    <row r="691" spans="7:7" ht="15.75" customHeight="1">
      <c r="G691" s="81"/>
    </row>
    <row r="692" spans="7:7" ht="15.75" customHeight="1">
      <c r="G692" s="81"/>
    </row>
    <row r="693" spans="7:7" ht="15.75" customHeight="1">
      <c r="G693" s="81"/>
    </row>
    <row r="694" spans="7:7" ht="15.75" customHeight="1">
      <c r="G694" s="81"/>
    </row>
    <row r="695" spans="7:7" ht="15.75" customHeight="1">
      <c r="G695" s="81"/>
    </row>
    <row r="696" spans="7:7" ht="15.75" customHeight="1">
      <c r="G696" s="81"/>
    </row>
    <row r="697" spans="7:7" ht="15.75" customHeight="1">
      <c r="G697" s="81"/>
    </row>
    <row r="698" spans="7:7" ht="15.75" customHeight="1">
      <c r="G698" s="81"/>
    </row>
    <row r="699" spans="7:7" ht="15.75" customHeight="1">
      <c r="G699" s="81"/>
    </row>
    <row r="700" spans="7:7" ht="15.75" customHeight="1">
      <c r="G700" s="81"/>
    </row>
    <row r="701" spans="7:7" ht="15.75" customHeight="1">
      <c r="G701" s="81"/>
    </row>
    <row r="702" spans="7:7" ht="15.75" customHeight="1">
      <c r="G702" s="81"/>
    </row>
    <row r="703" spans="7:7" ht="15.75" customHeight="1">
      <c r="G703" s="81"/>
    </row>
    <row r="704" spans="7:7" ht="15.75" customHeight="1">
      <c r="G704" s="81"/>
    </row>
    <row r="705" spans="7:7" ht="15.75" customHeight="1">
      <c r="G705" s="81"/>
    </row>
    <row r="706" spans="7:7" ht="15.75" customHeight="1">
      <c r="G706" s="81"/>
    </row>
    <row r="707" spans="7:7" ht="15.75" customHeight="1">
      <c r="G707" s="81"/>
    </row>
    <row r="708" spans="7:7" ht="15.75" customHeight="1">
      <c r="G708" s="81"/>
    </row>
    <row r="709" spans="7:7" ht="15.75" customHeight="1">
      <c r="G709" s="81"/>
    </row>
    <row r="710" spans="7:7" ht="15.75" customHeight="1">
      <c r="G710" s="81"/>
    </row>
    <row r="711" spans="7:7" ht="15.75" customHeight="1">
      <c r="G711" s="81"/>
    </row>
    <row r="712" spans="7:7" ht="15.75" customHeight="1">
      <c r="G712" s="81"/>
    </row>
    <row r="713" spans="7:7" ht="15.75" customHeight="1">
      <c r="G713" s="81"/>
    </row>
    <row r="714" spans="7:7" ht="15.75" customHeight="1">
      <c r="G714" s="81"/>
    </row>
    <row r="715" spans="7:7" ht="15.75" customHeight="1">
      <c r="G715" s="81"/>
    </row>
    <row r="716" spans="7:7" ht="15.75" customHeight="1">
      <c r="G716" s="81"/>
    </row>
    <row r="717" spans="7:7" ht="15.75" customHeight="1">
      <c r="G717" s="81"/>
    </row>
    <row r="718" spans="7:7" ht="15.75" customHeight="1">
      <c r="G718" s="81"/>
    </row>
    <row r="719" spans="7:7" ht="15.75" customHeight="1">
      <c r="G719" s="81"/>
    </row>
    <row r="720" spans="7:7" ht="15.75" customHeight="1">
      <c r="G720" s="81"/>
    </row>
    <row r="721" spans="7:7" ht="15.75" customHeight="1">
      <c r="G721" s="81"/>
    </row>
    <row r="722" spans="7:7" ht="15.75" customHeight="1">
      <c r="G722" s="81"/>
    </row>
    <row r="723" spans="7:7" ht="15.75" customHeight="1">
      <c r="G723" s="81"/>
    </row>
    <row r="724" spans="7:7" ht="15.75" customHeight="1">
      <c r="G724" s="81"/>
    </row>
    <row r="725" spans="7:7" ht="15.75" customHeight="1">
      <c r="G725" s="81"/>
    </row>
    <row r="726" spans="7:7" ht="15.75" customHeight="1">
      <c r="G726" s="81"/>
    </row>
    <row r="727" spans="7:7" ht="15.75" customHeight="1">
      <c r="G727" s="81"/>
    </row>
    <row r="728" spans="7:7" ht="15.75" customHeight="1">
      <c r="G728" s="81"/>
    </row>
    <row r="729" spans="7:7" ht="15.75" customHeight="1">
      <c r="G729" s="81"/>
    </row>
    <row r="730" spans="7:7" ht="15.75" customHeight="1">
      <c r="G730" s="81"/>
    </row>
    <row r="731" spans="7:7" ht="15.75" customHeight="1">
      <c r="G731" s="81"/>
    </row>
    <row r="732" spans="7:7" ht="15.75" customHeight="1">
      <c r="G732" s="81"/>
    </row>
    <row r="733" spans="7:7" ht="15.75" customHeight="1">
      <c r="G733" s="81"/>
    </row>
    <row r="734" spans="7:7" ht="15.75" customHeight="1">
      <c r="G734" s="81"/>
    </row>
    <row r="735" spans="7:7" ht="15.75" customHeight="1">
      <c r="G735" s="81"/>
    </row>
    <row r="736" spans="7:7" ht="15.75" customHeight="1">
      <c r="G736" s="81"/>
    </row>
    <row r="737" spans="7:7" ht="15.75" customHeight="1">
      <c r="G737" s="81"/>
    </row>
    <row r="738" spans="7:7" ht="15.75" customHeight="1">
      <c r="G738" s="81"/>
    </row>
    <row r="739" spans="7:7" ht="15.75" customHeight="1">
      <c r="G739" s="81"/>
    </row>
    <row r="740" spans="7:7" ht="15.75" customHeight="1">
      <c r="G740" s="81"/>
    </row>
    <row r="741" spans="7:7" ht="15.75" customHeight="1">
      <c r="G741" s="81"/>
    </row>
    <row r="742" spans="7:7" ht="15.75" customHeight="1">
      <c r="G742" s="81"/>
    </row>
    <row r="743" spans="7:7" ht="15.75" customHeight="1">
      <c r="G743" s="81"/>
    </row>
    <row r="744" spans="7:7" ht="15.75" customHeight="1">
      <c r="G744" s="81"/>
    </row>
    <row r="745" spans="7:7" ht="15.75" customHeight="1">
      <c r="G745" s="81"/>
    </row>
    <row r="746" spans="7:7" ht="15.75" customHeight="1">
      <c r="G746" s="81"/>
    </row>
    <row r="747" spans="7:7" ht="15.75" customHeight="1">
      <c r="G747" s="81"/>
    </row>
    <row r="748" spans="7:7" ht="15.75" customHeight="1">
      <c r="G748" s="81"/>
    </row>
    <row r="749" spans="7:7" ht="15.75" customHeight="1">
      <c r="G749" s="81"/>
    </row>
    <row r="750" spans="7:7" ht="15.75" customHeight="1">
      <c r="G750" s="81"/>
    </row>
    <row r="751" spans="7:7" ht="15.75" customHeight="1">
      <c r="G751" s="81"/>
    </row>
    <row r="752" spans="7:7" ht="15.75" customHeight="1">
      <c r="G752" s="81"/>
    </row>
    <row r="753" spans="7:7" ht="15.75" customHeight="1">
      <c r="G753" s="81"/>
    </row>
    <row r="754" spans="7:7" ht="15.75" customHeight="1">
      <c r="G754" s="81"/>
    </row>
    <row r="755" spans="7:7" ht="15.75" customHeight="1">
      <c r="G755" s="81"/>
    </row>
    <row r="756" spans="7:7" ht="15.75" customHeight="1">
      <c r="G756" s="81"/>
    </row>
    <row r="757" spans="7:7" ht="15.75" customHeight="1">
      <c r="G757" s="81"/>
    </row>
    <row r="758" spans="7:7" ht="15.75" customHeight="1">
      <c r="G758" s="81"/>
    </row>
    <row r="759" spans="7:7" ht="15.75" customHeight="1">
      <c r="G759" s="81"/>
    </row>
    <row r="760" spans="7:7" ht="15.75" customHeight="1">
      <c r="G760" s="81"/>
    </row>
    <row r="761" spans="7:7" ht="15.75" customHeight="1">
      <c r="G761" s="81"/>
    </row>
    <row r="762" spans="7:7" ht="15.75" customHeight="1">
      <c r="G762" s="81"/>
    </row>
    <row r="763" spans="7:7" ht="15.75" customHeight="1">
      <c r="G763" s="81"/>
    </row>
    <row r="764" spans="7:7" ht="15.75" customHeight="1">
      <c r="G764" s="81"/>
    </row>
    <row r="765" spans="7:7" ht="15.75" customHeight="1">
      <c r="G765" s="81"/>
    </row>
    <row r="766" spans="7:7" ht="15.75" customHeight="1">
      <c r="G766" s="81"/>
    </row>
    <row r="767" spans="7:7" ht="15.75" customHeight="1">
      <c r="G767" s="81"/>
    </row>
    <row r="768" spans="7:7" ht="15.75" customHeight="1">
      <c r="G768" s="81"/>
    </row>
    <row r="769" spans="7:7" ht="15.75" customHeight="1">
      <c r="G769" s="81"/>
    </row>
    <row r="770" spans="7:7" ht="15.75" customHeight="1">
      <c r="G770" s="81"/>
    </row>
    <row r="771" spans="7:7" ht="15.75" customHeight="1">
      <c r="G771" s="81"/>
    </row>
    <row r="772" spans="7:7" ht="15.75" customHeight="1">
      <c r="G772" s="81"/>
    </row>
    <row r="773" spans="7:7" ht="15.75" customHeight="1">
      <c r="G773" s="81"/>
    </row>
    <row r="774" spans="7:7" ht="15.75" customHeight="1">
      <c r="G774" s="81"/>
    </row>
    <row r="775" spans="7:7" ht="15.75" customHeight="1">
      <c r="G775" s="81"/>
    </row>
    <row r="776" spans="7:7" ht="15.75" customHeight="1">
      <c r="G776" s="81"/>
    </row>
    <row r="777" spans="7:7" ht="15.75" customHeight="1">
      <c r="G777" s="81"/>
    </row>
    <row r="778" spans="7:7" ht="15.75" customHeight="1">
      <c r="G778" s="81"/>
    </row>
    <row r="779" spans="7:7" ht="15.75" customHeight="1">
      <c r="G779" s="81"/>
    </row>
    <row r="780" spans="7:7" ht="15.75" customHeight="1">
      <c r="G780" s="81"/>
    </row>
    <row r="781" spans="7:7" ht="15.75" customHeight="1">
      <c r="G781" s="81"/>
    </row>
    <row r="782" spans="7:7" ht="15.75" customHeight="1">
      <c r="G782" s="81"/>
    </row>
    <row r="783" spans="7:7" ht="15.75" customHeight="1">
      <c r="G783" s="81"/>
    </row>
    <row r="784" spans="7:7" ht="15.75" customHeight="1">
      <c r="G784" s="81"/>
    </row>
    <row r="785" spans="7:7" ht="15.75" customHeight="1">
      <c r="G785" s="81"/>
    </row>
    <row r="786" spans="7:7" ht="15.75" customHeight="1">
      <c r="G786" s="81"/>
    </row>
    <row r="787" spans="7:7" ht="15.75" customHeight="1">
      <c r="G787" s="81"/>
    </row>
    <row r="788" spans="7:7" ht="15.75" customHeight="1">
      <c r="G788" s="81"/>
    </row>
    <row r="789" spans="7:7" ht="15.75" customHeight="1">
      <c r="G789" s="81"/>
    </row>
    <row r="790" spans="7:7" ht="15.75" customHeight="1">
      <c r="G790" s="81"/>
    </row>
    <row r="791" spans="7:7" ht="15.75" customHeight="1">
      <c r="G791" s="81"/>
    </row>
    <row r="792" spans="7:7" ht="15.75" customHeight="1">
      <c r="G792" s="81"/>
    </row>
    <row r="793" spans="7:7" ht="15.75" customHeight="1">
      <c r="G793" s="81"/>
    </row>
    <row r="794" spans="7:7" ht="15.75" customHeight="1">
      <c r="G794" s="81"/>
    </row>
    <row r="795" spans="7:7" ht="15.75" customHeight="1">
      <c r="G795" s="81"/>
    </row>
    <row r="796" spans="7:7" ht="15.75" customHeight="1">
      <c r="G796" s="81"/>
    </row>
    <row r="797" spans="7:7" ht="15.75" customHeight="1">
      <c r="G797" s="81"/>
    </row>
    <row r="798" spans="7:7" ht="15.75" customHeight="1">
      <c r="G798" s="81"/>
    </row>
    <row r="799" spans="7:7" ht="15.75" customHeight="1">
      <c r="G799" s="81"/>
    </row>
    <row r="800" spans="7:7" ht="15.75" customHeight="1">
      <c r="G800" s="81"/>
    </row>
    <row r="801" spans="7:7" ht="15.75" customHeight="1">
      <c r="G801" s="81"/>
    </row>
    <row r="802" spans="7:7" ht="15.75" customHeight="1">
      <c r="G802" s="81"/>
    </row>
    <row r="803" spans="7:7" ht="15.75" customHeight="1">
      <c r="G803" s="81"/>
    </row>
    <row r="804" spans="7:7" ht="15.75" customHeight="1">
      <c r="G804" s="81"/>
    </row>
    <row r="805" spans="7:7" ht="15.75" customHeight="1">
      <c r="G805" s="81"/>
    </row>
    <row r="806" spans="7:7" ht="15.75" customHeight="1">
      <c r="G806" s="81"/>
    </row>
    <row r="807" spans="7:7" ht="15.75" customHeight="1">
      <c r="G807" s="81"/>
    </row>
    <row r="808" spans="7:7" ht="15.75" customHeight="1">
      <c r="G808" s="81"/>
    </row>
    <row r="809" spans="7:7" ht="15.75" customHeight="1">
      <c r="G809" s="81"/>
    </row>
    <row r="810" spans="7:7" ht="15.75" customHeight="1">
      <c r="G810" s="81"/>
    </row>
    <row r="811" spans="7:7" ht="15.75" customHeight="1">
      <c r="G811" s="81"/>
    </row>
    <row r="812" spans="7:7" ht="15.75" customHeight="1">
      <c r="G812" s="81"/>
    </row>
    <row r="813" spans="7:7" ht="15.75" customHeight="1">
      <c r="G813" s="81"/>
    </row>
    <row r="814" spans="7:7" ht="15.75" customHeight="1">
      <c r="G814" s="81"/>
    </row>
    <row r="815" spans="7:7" ht="15.75" customHeight="1">
      <c r="G815" s="81"/>
    </row>
    <row r="816" spans="7:7" ht="15.75" customHeight="1">
      <c r="G816" s="81"/>
    </row>
    <row r="817" spans="7:7" ht="15.75" customHeight="1">
      <c r="G817" s="81"/>
    </row>
    <row r="818" spans="7:7" ht="15.75" customHeight="1">
      <c r="G818" s="81"/>
    </row>
    <row r="819" spans="7:7" ht="15.75" customHeight="1">
      <c r="G819" s="81"/>
    </row>
    <row r="820" spans="7:7" ht="15.75" customHeight="1">
      <c r="G820" s="81"/>
    </row>
    <row r="821" spans="7:7" ht="15.75" customHeight="1">
      <c r="G821" s="81"/>
    </row>
    <row r="822" spans="7:7" ht="15.75" customHeight="1">
      <c r="G822" s="81"/>
    </row>
    <row r="823" spans="7:7" ht="15.75" customHeight="1">
      <c r="G823" s="81"/>
    </row>
    <row r="824" spans="7:7" ht="15.75" customHeight="1">
      <c r="G824" s="81"/>
    </row>
    <row r="825" spans="7:7" ht="15.75" customHeight="1">
      <c r="G825" s="81"/>
    </row>
    <row r="826" spans="7:7" ht="15.75" customHeight="1">
      <c r="G826" s="81"/>
    </row>
    <row r="827" spans="7:7" ht="15.75" customHeight="1">
      <c r="G827" s="81"/>
    </row>
    <row r="828" spans="7:7" ht="15.75" customHeight="1">
      <c r="G828" s="81"/>
    </row>
    <row r="829" spans="7:7" ht="15.75" customHeight="1">
      <c r="G829" s="81"/>
    </row>
    <row r="830" spans="7:7" ht="15.75" customHeight="1">
      <c r="G830" s="81"/>
    </row>
    <row r="831" spans="7:7" ht="15.75" customHeight="1">
      <c r="G831" s="81"/>
    </row>
    <row r="832" spans="7:7" ht="15.75" customHeight="1">
      <c r="G832" s="81"/>
    </row>
    <row r="833" spans="7:7" ht="15.75" customHeight="1">
      <c r="G833" s="81"/>
    </row>
    <row r="834" spans="7:7" ht="15.75" customHeight="1">
      <c r="G834" s="81"/>
    </row>
    <row r="835" spans="7:7" ht="15.75" customHeight="1">
      <c r="G835" s="81"/>
    </row>
    <row r="836" spans="7:7" ht="15.75" customHeight="1">
      <c r="G836" s="81"/>
    </row>
    <row r="837" spans="7:7" ht="15.75" customHeight="1">
      <c r="G837" s="81"/>
    </row>
    <row r="838" spans="7:7" ht="15.75" customHeight="1">
      <c r="G838" s="81"/>
    </row>
    <row r="839" spans="7:7" ht="15.75" customHeight="1">
      <c r="G839" s="81"/>
    </row>
    <row r="840" spans="7:7" ht="15.75" customHeight="1">
      <c r="G840" s="81"/>
    </row>
    <row r="841" spans="7:7" ht="15.75" customHeight="1">
      <c r="G841" s="81"/>
    </row>
    <row r="842" spans="7:7" ht="15.75" customHeight="1">
      <c r="G842" s="81"/>
    </row>
    <row r="843" spans="7:7" ht="15.75" customHeight="1">
      <c r="G843" s="81"/>
    </row>
    <row r="844" spans="7:7" ht="15.75" customHeight="1">
      <c r="G844" s="81"/>
    </row>
    <row r="845" spans="7:7" ht="15.75" customHeight="1">
      <c r="G845" s="81"/>
    </row>
    <row r="846" spans="7:7" ht="15.75" customHeight="1">
      <c r="G846" s="81"/>
    </row>
    <row r="847" spans="7:7" ht="15.75" customHeight="1">
      <c r="G847" s="81"/>
    </row>
    <row r="848" spans="7:7" ht="15.75" customHeight="1">
      <c r="G848" s="81"/>
    </row>
    <row r="849" spans="7:7" ht="15.75" customHeight="1">
      <c r="G849" s="81"/>
    </row>
    <row r="850" spans="7:7" ht="15.75" customHeight="1">
      <c r="G850" s="81"/>
    </row>
    <row r="851" spans="7:7" ht="15.75" customHeight="1">
      <c r="G851" s="81"/>
    </row>
    <row r="852" spans="7:7" ht="15.75" customHeight="1">
      <c r="G852" s="81"/>
    </row>
    <row r="853" spans="7:7" ht="15.75" customHeight="1">
      <c r="G853" s="81"/>
    </row>
    <row r="854" spans="7:7" ht="15.75" customHeight="1">
      <c r="G854" s="81"/>
    </row>
    <row r="855" spans="7:7" ht="15.75" customHeight="1">
      <c r="G855" s="81"/>
    </row>
    <row r="856" spans="7:7" ht="15.75" customHeight="1">
      <c r="G856" s="81"/>
    </row>
    <row r="857" spans="7:7" ht="15.75" customHeight="1">
      <c r="G857" s="81"/>
    </row>
    <row r="858" spans="7:7" ht="15.75" customHeight="1">
      <c r="G858" s="81"/>
    </row>
    <row r="859" spans="7:7" ht="15.75" customHeight="1">
      <c r="G859" s="81"/>
    </row>
    <row r="860" spans="7:7" ht="15.75" customHeight="1">
      <c r="G860" s="81"/>
    </row>
    <row r="861" spans="7:7" ht="15.75" customHeight="1">
      <c r="G861" s="81"/>
    </row>
    <row r="862" spans="7:7" ht="15.75" customHeight="1">
      <c r="G862" s="81"/>
    </row>
    <row r="863" spans="7:7" ht="15.75" customHeight="1">
      <c r="G863" s="81"/>
    </row>
    <row r="864" spans="7:7" ht="15.75" customHeight="1">
      <c r="G864" s="81"/>
    </row>
    <row r="865" spans="7:7" ht="15.75" customHeight="1">
      <c r="G865" s="81"/>
    </row>
    <row r="866" spans="7:7" ht="15.75" customHeight="1">
      <c r="G866" s="81"/>
    </row>
    <row r="867" spans="7:7" ht="15.75" customHeight="1">
      <c r="G867" s="81"/>
    </row>
    <row r="868" spans="7:7" ht="15.75" customHeight="1">
      <c r="G868" s="81"/>
    </row>
    <row r="869" spans="7:7" ht="15.75" customHeight="1">
      <c r="G869" s="81"/>
    </row>
    <row r="870" spans="7:7" ht="15.75" customHeight="1">
      <c r="G870" s="81"/>
    </row>
    <row r="871" spans="7:7" ht="15.75" customHeight="1">
      <c r="G871" s="81"/>
    </row>
    <row r="872" spans="7:7" ht="15.75" customHeight="1">
      <c r="G872" s="81"/>
    </row>
    <row r="873" spans="7:7" ht="15.75" customHeight="1">
      <c r="G873" s="81"/>
    </row>
    <row r="874" spans="7:7" ht="15.75" customHeight="1">
      <c r="G874" s="81"/>
    </row>
    <row r="875" spans="7:7" ht="15.75" customHeight="1">
      <c r="G875" s="81"/>
    </row>
    <row r="876" spans="7:7" ht="15.75" customHeight="1">
      <c r="G876" s="81"/>
    </row>
    <row r="877" spans="7:7" ht="15.75" customHeight="1">
      <c r="G877" s="81"/>
    </row>
    <row r="878" spans="7:7" ht="15.75" customHeight="1">
      <c r="G878" s="81"/>
    </row>
    <row r="879" spans="7:7" ht="15.75" customHeight="1">
      <c r="G879" s="81"/>
    </row>
    <row r="880" spans="7:7" ht="15.75" customHeight="1">
      <c r="G880" s="81"/>
    </row>
    <row r="881" spans="7:7" ht="15.75" customHeight="1">
      <c r="G881" s="81"/>
    </row>
    <row r="882" spans="7:7" ht="15.75" customHeight="1">
      <c r="G882" s="81"/>
    </row>
    <row r="883" spans="7:7" ht="15.75" customHeight="1">
      <c r="G883" s="81"/>
    </row>
    <row r="884" spans="7:7" ht="15.75" customHeight="1">
      <c r="G884" s="81"/>
    </row>
    <row r="885" spans="7:7" ht="15.75" customHeight="1">
      <c r="G885" s="81"/>
    </row>
    <row r="886" spans="7:7" ht="15.75" customHeight="1">
      <c r="G886" s="81"/>
    </row>
    <row r="887" spans="7:7" ht="15.75" customHeight="1">
      <c r="G887" s="81"/>
    </row>
    <row r="888" spans="7:7" ht="15.75" customHeight="1">
      <c r="G888" s="81"/>
    </row>
    <row r="889" spans="7:7" ht="15.75" customHeight="1">
      <c r="G889" s="81"/>
    </row>
    <row r="890" spans="7:7" ht="15.75" customHeight="1">
      <c r="G890" s="81"/>
    </row>
    <row r="891" spans="7:7" ht="15.75" customHeight="1">
      <c r="G891" s="81"/>
    </row>
    <row r="892" spans="7:7" ht="15.75" customHeight="1">
      <c r="G892" s="81"/>
    </row>
    <row r="893" spans="7:7" ht="15.75" customHeight="1">
      <c r="G893" s="81"/>
    </row>
    <row r="894" spans="7:7" ht="15.75" customHeight="1">
      <c r="G894" s="81"/>
    </row>
    <row r="895" spans="7:7" ht="15.75" customHeight="1">
      <c r="G895" s="81"/>
    </row>
    <row r="896" spans="7:7" ht="15.75" customHeight="1">
      <c r="G896" s="81"/>
    </row>
    <row r="897" spans="7:7" ht="15.75" customHeight="1">
      <c r="G897" s="81"/>
    </row>
    <row r="898" spans="7:7" ht="15.75" customHeight="1">
      <c r="G898" s="81"/>
    </row>
    <row r="899" spans="7:7" ht="15.75" customHeight="1">
      <c r="G899" s="81"/>
    </row>
    <row r="900" spans="7:7" ht="15.75" customHeight="1">
      <c r="G900" s="81"/>
    </row>
    <row r="901" spans="7:7" ht="15.75" customHeight="1">
      <c r="G901" s="81"/>
    </row>
    <row r="902" spans="7:7" ht="15.75" customHeight="1">
      <c r="G902" s="81"/>
    </row>
    <row r="903" spans="7:7" ht="15.75" customHeight="1">
      <c r="G903" s="81"/>
    </row>
    <row r="904" spans="7:7" ht="15.75" customHeight="1">
      <c r="G904" s="81"/>
    </row>
    <row r="905" spans="7:7" ht="15.75" customHeight="1">
      <c r="G905" s="81"/>
    </row>
    <row r="906" spans="7:7" ht="15.75" customHeight="1">
      <c r="G906" s="81"/>
    </row>
    <row r="907" spans="7:7" ht="15.75" customHeight="1">
      <c r="G907" s="81"/>
    </row>
    <row r="908" spans="7:7" ht="15.75" customHeight="1">
      <c r="G908" s="81"/>
    </row>
    <row r="909" spans="7:7" ht="15.75" customHeight="1">
      <c r="G909" s="81"/>
    </row>
    <row r="910" spans="7:7" ht="15.75" customHeight="1">
      <c r="G910" s="81"/>
    </row>
    <row r="911" spans="7:7" ht="15.75" customHeight="1">
      <c r="G911" s="81"/>
    </row>
    <row r="912" spans="7:7" ht="15.75" customHeight="1">
      <c r="G912" s="81"/>
    </row>
    <row r="913" spans="7:7" ht="15.75" customHeight="1">
      <c r="G913" s="81"/>
    </row>
    <row r="914" spans="7:7" ht="15.75" customHeight="1">
      <c r="G914" s="81"/>
    </row>
    <row r="915" spans="7:7" ht="15.75" customHeight="1">
      <c r="G915" s="81"/>
    </row>
    <row r="916" spans="7:7" ht="15.75" customHeight="1">
      <c r="G916" s="81"/>
    </row>
    <row r="917" spans="7:7" ht="15.75" customHeight="1">
      <c r="G917" s="81"/>
    </row>
    <row r="918" spans="7:7" ht="15.75" customHeight="1">
      <c r="G918" s="81"/>
    </row>
    <row r="919" spans="7:7" ht="15.75" customHeight="1">
      <c r="G919" s="81"/>
    </row>
    <row r="920" spans="7:7" ht="15.75" customHeight="1">
      <c r="G920" s="81"/>
    </row>
    <row r="921" spans="7:7" ht="15.75" customHeight="1">
      <c r="G921" s="81"/>
    </row>
    <row r="922" spans="7:7" ht="15.75" customHeight="1">
      <c r="G922" s="81"/>
    </row>
    <row r="923" spans="7:7" ht="15.75" customHeight="1">
      <c r="G923" s="81"/>
    </row>
    <row r="924" spans="7:7" ht="15.75" customHeight="1">
      <c r="G924" s="81"/>
    </row>
    <row r="925" spans="7:7" ht="15.75" customHeight="1">
      <c r="G925" s="81"/>
    </row>
    <row r="926" spans="7:7" ht="15.75" customHeight="1">
      <c r="G926" s="81"/>
    </row>
    <row r="927" spans="7:7" ht="15.75" customHeight="1">
      <c r="G927" s="81"/>
    </row>
    <row r="928" spans="7:7" ht="15.75" customHeight="1">
      <c r="G928" s="81"/>
    </row>
    <row r="929" spans="7:7" ht="15.75" customHeight="1">
      <c r="G929" s="81"/>
    </row>
    <row r="930" spans="7:7" ht="15.75" customHeight="1">
      <c r="G930" s="81"/>
    </row>
    <row r="931" spans="7:7" ht="15.75" customHeight="1">
      <c r="G931" s="81"/>
    </row>
    <row r="932" spans="7:7" ht="15.75" customHeight="1">
      <c r="G932" s="81"/>
    </row>
    <row r="933" spans="7:7" ht="15.75" customHeight="1">
      <c r="G933" s="81"/>
    </row>
    <row r="934" spans="7:7" ht="15.75" customHeight="1">
      <c r="G934" s="81"/>
    </row>
    <row r="935" spans="7:7" ht="15.75" customHeight="1">
      <c r="G935" s="81"/>
    </row>
    <row r="936" spans="7:7" ht="15.75" customHeight="1">
      <c r="G936" s="81"/>
    </row>
    <row r="937" spans="7:7" ht="15.75" customHeight="1">
      <c r="G937" s="81"/>
    </row>
    <row r="938" spans="7:7" ht="15.75" customHeight="1">
      <c r="G938" s="81"/>
    </row>
    <row r="939" spans="7:7" ht="15.75" customHeight="1">
      <c r="G939" s="81"/>
    </row>
    <row r="940" spans="7:7" ht="15.75" customHeight="1">
      <c r="G940" s="81"/>
    </row>
    <row r="941" spans="7:7" ht="15.75" customHeight="1">
      <c r="G941" s="81"/>
    </row>
    <row r="942" spans="7:7" ht="15.75" customHeight="1">
      <c r="G942" s="81"/>
    </row>
    <row r="943" spans="7:7" ht="15.75" customHeight="1">
      <c r="G943" s="81"/>
    </row>
    <row r="944" spans="7:7" ht="15.75" customHeight="1">
      <c r="G944" s="81"/>
    </row>
    <row r="945" spans="7:7" ht="15.75" customHeight="1">
      <c r="G945" s="81"/>
    </row>
    <row r="946" spans="7:7" ht="15.75" customHeight="1">
      <c r="G946" s="81"/>
    </row>
    <row r="947" spans="7:7" ht="15.75" customHeight="1">
      <c r="G947" s="81"/>
    </row>
    <row r="948" spans="7:7" ht="15.75" customHeight="1">
      <c r="G948" s="81"/>
    </row>
    <row r="949" spans="7:7" ht="15.75" customHeight="1">
      <c r="G949" s="81"/>
    </row>
    <row r="950" spans="7:7" ht="15.75" customHeight="1">
      <c r="G950" s="81"/>
    </row>
    <row r="951" spans="7:7" ht="15.75" customHeight="1">
      <c r="G951" s="81"/>
    </row>
    <row r="952" spans="7:7" ht="15.75" customHeight="1">
      <c r="G952" s="81"/>
    </row>
    <row r="953" spans="7:7" ht="15.75" customHeight="1">
      <c r="G953" s="81"/>
    </row>
    <row r="954" spans="7:7" ht="15.75" customHeight="1">
      <c r="G954" s="81"/>
    </row>
    <row r="955" spans="7:7" ht="15.75" customHeight="1">
      <c r="G955" s="81"/>
    </row>
    <row r="956" spans="7:7" ht="15.75" customHeight="1">
      <c r="G956" s="81"/>
    </row>
    <row r="957" spans="7:7" ht="15.75" customHeight="1">
      <c r="G957" s="81"/>
    </row>
    <row r="958" spans="7:7" ht="15.75" customHeight="1">
      <c r="G958" s="81"/>
    </row>
    <row r="959" spans="7:7" ht="15.75" customHeight="1">
      <c r="G959" s="81"/>
    </row>
    <row r="960" spans="7:7" ht="15.75" customHeight="1">
      <c r="G960" s="81"/>
    </row>
    <row r="961" spans="7:7" ht="15.75" customHeight="1">
      <c r="G961" s="81"/>
    </row>
    <row r="962" spans="7:7" ht="15.75" customHeight="1">
      <c r="G962" s="81"/>
    </row>
    <row r="963" spans="7:7" ht="15.75" customHeight="1">
      <c r="G963" s="81"/>
    </row>
    <row r="964" spans="7:7" ht="15.75" customHeight="1">
      <c r="G964" s="81"/>
    </row>
    <row r="965" spans="7:7" ht="15.75" customHeight="1">
      <c r="G965" s="81"/>
    </row>
    <row r="966" spans="7:7" ht="15.75" customHeight="1">
      <c r="G966" s="81"/>
    </row>
    <row r="967" spans="7:7" ht="15.75" customHeight="1">
      <c r="G967" s="81"/>
    </row>
    <row r="968" spans="7:7" ht="15.75" customHeight="1">
      <c r="G968" s="81"/>
    </row>
    <row r="969" spans="7:7" ht="15.75" customHeight="1">
      <c r="G969" s="81"/>
    </row>
    <row r="970" spans="7:7" ht="15.75" customHeight="1">
      <c r="G970" s="81"/>
    </row>
    <row r="971" spans="7:7" ht="15.75" customHeight="1">
      <c r="G971" s="81"/>
    </row>
    <row r="972" spans="7:7" ht="15.75" customHeight="1">
      <c r="G972" s="81"/>
    </row>
    <row r="973" spans="7:7" ht="15.75" customHeight="1">
      <c r="G973" s="81"/>
    </row>
    <row r="974" spans="7:7" ht="15.75" customHeight="1">
      <c r="G974" s="81"/>
    </row>
    <row r="975" spans="7:7" ht="15.75" customHeight="1">
      <c r="G975" s="81"/>
    </row>
    <row r="976" spans="7:7" ht="15.75" customHeight="1">
      <c r="G976" s="81"/>
    </row>
    <row r="977" spans="7:7" ht="15.75" customHeight="1">
      <c r="G977" s="81"/>
    </row>
    <row r="978" spans="7:7" ht="15.75" customHeight="1">
      <c r="G978" s="81"/>
    </row>
    <row r="979" spans="7:7" ht="15.75" customHeight="1">
      <c r="G979" s="81"/>
    </row>
    <row r="980" spans="7:7" ht="15.75" customHeight="1">
      <c r="G980" s="81"/>
    </row>
    <row r="981" spans="7:7" ht="15.75" customHeight="1">
      <c r="G981" s="81"/>
    </row>
    <row r="982" spans="7:7" ht="15.75" customHeight="1">
      <c r="G982" s="81"/>
    </row>
    <row r="983" spans="7:7" ht="15.75" customHeight="1">
      <c r="G983" s="81"/>
    </row>
    <row r="984" spans="7:7" ht="15.75" customHeight="1">
      <c r="G984" s="81"/>
    </row>
    <row r="985" spans="7:7" ht="15.75" customHeight="1">
      <c r="G985" s="81"/>
    </row>
    <row r="986" spans="7:7" ht="15.75" customHeight="1">
      <c r="G986" s="81"/>
    </row>
    <row r="987" spans="7:7" ht="15.75" customHeight="1">
      <c r="G987" s="81"/>
    </row>
    <row r="988" spans="7:7" ht="15.75" customHeight="1">
      <c r="G988" s="81"/>
    </row>
    <row r="989" spans="7:7" ht="15.75" customHeight="1">
      <c r="G989" s="81"/>
    </row>
    <row r="990" spans="7:7" ht="15.75" customHeight="1">
      <c r="G990" s="81"/>
    </row>
    <row r="991" spans="7:7" ht="15.75" customHeight="1">
      <c r="G991" s="81"/>
    </row>
    <row r="992" spans="7:7" ht="15.75" customHeight="1">
      <c r="G992" s="81"/>
    </row>
    <row r="993" spans="7:7" ht="15.75" customHeight="1">
      <c r="G993" s="81"/>
    </row>
    <row r="994" spans="7:7" ht="15.75" customHeight="1">
      <c r="G994" s="81"/>
    </row>
    <row r="995" spans="7:7" ht="15.75" customHeight="1">
      <c r="G995" s="81"/>
    </row>
    <row r="996" spans="7:7" ht="15.75" customHeight="1">
      <c r="G996" s="81"/>
    </row>
    <row r="997" spans="7:7" ht="15.75" customHeight="1">
      <c r="G997" s="81"/>
    </row>
    <row r="998" spans="7:7" ht="15.75" customHeight="1">
      <c r="G998" s="81"/>
    </row>
    <row r="999" spans="7:7" ht="15.75" customHeight="1">
      <c r="G999" s="81"/>
    </row>
    <row r="1000" spans="7:7" ht="15.75" customHeight="1">
      <c r="G1000" s="81"/>
    </row>
  </sheetData>
  <pageMargins left="0.511811024" right="0.511811024" top="0.78740157499999996" bottom="0.78740157499999996" header="0" footer="0"/>
  <pageSetup paperSize="9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M889"/>
  <sheetViews>
    <sheetView workbookViewId="0"/>
  </sheetViews>
  <sheetFormatPr defaultColWidth="14.42578125" defaultRowHeight="15" customHeight="1"/>
  <cols>
    <col min="1" max="1" width="8.7109375" customWidth="1"/>
    <col min="2" max="2" width="12.140625" customWidth="1"/>
    <col min="3" max="4" width="8.28515625" customWidth="1"/>
    <col min="5" max="5" width="25.5703125" customWidth="1"/>
    <col min="6" max="6" width="20.28515625" customWidth="1"/>
    <col min="7" max="7" width="14.28515625" customWidth="1"/>
    <col min="8" max="8" width="40.140625" customWidth="1"/>
    <col min="9" max="9" width="38.5703125" customWidth="1"/>
    <col min="10" max="10" width="21.7109375" customWidth="1"/>
    <col min="11" max="13" width="14.28515625" customWidth="1"/>
    <col min="14" max="33" width="8.7109375" customWidth="1"/>
  </cols>
  <sheetData>
    <row r="1" spans="1:13" ht="39.75" customHeight="1">
      <c r="A1" s="82" t="s">
        <v>18</v>
      </c>
      <c r="B1" s="83" t="s">
        <v>19</v>
      </c>
      <c r="C1" s="83" t="s">
        <v>20</v>
      </c>
      <c r="D1" s="83" t="s">
        <v>21</v>
      </c>
      <c r="E1" s="83" t="s">
        <v>22</v>
      </c>
      <c r="F1" s="83" t="s">
        <v>23</v>
      </c>
      <c r="G1" s="84" t="s">
        <v>24</v>
      </c>
      <c r="H1" s="84" t="s">
        <v>404</v>
      </c>
      <c r="I1" s="85" t="s">
        <v>405</v>
      </c>
      <c r="J1" s="86" t="s">
        <v>406</v>
      </c>
      <c r="K1" s="87">
        <f>SUMIF(I60:I843,"Hematologia", G60:G843)</f>
        <v>88043.08</v>
      </c>
      <c r="L1" s="85" t="s">
        <v>407</v>
      </c>
      <c r="M1" s="88">
        <f>SUBTOTAL(9,Abr!$G$2:$G$889)</f>
        <v>786969.58000000101</v>
      </c>
    </row>
    <row r="2" spans="1:13" hidden="1">
      <c r="A2" s="64"/>
      <c r="B2" s="11">
        <v>45747</v>
      </c>
      <c r="C2" s="12">
        <v>0</v>
      </c>
      <c r="D2" s="12">
        <v>0</v>
      </c>
      <c r="E2" s="13" t="s">
        <v>26</v>
      </c>
      <c r="F2" s="14"/>
      <c r="G2" s="15">
        <v>0</v>
      </c>
      <c r="H2" s="2"/>
      <c r="J2" s="86"/>
      <c r="K2" s="87"/>
    </row>
    <row r="3" spans="1:13" ht="28.5" hidden="1">
      <c r="A3" s="64"/>
      <c r="B3" s="17">
        <v>45748</v>
      </c>
      <c r="C3" s="18">
        <v>0</v>
      </c>
      <c r="D3" s="18">
        <v>14175</v>
      </c>
      <c r="E3" s="89" t="s">
        <v>62</v>
      </c>
      <c r="F3" s="20">
        <v>376064205</v>
      </c>
      <c r="G3" s="21">
        <v>1170</v>
      </c>
      <c r="H3" s="2"/>
      <c r="J3" s="86"/>
      <c r="K3" s="87"/>
    </row>
    <row r="4" spans="1:13" ht="42.75" hidden="1">
      <c r="A4" s="64"/>
      <c r="B4" s="23"/>
      <c r="C4" s="23"/>
      <c r="D4" s="23"/>
      <c r="E4" s="24" t="s">
        <v>97</v>
      </c>
      <c r="F4" s="24"/>
      <c r="G4" s="25">
        <v>0</v>
      </c>
      <c r="H4" s="2"/>
      <c r="J4" s="86"/>
      <c r="K4" s="87"/>
    </row>
    <row r="5" spans="1:13" hidden="1">
      <c r="A5" s="64"/>
      <c r="B5" s="11">
        <v>45748</v>
      </c>
      <c r="C5" s="12">
        <v>0</v>
      </c>
      <c r="D5" s="12">
        <v>14397</v>
      </c>
      <c r="E5" s="90" t="s">
        <v>57</v>
      </c>
      <c r="F5" s="27">
        <v>11508273488002</v>
      </c>
      <c r="G5" s="15">
        <v>6500</v>
      </c>
      <c r="H5" s="2"/>
      <c r="J5" s="86"/>
      <c r="K5" s="87"/>
    </row>
    <row r="6" spans="1:13" ht="42.75" hidden="1">
      <c r="A6" s="64"/>
      <c r="B6" s="29"/>
      <c r="C6" s="29"/>
      <c r="D6" s="29"/>
      <c r="E6" s="13" t="s">
        <v>408</v>
      </c>
      <c r="F6" s="13"/>
      <c r="G6" s="30">
        <v>0</v>
      </c>
      <c r="H6" s="2"/>
      <c r="J6" s="86"/>
      <c r="K6" s="87"/>
    </row>
    <row r="7" spans="1:13" hidden="1">
      <c r="A7" s="64"/>
      <c r="B7" s="17">
        <v>45748</v>
      </c>
      <c r="C7" s="18">
        <v>0</v>
      </c>
      <c r="D7" s="18">
        <v>14397</v>
      </c>
      <c r="E7" s="89" t="s">
        <v>57</v>
      </c>
      <c r="F7" s="20">
        <v>435338422459261</v>
      </c>
      <c r="G7" s="21">
        <v>299.82</v>
      </c>
      <c r="H7" s="2"/>
      <c r="J7" s="86"/>
      <c r="K7" s="87"/>
    </row>
    <row r="8" spans="1:13" ht="28.5" hidden="1">
      <c r="A8" s="64"/>
      <c r="B8" s="23"/>
      <c r="C8" s="23"/>
      <c r="D8" s="23"/>
      <c r="E8" s="24" t="s">
        <v>409</v>
      </c>
      <c r="F8" s="24"/>
      <c r="G8" s="25">
        <v>0</v>
      </c>
      <c r="H8" s="2"/>
      <c r="J8" s="86"/>
      <c r="K8" s="87"/>
    </row>
    <row r="9" spans="1:13" hidden="1">
      <c r="A9" s="64"/>
      <c r="B9" s="11">
        <v>45748</v>
      </c>
      <c r="C9" s="12">
        <v>0</v>
      </c>
      <c r="D9" s="12">
        <v>14397</v>
      </c>
      <c r="E9" s="90" t="s">
        <v>57</v>
      </c>
      <c r="F9" s="27">
        <v>435557650544891</v>
      </c>
      <c r="G9" s="15">
        <v>3200</v>
      </c>
      <c r="H9" s="2"/>
      <c r="J9" s="86"/>
      <c r="K9" s="87"/>
    </row>
    <row r="10" spans="1:13" ht="28.5" hidden="1">
      <c r="A10" s="64"/>
      <c r="B10" s="29"/>
      <c r="C10" s="29"/>
      <c r="D10" s="29"/>
      <c r="E10" s="13" t="s">
        <v>410</v>
      </c>
      <c r="F10" s="13"/>
      <c r="G10" s="30">
        <v>0</v>
      </c>
      <c r="H10" s="2"/>
      <c r="J10" s="86"/>
      <c r="K10" s="87"/>
    </row>
    <row r="11" spans="1:13" hidden="1">
      <c r="A11" s="64"/>
      <c r="B11" s="17">
        <v>45748</v>
      </c>
      <c r="C11" s="18">
        <v>0</v>
      </c>
      <c r="D11" s="18">
        <v>13105</v>
      </c>
      <c r="E11" s="89" t="s">
        <v>31</v>
      </c>
      <c r="F11" s="20">
        <v>40101</v>
      </c>
      <c r="G11" s="31">
        <v>233.6</v>
      </c>
      <c r="H11" s="2"/>
      <c r="J11" s="86"/>
      <c r="K11" s="87"/>
    </row>
    <row r="12" spans="1:13" hidden="1">
      <c r="A12" s="64"/>
      <c r="B12" s="23"/>
      <c r="C12" s="23"/>
      <c r="D12" s="23"/>
      <c r="E12" s="24" t="s">
        <v>51</v>
      </c>
      <c r="F12" s="24"/>
      <c r="G12" s="25">
        <v>0</v>
      </c>
      <c r="H12" s="2"/>
      <c r="J12" s="86"/>
      <c r="K12" s="87"/>
    </row>
    <row r="13" spans="1:13" hidden="1">
      <c r="A13" s="64"/>
      <c r="B13" s="11">
        <v>45748</v>
      </c>
      <c r="C13" s="12">
        <v>0</v>
      </c>
      <c r="D13" s="12">
        <v>13105</v>
      </c>
      <c r="E13" s="90" t="s">
        <v>31</v>
      </c>
      <c r="F13" s="27">
        <v>40102</v>
      </c>
      <c r="G13" s="28">
        <v>94.6</v>
      </c>
      <c r="H13" s="2"/>
      <c r="J13" s="86"/>
      <c r="K13" s="87"/>
    </row>
    <row r="14" spans="1:13" hidden="1">
      <c r="A14" s="64"/>
      <c r="B14" s="29"/>
      <c r="C14" s="29"/>
      <c r="D14" s="29"/>
      <c r="E14" s="13" t="s">
        <v>51</v>
      </c>
      <c r="F14" s="13"/>
      <c r="G14" s="30">
        <v>0</v>
      </c>
      <c r="H14" s="2"/>
      <c r="J14" s="86"/>
      <c r="K14" s="87"/>
    </row>
    <row r="15" spans="1:13" hidden="1">
      <c r="A15" s="64"/>
      <c r="B15" s="17">
        <v>45748</v>
      </c>
      <c r="C15" s="18">
        <v>0</v>
      </c>
      <c r="D15" s="18">
        <v>13105</v>
      </c>
      <c r="E15" s="89" t="s">
        <v>31</v>
      </c>
      <c r="F15" s="20">
        <v>40103</v>
      </c>
      <c r="G15" s="31">
        <v>816.83</v>
      </c>
      <c r="H15" s="2"/>
      <c r="J15" s="86"/>
      <c r="K15" s="87"/>
    </row>
    <row r="16" spans="1:13" ht="28.5" hidden="1">
      <c r="A16" s="64"/>
      <c r="B16" s="23"/>
      <c r="C16" s="23"/>
      <c r="D16" s="23"/>
      <c r="E16" s="24" t="s">
        <v>188</v>
      </c>
      <c r="F16" s="24"/>
      <c r="G16" s="25">
        <v>0</v>
      </c>
      <c r="H16" s="2"/>
      <c r="J16" s="86"/>
      <c r="K16" s="87"/>
    </row>
    <row r="17" spans="1:11" hidden="1">
      <c r="A17" s="64"/>
      <c r="B17" s="11">
        <v>45748</v>
      </c>
      <c r="C17" s="12">
        <v>0</v>
      </c>
      <c r="D17" s="12">
        <v>13105</v>
      </c>
      <c r="E17" s="90" t="s">
        <v>80</v>
      </c>
      <c r="F17" s="27">
        <v>40104</v>
      </c>
      <c r="G17" s="28">
        <v>1749.69</v>
      </c>
      <c r="H17" s="2"/>
      <c r="J17" s="86"/>
      <c r="K17" s="87"/>
    </row>
    <row r="18" spans="1:11" hidden="1">
      <c r="A18" s="64"/>
      <c r="B18" s="29"/>
      <c r="C18" s="29"/>
      <c r="D18" s="29"/>
      <c r="E18" s="13" t="s">
        <v>81</v>
      </c>
      <c r="F18" s="13"/>
      <c r="G18" s="30">
        <v>0</v>
      </c>
      <c r="H18" s="2"/>
      <c r="J18" s="86"/>
      <c r="K18" s="87"/>
    </row>
    <row r="19" spans="1:11" hidden="1">
      <c r="A19" s="64"/>
      <c r="B19" s="17">
        <v>45748</v>
      </c>
      <c r="C19" s="18">
        <v>0</v>
      </c>
      <c r="D19" s="18">
        <v>13105</v>
      </c>
      <c r="E19" s="89" t="s">
        <v>80</v>
      </c>
      <c r="F19" s="20">
        <v>40105</v>
      </c>
      <c r="G19" s="31">
        <v>927.23</v>
      </c>
      <c r="H19" s="2"/>
      <c r="J19" s="86"/>
      <c r="K19" s="87"/>
    </row>
    <row r="20" spans="1:11" hidden="1">
      <c r="A20" s="64"/>
      <c r="B20" s="23"/>
      <c r="C20" s="23"/>
      <c r="D20" s="23"/>
      <c r="E20" s="24" t="s">
        <v>81</v>
      </c>
      <c r="F20" s="24"/>
      <c r="G20" s="25">
        <v>0</v>
      </c>
      <c r="H20" s="2"/>
      <c r="J20" s="86"/>
      <c r="K20" s="87"/>
    </row>
    <row r="21" spans="1:11" ht="15.75" hidden="1" customHeight="1">
      <c r="A21" s="64"/>
      <c r="B21" s="11">
        <v>45748</v>
      </c>
      <c r="C21" s="12">
        <v>0</v>
      </c>
      <c r="D21" s="12">
        <v>13105</v>
      </c>
      <c r="E21" s="90" t="s">
        <v>31</v>
      </c>
      <c r="F21" s="27">
        <v>40106</v>
      </c>
      <c r="G21" s="28">
        <v>3802.32</v>
      </c>
      <c r="H21" s="2"/>
      <c r="J21" s="86"/>
      <c r="K21" s="87"/>
    </row>
    <row r="22" spans="1:11" ht="15.75" hidden="1" customHeight="1">
      <c r="A22" s="64"/>
      <c r="B22" s="29"/>
      <c r="C22" s="29"/>
      <c r="D22" s="29"/>
      <c r="E22" s="13" t="s">
        <v>139</v>
      </c>
      <c r="F22" s="13"/>
      <c r="G22" s="30">
        <v>0</v>
      </c>
      <c r="H22" s="2"/>
      <c r="J22" s="86"/>
      <c r="K22" s="87"/>
    </row>
    <row r="23" spans="1:11" ht="15.75" hidden="1" customHeight="1">
      <c r="A23" s="64"/>
      <c r="B23" s="17">
        <v>45748</v>
      </c>
      <c r="C23" s="18">
        <v>0</v>
      </c>
      <c r="D23" s="18">
        <v>13105</v>
      </c>
      <c r="E23" s="89" t="s">
        <v>31</v>
      </c>
      <c r="F23" s="20">
        <v>40107</v>
      </c>
      <c r="G23" s="31">
        <v>49.9</v>
      </c>
      <c r="H23" s="2"/>
      <c r="J23" s="86"/>
      <c r="K23" s="87"/>
    </row>
    <row r="24" spans="1:11" ht="15.75" hidden="1" customHeight="1">
      <c r="A24" s="64"/>
      <c r="B24" s="23"/>
      <c r="C24" s="23"/>
      <c r="D24" s="23"/>
      <c r="E24" s="24" t="s">
        <v>43</v>
      </c>
      <c r="F24" s="24"/>
      <c r="G24" s="25">
        <v>0</v>
      </c>
      <c r="H24" s="2"/>
      <c r="J24" s="86"/>
      <c r="K24" s="87"/>
    </row>
    <row r="25" spans="1:11" ht="15.75" hidden="1" customHeight="1">
      <c r="A25" s="64"/>
      <c r="B25" s="11">
        <v>45748</v>
      </c>
      <c r="C25" s="12">
        <v>0</v>
      </c>
      <c r="D25" s="12">
        <v>0</v>
      </c>
      <c r="E25" s="90" t="s">
        <v>59</v>
      </c>
      <c r="F25" s="27">
        <v>9903</v>
      </c>
      <c r="G25" s="28">
        <v>3495.65</v>
      </c>
      <c r="H25" s="2"/>
      <c r="J25" s="86"/>
      <c r="K25" s="87"/>
    </row>
    <row r="26" spans="1:11" ht="15.75" hidden="1" customHeight="1">
      <c r="A26" s="64"/>
      <c r="B26" s="29"/>
      <c r="C26" s="29"/>
      <c r="D26" s="29"/>
      <c r="E26" s="13" t="s">
        <v>53</v>
      </c>
      <c r="F26" s="13"/>
      <c r="G26" s="30">
        <v>0</v>
      </c>
      <c r="H26" s="2"/>
      <c r="J26" s="86"/>
      <c r="K26" s="87"/>
    </row>
    <row r="27" spans="1:11" ht="23.25" hidden="1" customHeight="1">
      <c r="A27" s="64"/>
      <c r="B27" s="17">
        <v>45749</v>
      </c>
      <c r="C27" s="18">
        <v>2084</v>
      </c>
      <c r="D27" s="18">
        <v>99021</v>
      </c>
      <c r="E27" s="89" t="s">
        <v>27</v>
      </c>
      <c r="F27" s="20">
        <v>612084000112119</v>
      </c>
      <c r="G27" s="21">
        <v>1250</v>
      </c>
      <c r="H27" s="2"/>
      <c r="J27" s="86"/>
      <c r="K27" s="87"/>
    </row>
    <row r="28" spans="1:11" ht="15.75" hidden="1" customHeight="1">
      <c r="A28" s="64"/>
      <c r="B28" s="11">
        <v>45749</v>
      </c>
      <c r="C28" s="12">
        <v>0</v>
      </c>
      <c r="D28" s="12">
        <v>14175</v>
      </c>
      <c r="E28" s="90" t="s">
        <v>62</v>
      </c>
      <c r="F28" s="27">
        <v>376225160</v>
      </c>
      <c r="G28" s="15">
        <v>1000</v>
      </c>
      <c r="H28" s="2"/>
      <c r="J28" s="86"/>
      <c r="K28" s="87"/>
    </row>
    <row r="29" spans="1:11" ht="15.75" hidden="1" customHeight="1">
      <c r="A29" s="64"/>
      <c r="B29" s="29"/>
      <c r="C29" s="29"/>
      <c r="D29" s="29"/>
      <c r="E29" s="13" t="s">
        <v>97</v>
      </c>
      <c r="F29" s="13"/>
      <c r="G29" s="30">
        <v>0</v>
      </c>
      <c r="H29" s="2"/>
      <c r="J29" s="86"/>
      <c r="K29" s="87"/>
    </row>
    <row r="30" spans="1:11" ht="18" hidden="1" customHeight="1">
      <c r="A30" s="64"/>
      <c r="B30" s="17">
        <v>45749</v>
      </c>
      <c r="C30" s="18">
        <v>0</v>
      </c>
      <c r="D30" s="18">
        <v>14397</v>
      </c>
      <c r="E30" s="89" t="s">
        <v>57</v>
      </c>
      <c r="F30" s="20">
        <v>21004434335392</v>
      </c>
      <c r="G30" s="21">
        <v>1124.3499999999999</v>
      </c>
      <c r="H30" s="2"/>
      <c r="J30" s="86"/>
      <c r="K30" s="87"/>
    </row>
    <row r="31" spans="1:11" ht="15.75" hidden="1" customHeight="1">
      <c r="A31" s="64"/>
      <c r="B31" s="23"/>
      <c r="C31" s="23"/>
      <c r="D31" s="23"/>
      <c r="E31" s="24" t="s">
        <v>411</v>
      </c>
      <c r="F31" s="24"/>
      <c r="G31" s="25">
        <v>0</v>
      </c>
      <c r="H31" s="2"/>
      <c r="J31" s="86"/>
      <c r="K31" s="87"/>
    </row>
    <row r="32" spans="1:11" ht="17.25" hidden="1" customHeight="1">
      <c r="A32" s="64"/>
      <c r="B32" s="11">
        <v>45749</v>
      </c>
      <c r="C32" s="12">
        <v>0</v>
      </c>
      <c r="D32" s="12">
        <v>14397</v>
      </c>
      <c r="E32" s="90" t="s">
        <v>57</v>
      </c>
      <c r="F32" s="27">
        <v>21540276072622</v>
      </c>
      <c r="G32" s="15">
        <v>587.39</v>
      </c>
      <c r="H32" s="2"/>
      <c r="J32" s="86"/>
      <c r="K32" s="87"/>
    </row>
    <row r="33" spans="1:11" ht="15.75" hidden="1" customHeight="1">
      <c r="A33" s="64"/>
      <c r="B33" s="29"/>
      <c r="C33" s="29"/>
      <c r="D33" s="29"/>
      <c r="E33" s="13" t="s">
        <v>412</v>
      </c>
      <c r="F33" s="13"/>
      <c r="G33" s="30">
        <v>0</v>
      </c>
      <c r="H33" s="2"/>
      <c r="J33" s="86"/>
      <c r="K33" s="87"/>
    </row>
    <row r="34" spans="1:11" ht="15.75" hidden="1" customHeight="1">
      <c r="A34" s="64"/>
      <c r="B34" s="17">
        <v>45749</v>
      </c>
      <c r="C34" s="18">
        <v>0</v>
      </c>
      <c r="D34" s="18">
        <v>14397</v>
      </c>
      <c r="E34" s="89" t="s">
        <v>57</v>
      </c>
      <c r="F34" s="20">
        <v>435913651776191</v>
      </c>
      <c r="G34" s="21">
        <v>300</v>
      </c>
      <c r="H34" s="2"/>
      <c r="J34" s="86"/>
      <c r="K34" s="87"/>
    </row>
    <row r="35" spans="1:11" ht="15.75" hidden="1" customHeight="1">
      <c r="A35" s="64"/>
      <c r="B35" s="23"/>
      <c r="C35" s="23"/>
      <c r="D35" s="23"/>
      <c r="E35" s="24" t="s">
        <v>413</v>
      </c>
      <c r="F35" s="24"/>
      <c r="G35" s="25">
        <v>0</v>
      </c>
      <c r="H35" s="2"/>
      <c r="J35" s="86"/>
      <c r="K35" s="87"/>
    </row>
    <row r="36" spans="1:11" ht="17.25" hidden="1" customHeight="1">
      <c r="A36" s="64"/>
      <c r="B36" s="11">
        <v>45749</v>
      </c>
      <c r="C36" s="12">
        <v>0</v>
      </c>
      <c r="D36" s="12">
        <v>14397</v>
      </c>
      <c r="E36" s="90" t="s">
        <v>57</v>
      </c>
      <c r="F36" s="27">
        <v>436279502192591</v>
      </c>
      <c r="G36" s="15">
        <v>3000</v>
      </c>
      <c r="H36" s="2"/>
      <c r="J36" s="86"/>
      <c r="K36" s="87"/>
    </row>
    <row r="37" spans="1:11" ht="15.75" hidden="1" customHeight="1">
      <c r="A37" s="64"/>
      <c r="B37" s="29"/>
      <c r="C37" s="29"/>
      <c r="D37" s="29"/>
      <c r="E37" s="13" t="s">
        <v>414</v>
      </c>
      <c r="F37" s="13"/>
      <c r="G37" s="30">
        <v>0</v>
      </c>
      <c r="H37" s="2"/>
      <c r="J37" s="86"/>
      <c r="K37" s="87"/>
    </row>
    <row r="38" spans="1:11" ht="15.75" hidden="1" customHeight="1">
      <c r="A38" s="64"/>
      <c r="B38" s="17">
        <v>45749</v>
      </c>
      <c r="C38" s="18">
        <v>1533</v>
      </c>
      <c r="D38" s="18">
        <v>99008</v>
      </c>
      <c r="E38" s="89" t="s">
        <v>29</v>
      </c>
      <c r="F38" s="20">
        <v>220617</v>
      </c>
      <c r="G38" s="31">
        <v>216.61</v>
      </c>
      <c r="H38" s="2"/>
      <c r="J38" s="86"/>
      <c r="K38" s="87"/>
    </row>
    <row r="39" spans="1:11" ht="15.75" hidden="1" customHeight="1">
      <c r="A39" s="64"/>
      <c r="B39" s="23"/>
      <c r="C39" s="23"/>
      <c r="D39" s="23"/>
      <c r="E39" s="24" t="s">
        <v>415</v>
      </c>
      <c r="F39" s="24"/>
      <c r="G39" s="25">
        <v>0</v>
      </c>
      <c r="H39" s="2"/>
      <c r="J39" s="86"/>
      <c r="K39" s="87"/>
    </row>
    <row r="40" spans="1:11" ht="15.75" hidden="1" customHeight="1">
      <c r="A40" s="64"/>
      <c r="B40" s="11">
        <v>45749</v>
      </c>
      <c r="C40" s="12">
        <v>1533</v>
      </c>
      <c r="D40" s="12">
        <v>99008</v>
      </c>
      <c r="E40" s="90" t="s">
        <v>29</v>
      </c>
      <c r="F40" s="27">
        <v>965773</v>
      </c>
      <c r="G40" s="28">
        <v>120</v>
      </c>
      <c r="H40" s="2"/>
      <c r="J40" s="86"/>
      <c r="K40" s="87"/>
    </row>
    <row r="41" spans="1:11" ht="15.75" hidden="1" customHeight="1">
      <c r="A41" s="64"/>
      <c r="B41" s="29"/>
      <c r="C41" s="29"/>
      <c r="D41" s="29"/>
      <c r="E41" s="13" t="s">
        <v>416</v>
      </c>
      <c r="F41" s="13"/>
      <c r="G41" s="30">
        <v>0</v>
      </c>
      <c r="H41" s="2"/>
      <c r="J41" s="86"/>
      <c r="K41" s="87"/>
    </row>
    <row r="42" spans="1:11" ht="15.75" hidden="1" customHeight="1">
      <c r="A42" s="64"/>
      <c r="B42" s="17">
        <v>45749</v>
      </c>
      <c r="C42" s="18">
        <v>0</v>
      </c>
      <c r="D42" s="18">
        <v>13105</v>
      </c>
      <c r="E42" s="89" t="s">
        <v>31</v>
      </c>
      <c r="F42" s="20">
        <v>40201</v>
      </c>
      <c r="G42" s="31">
        <v>3544.18</v>
      </c>
      <c r="H42" s="2"/>
      <c r="J42" s="86"/>
      <c r="K42" s="87"/>
    </row>
    <row r="43" spans="1:11" ht="15.75" hidden="1" customHeight="1">
      <c r="A43" s="64"/>
      <c r="B43" s="23"/>
      <c r="C43" s="23"/>
      <c r="D43" s="23"/>
      <c r="E43" s="24" t="s">
        <v>65</v>
      </c>
      <c r="F43" s="24"/>
      <c r="G43" s="25">
        <v>0</v>
      </c>
      <c r="H43" s="2"/>
      <c r="J43" s="86"/>
      <c r="K43" s="87"/>
    </row>
    <row r="44" spans="1:11" ht="15.75" hidden="1" customHeight="1">
      <c r="A44" s="64"/>
      <c r="B44" s="11">
        <v>45749</v>
      </c>
      <c r="C44" s="12">
        <v>0</v>
      </c>
      <c r="D44" s="12">
        <v>13105</v>
      </c>
      <c r="E44" s="90" t="s">
        <v>31</v>
      </c>
      <c r="F44" s="27">
        <v>40202</v>
      </c>
      <c r="G44" s="28">
        <v>562.77</v>
      </c>
      <c r="H44" s="2"/>
      <c r="J44" s="86"/>
      <c r="K44" s="87"/>
    </row>
    <row r="45" spans="1:11" ht="15.75" hidden="1" customHeight="1">
      <c r="A45" s="64"/>
      <c r="B45" s="29"/>
      <c r="C45" s="29"/>
      <c r="D45" s="29"/>
      <c r="E45" s="13" t="s">
        <v>44</v>
      </c>
      <c r="F45" s="13"/>
      <c r="G45" s="30">
        <v>0</v>
      </c>
      <c r="H45" s="2"/>
      <c r="J45" s="86"/>
      <c r="K45" s="87"/>
    </row>
    <row r="46" spans="1:11" ht="15.75" hidden="1" customHeight="1">
      <c r="A46" s="64"/>
      <c r="B46" s="17">
        <v>45749</v>
      </c>
      <c r="C46" s="18">
        <v>0</v>
      </c>
      <c r="D46" s="18">
        <v>13105</v>
      </c>
      <c r="E46" s="89" t="s">
        <v>31</v>
      </c>
      <c r="F46" s="20">
        <v>40203</v>
      </c>
      <c r="G46" s="31">
        <v>559.88</v>
      </c>
      <c r="H46" s="2"/>
      <c r="J46" s="86"/>
      <c r="K46" s="87"/>
    </row>
    <row r="47" spans="1:11" ht="15.75" hidden="1" customHeight="1">
      <c r="A47" s="64"/>
      <c r="B47" s="23"/>
      <c r="C47" s="23"/>
      <c r="D47" s="23"/>
      <c r="E47" s="24" t="s">
        <v>78</v>
      </c>
      <c r="F47" s="24"/>
      <c r="G47" s="25">
        <v>0</v>
      </c>
      <c r="H47" s="2"/>
      <c r="J47" s="86"/>
      <c r="K47" s="87"/>
    </row>
    <row r="48" spans="1:11" ht="15.75" hidden="1" customHeight="1">
      <c r="A48" s="64"/>
      <c r="B48" s="11">
        <v>45749</v>
      </c>
      <c r="C48" s="12">
        <v>0</v>
      </c>
      <c r="D48" s="12">
        <v>13105</v>
      </c>
      <c r="E48" s="90" t="s">
        <v>31</v>
      </c>
      <c r="F48" s="27">
        <v>40204</v>
      </c>
      <c r="G48" s="28">
        <v>396.6</v>
      </c>
      <c r="H48" s="2"/>
      <c r="J48" s="86"/>
      <c r="K48" s="87"/>
    </row>
    <row r="49" spans="1:13" ht="15.75" hidden="1" customHeight="1">
      <c r="A49" s="64"/>
      <c r="B49" s="29"/>
      <c r="C49" s="29"/>
      <c r="D49" s="29"/>
      <c r="E49" s="13" t="s">
        <v>231</v>
      </c>
      <c r="F49" s="13"/>
      <c r="G49" s="30">
        <v>0</v>
      </c>
      <c r="H49" s="2"/>
      <c r="J49" s="86"/>
      <c r="K49" s="87"/>
    </row>
    <row r="50" spans="1:13" ht="15.75" hidden="1" customHeight="1">
      <c r="A50" s="64"/>
      <c r="B50" s="17">
        <v>45749</v>
      </c>
      <c r="C50" s="18">
        <v>0</v>
      </c>
      <c r="D50" s="18">
        <v>13105</v>
      </c>
      <c r="E50" s="89" t="s">
        <v>31</v>
      </c>
      <c r="F50" s="20">
        <v>40205</v>
      </c>
      <c r="G50" s="31">
        <v>91.61</v>
      </c>
      <c r="H50" s="2"/>
      <c r="J50" s="86"/>
      <c r="K50" s="87"/>
    </row>
    <row r="51" spans="1:13" ht="15.75" hidden="1" customHeight="1">
      <c r="A51" s="64"/>
      <c r="B51" s="23"/>
      <c r="C51" s="23"/>
      <c r="D51" s="23"/>
      <c r="E51" s="24" t="s">
        <v>56</v>
      </c>
      <c r="F51" s="24"/>
      <c r="G51" s="25">
        <v>0</v>
      </c>
      <c r="H51" s="2"/>
      <c r="J51" s="86"/>
      <c r="K51" s="87"/>
    </row>
    <row r="52" spans="1:13" ht="15.75" hidden="1" customHeight="1">
      <c r="A52" s="64"/>
      <c r="B52" s="11">
        <v>45749</v>
      </c>
      <c r="C52" s="12">
        <v>0</v>
      </c>
      <c r="D52" s="12">
        <v>13105</v>
      </c>
      <c r="E52" s="90" t="s">
        <v>31</v>
      </c>
      <c r="F52" s="27">
        <v>40206</v>
      </c>
      <c r="G52" s="28">
        <v>108.78</v>
      </c>
      <c r="H52" s="2"/>
      <c r="J52" s="86"/>
      <c r="K52" s="87"/>
    </row>
    <row r="53" spans="1:13" ht="44.25" hidden="1" customHeight="1">
      <c r="A53" s="64"/>
      <c r="B53" s="29"/>
      <c r="C53" s="29"/>
      <c r="D53" s="29"/>
      <c r="E53" s="13" t="s">
        <v>56</v>
      </c>
      <c r="F53" s="13"/>
      <c r="G53" s="30">
        <v>0</v>
      </c>
      <c r="H53" s="2"/>
      <c r="J53" s="86"/>
      <c r="K53" s="87"/>
    </row>
    <row r="54" spans="1:13" ht="53.25" hidden="1" customHeight="1">
      <c r="A54" s="64"/>
      <c r="B54" s="17">
        <v>45749</v>
      </c>
      <c r="C54" s="18">
        <v>0</v>
      </c>
      <c r="D54" s="18">
        <v>0</v>
      </c>
      <c r="E54" s="89" t="s">
        <v>59</v>
      </c>
      <c r="F54" s="20">
        <v>9903</v>
      </c>
      <c r="G54" s="31">
        <v>1661.31</v>
      </c>
      <c r="H54" s="2"/>
      <c r="J54" s="86"/>
      <c r="K54" s="87"/>
    </row>
    <row r="55" spans="1:13" ht="51.75" hidden="1" customHeight="1">
      <c r="A55" s="64"/>
      <c r="B55" s="23"/>
      <c r="C55" s="23"/>
      <c r="D55" s="23"/>
      <c r="E55" s="24" t="s">
        <v>53</v>
      </c>
      <c r="F55" s="24"/>
      <c r="G55" s="25">
        <v>0</v>
      </c>
      <c r="H55" s="2"/>
      <c r="J55" s="86"/>
      <c r="K55" s="87"/>
    </row>
    <row r="56" spans="1:13" ht="15.75" hidden="1" customHeight="1">
      <c r="A56" s="64"/>
      <c r="B56" s="11">
        <v>45750</v>
      </c>
      <c r="C56" s="12">
        <v>2035</v>
      </c>
      <c r="D56" s="12">
        <v>99015</v>
      </c>
      <c r="E56" s="90" t="s">
        <v>27</v>
      </c>
      <c r="F56" s="27">
        <v>552035000900025</v>
      </c>
      <c r="G56" s="15">
        <v>7775.52</v>
      </c>
      <c r="H56" s="2"/>
      <c r="J56" s="86"/>
      <c r="K56" s="87"/>
    </row>
    <row r="57" spans="1:13" ht="15.75" hidden="1" customHeight="1">
      <c r="A57" s="64"/>
      <c r="B57" s="29"/>
      <c r="C57" s="29"/>
      <c r="D57" s="29"/>
      <c r="E57" s="13" t="s">
        <v>417</v>
      </c>
      <c r="F57" s="13"/>
      <c r="G57" s="30">
        <v>0</v>
      </c>
      <c r="H57" s="2"/>
      <c r="J57" s="86"/>
      <c r="K57" s="87"/>
    </row>
    <row r="58" spans="1:13" ht="15.75" hidden="1" customHeight="1">
      <c r="A58" s="64"/>
      <c r="B58" s="17">
        <v>45750</v>
      </c>
      <c r="C58" s="18">
        <v>984</v>
      </c>
      <c r="D58" s="18">
        <v>99021</v>
      </c>
      <c r="E58" s="89" t="s">
        <v>27</v>
      </c>
      <c r="F58" s="20">
        <v>610984000009994</v>
      </c>
      <c r="G58" s="21">
        <v>187.18</v>
      </c>
      <c r="H58" s="2"/>
      <c r="J58" s="86"/>
      <c r="K58" s="87"/>
    </row>
    <row r="59" spans="1:13" ht="78" hidden="1" customHeight="1">
      <c r="A59" s="64"/>
      <c r="B59" s="23"/>
      <c r="C59" s="23"/>
      <c r="D59" s="23"/>
      <c r="E59" s="24" t="s">
        <v>418</v>
      </c>
      <c r="F59" s="24"/>
      <c r="G59" s="25">
        <v>0</v>
      </c>
      <c r="H59" s="2"/>
      <c r="J59" s="86"/>
      <c r="K59" s="87"/>
    </row>
    <row r="60" spans="1:13" ht="15.75" customHeight="1">
      <c r="A60" s="33" t="s">
        <v>140</v>
      </c>
      <c r="B60" s="34">
        <v>45750</v>
      </c>
      <c r="C60" s="35">
        <v>0</v>
      </c>
      <c r="D60" s="35">
        <v>14138</v>
      </c>
      <c r="E60" s="91" t="s">
        <v>141</v>
      </c>
      <c r="F60" s="69">
        <v>202504020000023</v>
      </c>
      <c r="G60" s="70">
        <v>238</v>
      </c>
      <c r="H60" s="2">
        <v>2770</v>
      </c>
      <c r="I60" s="64" t="s">
        <v>419</v>
      </c>
      <c r="J60" s="86" t="s">
        <v>420</v>
      </c>
      <c r="K60" s="87">
        <f t="shared" ref="K60:K61" si="0">SUMIF(I60:I843,"Coagulação",G60:G843)</f>
        <v>10125.279999999999</v>
      </c>
      <c r="L60" s="79" t="s">
        <v>140</v>
      </c>
      <c r="M60" s="81">
        <f>SUMIF(A:A,"Baixado",G:G)</f>
        <v>124914.99</v>
      </c>
    </row>
    <row r="61" spans="1:13" ht="15.75" hidden="1" customHeight="1">
      <c r="A61" s="64"/>
      <c r="B61" s="29"/>
      <c r="C61" s="29"/>
      <c r="D61" s="29"/>
      <c r="E61" s="13" t="s">
        <v>143</v>
      </c>
      <c r="F61" s="13"/>
      <c r="G61" s="30">
        <v>0</v>
      </c>
      <c r="H61" s="2"/>
      <c r="J61" s="86"/>
      <c r="K61" s="87">
        <f t="shared" si="0"/>
        <v>9887.2799999999988</v>
      </c>
    </row>
    <row r="62" spans="1:13" ht="15.75" customHeight="1">
      <c r="A62" s="33" t="s">
        <v>140</v>
      </c>
      <c r="B62" s="41">
        <v>45750</v>
      </c>
      <c r="C62" s="42">
        <v>0</v>
      </c>
      <c r="D62" s="42">
        <v>14138</v>
      </c>
      <c r="E62" s="92" t="s">
        <v>141</v>
      </c>
      <c r="F62" s="74">
        <v>202504020000026</v>
      </c>
      <c r="G62" s="75">
        <v>238</v>
      </c>
      <c r="H62" s="2">
        <v>3003</v>
      </c>
      <c r="I62" s="64" t="s">
        <v>421</v>
      </c>
      <c r="J62" s="86" t="s">
        <v>422</v>
      </c>
      <c r="K62" s="87">
        <f t="shared" ref="K62:K63" si="1">SUMIF(I62:I845,"TT/TTPA",G62:G845)</f>
        <v>4462.09</v>
      </c>
      <c r="L62" s="79" t="s">
        <v>423</v>
      </c>
      <c r="M62" s="81">
        <f>SUMIF(A:A,"Pendente",G:G)</f>
        <v>20067.32</v>
      </c>
    </row>
    <row r="63" spans="1:13" ht="15.75" hidden="1" customHeight="1">
      <c r="A63" s="64"/>
      <c r="B63" s="23"/>
      <c r="C63" s="23"/>
      <c r="D63" s="23"/>
      <c r="E63" s="24" t="s">
        <v>143</v>
      </c>
      <c r="F63" s="24"/>
      <c r="G63" s="25">
        <v>0</v>
      </c>
      <c r="H63" s="2"/>
      <c r="J63" s="86"/>
      <c r="K63" s="87">
        <f t="shared" si="1"/>
        <v>4462.09</v>
      </c>
    </row>
    <row r="64" spans="1:13" ht="15.75" customHeight="1">
      <c r="A64" s="33" t="s">
        <v>140</v>
      </c>
      <c r="B64" s="34">
        <v>45750</v>
      </c>
      <c r="C64" s="35">
        <v>0</v>
      </c>
      <c r="D64" s="35">
        <v>14138</v>
      </c>
      <c r="E64" s="91" t="s">
        <v>141</v>
      </c>
      <c r="F64" s="69">
        <v>202504020000027</v>
      </c>
      <c r="G64" s="70">
        <v>238</v>
      </c>
      <c r="H64" s="2">
        <v>3001</v>
      </c>
      <c r="I64" s="64" t="s">
        <v>419</v>
      </c>
      <c r="J64" s="86" t="s">
        <v>424</v>
      </c>
      <c r="K64" s="87">
        <f>SUMIF(I64:I847,"Ionograma",G64:G847)</f>
        <v>0</v>
      </c>
    </row>
    <row r="65" spans="1:11" ht="15.75" hidden="1" customHeight="1">
      <c r="A65" s="64"/>
      <c r="B65" s="29"/>
      <c r="C65" s="29"/>
      <c r="D65" s="29"/>
      <c r="E65" s="13" t="s">
        <v>143</v>
      </c>
      <c r="F65" s="13"/>
      <c r="G65" s="30">
        <v>0</v>
      </c>
      <c r="H65" s="2"/>
      <c r="K65" s="81"/>
    </row>
    <row r="66" spans="1:11" ht="15.75" customHeight="1">
      <c r="A66" s="33" t="s">
        <v>140</v>
      </c>
      <c r="B66" s="41">
        <v>45750</v>
      </c>
      <c r="C66" s="42">
        <v>0</v>
      </c>
      <c r="D66" s="42">
        <v>14138</v>
      </c>
      <c r="E66" s="92" t="s">
        <v>141</v>
      </c>
      <c r="F66" s="74">
        <v>202504020000028</v>
      </c>
      <c r="G66" s="75">
        <v>609.28</v>
      </c>
      <c r="H66" s="2">
        <v>3102</v>
      </c>
      <c r="I66" s="64" t="s">
        <v>419</v>
      </c>
      <c r="K66" s="81"/>
    </row>
    <row r="67" spans="1:11" ht="15.75" hidden="1" customHeight="1">
      <c r="A67" s="64"/>
      <c r="B67" s="23"/>
      <c r="C67" s="23"/>
      <c r="D67" s="23"/>
      <c r="E67" s="24" t="s">
        <v>143</v>
      </c>
      <c r="F67" s="24"/>
      <c r="G67" s="25">
        <v>0</v>
      </c>
      <c r="H67" s="2"/>
      <c r="K67" s="81"/>
    </row>
    <row r="68" spans="1:11" ht="15.75" customHeight="1">
      <c r="A68" s="93" t="s">
        <v>423</v>
      </c>
      <c r="B68" s="94">
        <v>45750</v>
      </c>
      <c r="C68" s="95">
        <v>0</v>
      </c>
      <c r="D68" s="95">
        <v>14138</v>
      </c>
      <c r="E68" s="96" t="s">
        <v>141</v>
      </c>
      <c r="F68" s="97">
        <v>202504020000029</v>
      </c>
      <c r="G68" s="98">
        <v>14.22</v>
      </c>
      <c r="H68" s="99">
        <v>3142</v>
      </c>
      <c r="I68" s="100" t="s">
        <v>425</v>
      </c>
      <c r="J68" s="100" t="s">
        <v>426</v>
      </c>
      <c r="K68" s="101"/>
    </row>
    <row r="69" spans="1:11" ht="17.25" hidden="1" customHeight="1">
      <c r="A69" s="64"/>
      <c r="B69" s="29"/>
      <c r="C69" s="29"/>
      <c r="D69" s="29"/>
      <c r="E69" s="13" t="s">
        <v>143</v>
      </c>
      <c r="F69" s="13"/>
      <c r="G69" s="30">
        <v>0</v>
      </c>
      <c r="H69" s="2"/>
      <c r="K69" s="81"/>
    </row>
    <row r="70" spans="1:11" ht="15.75" customHeight="1">
      <c r="A70" s="33" t="s">
        <v>140</v>
      </c>
      <c r="B70" s="41">
        <v>45750</v>
      </c>
      <c r="C70" s="42">
        <v>0</v>
      </c>
      <c r="D70" s="42">
        <v>14138</v>
      </c>
      <c r="E70" s="92" t="s">
        <v>141</v>
      </c>
      <c r="F70" s="74">
        <v>202504020014990</v>
      </c>
      <c r="G70" s="75">
        <v>3336.17</v>
      </c>
      <c r="H70" s="2" t="s">
        <v>427</v>
      </c>
      <c r="I70" s="64" t="s">
        <v>428</v>
      </c>
      <c r="K70" s="81"/>
    </row>
    <row r="71" spans="1:11" ht="14.25" hidden="1" customHeight="1">
      <c r="A71" s="64"/>
      <c r="B71" s="23"/>
      <c r="C71" s="23"/>
      <c r="D71" s="23"/>
      <c r="E71" s="24" t="s">
        <v>143</v>
      </c>
      <c r="F71" s="24"/>
      <c r="G71" s="25">
        <v>0</v>
      </c>
      <c r="H71" s="2"/>
      <c r="K71" s="81"/>
    </row>
    <row r="72" spans="1:11" ht="15.75" hidden="1" customHeight="1">
      <c r="A72" s="64"/>
      <c r="B72" s="11">
        <v>45750</v>
      </c>
      <c r="C72" s="12">
        <v>0</v>
      </c>
      <c r="D72" s="12">
        <v>14397</v>
      </c>
      <c r="E72" s="90" t="s">
        <v>57</v>
      </c>
      <c r="F72" s="27">
        <v>437122630208911</v>
      </c>
      <c r="G72" s="15">
        <v>1400</v>
      </c>
      <c r="H72" s="2"/>
      <c r="K72" s="81"/>
    </row>
    <row r="73" spans="1:11" ht="15.75" hidden="1" customHeight="1">
      <c r="A73" s="64"/>
      <c r="B73" s="29"/>
      <c r="C73" s="29"/>
      <c r="D73" s="29"/>
      <c r="E73" s="13" t="s">
        <v>429</v>
      </c>
      <c r="F73" s="13"/>
      <c r="G73" s="30">
        <v>0</v>
      </c>
      <c r="H73" s="2"/>
      <c r="K73" s="81"/>
    </row>
    <row r="74" spans="1:11" ht="15.75" hidden="1" customHeight="1">
      <c r="A74" s="64"/>
      <c r="B74" s="17">
        <v>45750</v>
      </c>
      <c r="C74" s="18">
        <v>1533</v>
      </c>
      <c r="D74" s="18">
        <v>99008</v>
      </c>
      <c r="E74" s="89" t="s">
        <v>29</v>
      </c>
      <c r="F74" s="20">
        <v>828268</v>
      </c>
      <c r="G74" s="31">
        <v>187.76</v>
      </c>
      <c r="H74" s="2"/>
      <c r="K74" s="81"/>
    </row>
    <row r="75" spans="1:11" ht="15" hidden="1" customHeight="1">
      <c r="A75" s="64"/>
      <c r="B75" s="23"/>
      <c r="C75" s="23"/>
      <c r="D75" s="23"/>
      <c r="E75" s="24" t="s">
        <v>430</v>
      </c>
      <c r="F75" s="24"/>
      <c r="G75" s="25">
        <v>0</v>
      </c>
      <c r="H75" s="2"/>
      <c r="K75" s="81"/>
    </row>
    <row r="76" spans="1:11" ht="35.25" hidden="1" customHeight="1">
      <c r="A76" s="64"/>
      <c r="B76" s="11">
        <v>45750</v>
      </c>
      <c r="C76" s="12">
        <v>0</v>
      </c>
      <c r="D76" s="12">
        <v>13105</v>
      </c>
      <c r="E76" s="90" t="s">
        <v>34</v>
      </c>
      <c r="F76" s="27">
        <v>40301</v>
      </c>
      <c r="G76" s="28">
        <v>985.27</v>
      </c>
      <c r="H76" s="2"/>
      <c r="K76" s="81"/>
    </row>
    <row r="77" spans="1:11" ht="21.75" hidden="1" customHeight="1">
      <c r="A77" s="64"/>
      <c r="B77" s="29"/>
      <c r="C77" s="29"/>
      <c r="D77" s="29"/>
      <c r="E77" s="13" t="s">
        <v>207</v>
      </c>
      <c r="F77" s="13"/>
      <c r="G77" s="30">
        <v>0</v>
      </c>
      <c r="H77" s="2"/>
      <c r="K77" s="81"/>
    </row>
    <row r="78" spans="1:11" ht="15.75" hidden="1" customHeight="1">
      <c r="A78" s="64"/>
      <c r="B78" s="17">
        <v>45750</v>
      </c>
      <c r="C78" s="18">
        <v>0</v>
      </c>
      <c r="D78" s="18">
        <v>13105</v>
      </c>
      <c r="E78" s="89" t="s">
        <v>31</v>
      </c>
      <c r="F78" s="20">
        <v>40302</v>
      </c>
      <c r="G78" s="31">
        <v>1339.21</v>
      </c>
      <c r="H78" s="2"/>
      <c r="K78" s="81"/>
    </row>
    <row r="79" spans="1:11" ht="15.75" hidden="1" customHeight="1">
      <c r="A79" s="64"/>
      <c r="B79" s="23"/>
      <c r="C79" s="23"/>
      <c r="D79" s="23"/>
      <c r="E79" s="24" t="s">
        <v>65</v>
      </c>
      <c r="F79" s="24"/>
      <c r="G79" s="25">
        <v>0</v>
      </c>
      <c r="H79" s="2"/>
      <c r="K79" s="81"/>
    </row>
    <row r="80" spans="1:11" ht="15.75" hidden="1" customHeight="1">
      <c r="A80" s="64"/>
      <c r="B80" s="11">
        <v>45750</v>
      </c>
      <c r="C80" s="12">
        <v>0</v>
      </c>
      <c r="D80" s="12">
        <v>13105</v>
      </c>
      <c r="E80" s="90" t="s">
        <v>31</v>
      </c>
      <c r="F80" s="27">
        <v>40303</v>
      </c>
      <c r="G80" s="28">
        <v>3654.74</v>
      </c>
      <c r="H80" s="2"/>
      <c r="K80" s="81"/>
    </row>
    <row r="81" spans="1:11" ht="15.75" hidden="1" customHeight="1">
      <c r="A81" s="64"/>
      <c r="B81" s="29"/>
      <c r="C81" s="29"/>
      <c r="D81" s="29"/>
      <c r="E81" s="13" t="s">
        <v>65</v>
      </c>
      <c r="F81" s="13"/>
      <c r="G81" s="30">
        <v>0</v>
      </c>
      <c r="H81" s="2"/>
      <c r="K81" s="81"/>
    </row>
    <row r="82" spans="1:11" ht="15.75" hidden="1" customHeight="1">
      <c r="A82" s="64"/>
      <c r="B82" s="17">
        <v>45750</v>
      </c>
      <c r="C82" s="18">
        <v>0</v>
      </c>
      <c r="D82" s="18">
        <v>0</v>
      </c>
      <c r="E82" s="89" t="s">
        <v>59</v>
      </c>
      <c r="F82" s="20">
        <v>9903</v>
      </c>
      <c r="G82" s="31">
        <v>7869.39</v>
      </c>
      <c r="H82" s="2"/>
      <c r="K82" s="81"/>
    </row>
    <row r="83" spans="1:11" ht="15.75" hidden="1" customHeight="1">
      <c r="A83" s="64"/>
      <c r="B83" s="23"/>
      <c r="C83" s="23"/>
      <c r="D83" s="23"/>
      <c r="E83" s="24" t="s">
        <v>53</v>
      </c>
      <c r="F83" s="24"/>
      <c r="G83" s="25">
        <v>0</v>
      </c>
      <c r="H83" s="2"/>
      <c r="K83" s="81"/>
    </row>
    <row r="84" spans="1:11" ht="15.75" hidden="1" customHeight="1">
      <c r="A84" s="64"/>
      <c r="B84" s="11">
        <v>45751</v>
      </c>
      <c r="C84" s="12">
        <v>4833</v>
      </c>
      <c r="D84" s="12">
        <v>74680</v>
      </c>
      <c r="E84" s="90" t="s">
        <v>431</v>
      </c>
      <c r="F84" s="27">
        <v>483374680150116</v>
      </c>
      <c r="G84" s="15">
        <v>500</v>
      </c>
      <c r="H84" s="2"/>
      <c r="K84" s="81"/>
    </row>
    <row r="85" spans="1:11" ht="15.75" hidden="1" customHeight="1">
      <c r="A85" s="64"/>
      <c r="B85" s="29"/>
      <c r="C85" s="29"/>
      <c r="D85" s="29"/>
      <c r="E85" s="13" t="s">
        <v>432</v>
      </c>
      <c r="F85" s="13"/>
      <c r="G85" s="30">
        <v>0</v>
      </c>
      <c r="H85" s="2"/>
      <c r="K85" s="81"/>
    </row>
    <row r="86" spans="1:11" ht="15.75" hidden="1" customHeight="1">
      <c r="A86" s="64"/>
      <c r="B86" s="17">
        <v>45751</v>
      </c>
      <c r="C86" s="18">
        <v>0</v>
      </c>
      <c r="D86" s="18">
        <v>14175</v>
      </c>
      <c r="E86" s="89" t="s">
        <v>62</v>
      </c>
      <c r="F86" s="20">
        <v>376719199</v>
      </c>
      <c r="G86" s="21">
        <v>23000</v>
      </c>
      <c r="H86" s="2"/>
      <c r="K86" s="81"/>
    </row>
    <row r="87" spans="1:11" ht="15.75" hidden="1" customHeight="1">
      <c r="A87" s="64"/>
      <c r="B87" s="23"/>
      <c r="C87" s="23"/>
      <c r="D87" s="23"/>
      <c r="E87" s="24" t="s">
        <v>97</v>
      </c>
      <c r="F87" s="24"/>
      <c r="G87" s="25">
        <v>0</v>
      </c>
      <c r="H87" s="2"/>
      <c r="K87" s="81"/>
    </row>
    <row r="88" spans="1:11" ht="15.75" hidden="1" customHeight="1">
      <c r="A88" s="64"/>
      <c r="B88" s="11">
        <v>45751</v>
      </c>
      <c r="C88" s="12">
        <v>0</v>
      </c>
      <c r="D88" s="12">
        <v>14397</v>
      </c>
      <c r="E88" s="90" t="s">
        <v>57</v>
      </c>
      <c r="F88" s="27">
        <v>40924247471092</v>
      </c>
      <c r="G88" s="15">
        <v>232.75</v>
      </c>
      <c r="H88" s="2"/>
      <c r="K88" s="81"/>
    </row>
    <row r="89" spans="1:11" ht="15.75" hidden="1" customHeight="1">
      <c r="A89" s="64"/>
      <c r="B89" s="29"/>
      <c r="C89" s="29"/>
      <c r="D89" s="29"/>
      <c r="E89" s="13" t="s">
        <v>433</v>
      </c>
      <c r="F89" s="13"/>
      <c r="G89" s="30">
        <v>0</v>
      </c>
      <c r="H89" s="2"/>
      <c r="K89" s="81"/>
    </row>
    <row r="90" spans="1:11" ht="15.75" customHeight="1">
      <c r="A90" s="33" t="s">
        <v>140</v>
      </c>
      <c r="B90" s="41">
        <v>45751</v>
      </c>
      <c r="C90" s="42">
        <v>0</v>
      </c>
      <c r="D90" s="42">
        <v>14138</v>
      </c>
      <c r="E90" s="92" t="s">
        <v>141</v>
      </c>
      <c r="F90" s="74">
        <v>202504030005002</v>
      </c>
      <c r="G90" s="75">
        <v>1633.63</v>
      </c>
      <c r="H90" s="2" t="s">
        <v>434</v>
      </c>
      <c r="I90" s="64" t="s">
        <v>428</v>
      </c>
      <c r="K90" s="81"/>
    </row>
    <row r="91" spans="1:11" ht="15.75" hidden="1" customHeight="1">
      <c r="A91" s="64"/>
      <c r="B91" s="23"/>
      <c r="C91" s="23"/>
      <c r="D91" s="23"/>
      <c r="E91" s="24" t="s">
        <v>143</v>
      </c>
      <c r="F91" s="24"/>
      <c r="G91" s="25">
        <v>0</v>
      </c>
      <c r="H91" s="2"/>
      <c r="K91" s="81"/>
    </row>
    <row r="92" spans="1:11" ht="15.75" customHeight="1">
      <c r="A92" s="33" t="s">
        <v>140</v>
      </c>
      <c r="B92" s="102">
        <v>45751</v>
      </c>
      <c r="C92" s="103">
        <v>0</v>
      </c>
      <c r="D92" s="103">
        <v>14138</v>
      </c>
      <c r="E92" s="104" t="s">
        <v>141</v>
      </c>
      <c r="F92" s="105">
        <v>202504030016797</v>
      </c>
      <c r="G92" s="98">
        <v>3362.94</v>
      </c>
      <c r="H92" s="2" t="s">
        <v>435</v>
      </c>
      <c r="I92" s="79" t="s">
        <v>428</v>
      </c>
      <c r="K92" s="81"/>
    </row>
    <row r="93" spans="1:11" ht="15.75" hidden="1" customHeight="1">
      <c r="A93" s="64"/>
      <c r="B93" s="29"/>
      <c r="C93" s="29"/>
      <c r="D93" s="29"/>
      <c r="E93" s="13" t="s">
        <v>143</v>
      </c>
      <c r="F93" s="13"/>
      <c r="G93" s="30">
        <v>0</v>
      </c>
      <c r="H93" s="2"/>
      <c r="K93" s="81"/>
    </row>
    <row r="94" spans="1:11" ht="15.75" hidden="1" customHeight="1">
      <c r="A94" s="64"/>
      <c r="B94" s="17">
        <v>45751</v>
      </c>
      <c r="C94" s="18">
        <v>1533</v>
      </c>
      <c r="D94" s="18">
        <v>99008</v>
      </c>
      <c r="E94" s="89" t="s">
        <v>29</v>
      </c>
      <c r="F94" s="20">
        <v>74147</v>
      </c>
      <c r="G94" s="31">
        <v>152.80000000000001</v>
      </c>
      <c r="H94" s="2"/>
      <c r="K94" s="81"/>
    </row>
    <row r="95" spans="1:11" ht="15.75" hidden="1" customHeight="1">
      <c r="A95" s="64"/>
      <c r="B95" s="23"/>
      <c r="C95" s="23"/>
      <c r="D95" s="23"/>
      <c r="E95" s="24" t="s">
        <v>436</v>
      </c>
      <c r="F95" s="24"/>
      <c r="G95" s="25">
        <v>0</v>
      </c>
      <c r="H95" s="2"/>
      <c r="K95" s="81"/>
    </row>
    <row r="96" spans="1:11" ht="15.75" hidden="1" customHeight="1">
      <c r="A96" s="64"/>
      <c r="B96" s="11">
        <v>45751</v>
      </c>
      <c r="C96" s="12">
        <v>0</v>
      </c>
      <c r="D96" s="12">
        <v>13105</v>
      </c>
      <c r="E96" s="90" t="s">
        <v>31</v>
      </c>
      <c r="F96" s="27">
        <v>40401</v>
      </c>
      <c r="G96" s="28">
        <v>2846.8</v>
      </c>
      <c r="H96" s="2"/>
      <c r="K96" s="81"/>
    </row>
    <row r="97" spans="1:11" ht="15.75" hidden="1" customHeight="1">
      <c r="A97" s="64"/>
      <c r="B97" s="29"/>
      <c r="C97" s="29"/>
      <c r="D97" s="29"/>
      <c r="E97" s="13" t="s">
        <v>37</v>
      </c>
      <c r="F97" s="13"/>
      <c r="G97" s="30">
        <v>0</v>
      </c>
      <c r="H97" s="2"/>
      <c r="K97" s="81"/>
    </row>
    <row r="98" spans="1:11" ht="15.75" hidden="1" customHeight="1">
      <c r="A98" s="64"/>
      <c r="B98" s="17">
        <v>45751</v>
      </c>
      <c r="C98" s="18">
        <v>0</v>
      </c>
      <c r="D98" s="18">
        <v>13105</v>
      </c>
      <c r="E98" s="89" t="s">
        <v>31</v>
      </c>
      <c r="F98" s="20">
        <v>40402</v>
      </c>
      <c r="G98" s="31">
        <v>2214.98</v>
      </c>
      <c r="H98" s="2"/>
      <c r="K98" s="81"/>
    </row>
    <row r="99" spans="1:11" ht="15.75" hidden="1" customHeight="1">
      <c r="A99" s="64"/>
      <c r="B99" s="23"/>
      <c r="C99" s="23"/>
      <c r="D99" s="23"/>
      <c r="E99" s="24" t="s">
        <v>37</v>
      </c>
      <c r="F99" s="24"/>
      <c r="G99" s="25">
        <v>0</v>
      </c>
      <c r="H99" s="2"/>
      <c r="K99" s="81"/>
    </row>
    <row r="100" spans="1:11" ht="15.75" hidden="1" customHeight="1">
      <c r="A100" s="64"/>
      <c r="B100" s="11">
        <v>45751</v>
      </c>
      <c r="C100" s="12">
        <v>0</v>
      </c>
      <c r="D100" s="12">
        <v>13105</v>
      </c>
      <c r="E100" s="90" t="s">
        <v>31</v>
      </c>
      <c r="F100" s="27">
        <v>40403</v>
      </c>
      <c r="G100" s="28">
        <v>1286.7</v>
      </c>
      <c r="H100" s="2"/>
      <c r="K100" s="81"/>
    </row>
    <row r="101" spans="1:11" ht="15.75" hidden="1" customHeight="1">
      <c r="A101" s="64"/>
      <c r="B101" s="29"/>
      <c r="C101" s="29"/>
      <c r="D101" s="29"/>
      <c r="E101" s="13" t="s">
        <v>37</v>
      </c>
      <c r="F101" s="13"/>
      <c r="G101" s="30">
        <v>0</v>
      </c>
      <c r="H101" s="2"/>
      <c r="K101" s="81"/>
    </row>
    <row r="102" spans="1:11" ht="15.75" hidden="1" customHeight="1">
      <c r="A102" s="64"/>
      <c r="B102" s="17">
        <v>45751</v>
      </c>
      <c r="C102" s="18">
        <v>0</v>
      </c>
      <c r="D102" s="18">
        <v>13105</v>
      </c>
      <c r="E102" s="89" t="s">
        <v>31</v>
      </c>
      <c r="F102" s="20">
        <v>40404</v>
      </c>
      <c r="G102" s="31">
        <v>1745.8</v>
      </c>
      <c r="H102" s="2"/>
      <c r="K102" s="81"/>
    </row>
    <row r="103" spans="1:11" ht="15.75" hidden="1" customHeight="1">
      <c r="A103" s="64"/>
      <c r="B103" s="23"/>
      <c r="C103" s="23"/>
      <c r="D103" s="23"/>
      <c r="E103" s="24" t="s">
        <v>165</v>
      </c>
      <c r="F103" s="24"/>
      <c r="G103" s="25">
        <v>0</v>
      </c>
      <c r="H103" s="2"/>
      <c r="K103" s="81"/>
    </row>
    <row r="104" spans="1:11" ht="15.75" hidden="1" customHeight="1">
      <c r="A104" s="64"/>
      <c r="B104" s="11">
        <v>45751</v>
      </c>
      <c r="C104" s="12">
        <v>0</v>
      </c>
      <c r="D104" s="12">
        <v>13105</v>
      </c>
      <c r="E104" s="90" t="s">
        <v>31</v>
      </c>
      <c r="F104" s="27">
        <v>40405</v>
      </c>
      <c r="G104" s="28">
        <v>272.60000000000002</v>
      </c>
      <c r="H104" s="2"/>
      <c r="K104" s="81"/>
    </row>
    <row r="105" spans="1:11" ht="15.75" hidden="1" customHeight="1">
      <c r="A105" s="64"/>
      <c r="B105" s="29"/>
      <c r="C105" s="29"/>
      <c r="D105" s="29"/>
      <c r="E105" s="13" t="s">
        <v>340</v>
      </c>
      <c r="F105" s="13"/>
      <c r="G105" s="30">
        <v>0</v>
      </c>
      <c r="H105" s="2"/>
      <c r="K105" s="81"/>
    </row>
    <row r="106" spans="1:11" ht="15.75" hidden="1" customHeight="1">
      <c r="A106" s="64"/>
      <c r="B106" s="17">
        <v>45751</v>
      </c>
      <c r="C106" s="18">
        <v>0</v>
      </c>
      <c r="D106" s="18">
        <v>13105</v>
      </c>
      <c r="E106" s="89" t="s">
        <v>31</v>
      </c>
      <c r="F106" s="20">
        <v>40406</v>
      </c>
      <c r="G106" s="31">
        <v>405.5</v>
      </c>
      <c r="H106" s="2"/>
      <c r="K106" s="81"/>
    </row>
    <row r="107" spans="1:11" ht="15.75" hidden="1" customHeight="1">
      <c r="A107" s="64"/>
      <c r="B107" s="23"/>
      <c r="C107" s="23"/>
      <c r="D107" s="23"/>
      <c r="E107" s="24" t="s">
        <v>340</v>
      </c>
      <c r="F107" s="24"/>
      <c r="G107" s="25">
        <v>0</v>
      </c>
      <c r="H107" s="2"/>
      <c r="K107" s="81"/>
    </row>
    <row r="108" spans="1:11" ht="15.75" hidden="1" customHeight="1">
      <c r="A108" s="64"/>
      <c r="B108" s="11">
        <v>45751</v>
      </c>
      <c r="C108" s="12">
        <v>0</v>
      </c>
      <c r="D108" s="12">
        <v>13105</v>
      </c>
      <c r="E108" s="90" t="s">
        <v>80</v>
      </c>
      <c r="F108" s="27">
        <v>40407</v>
      </c>
      <c r="G108" s="28">
        <v>8505.0400000000009</v>
      </c>
      <c r="H108" s="2"/>
      <c r="K108" s="81"/>
    </row>
    <row r="109" spans="1:11" ht="15.75" hidden="1" customHeight="1">
      <c r="A109" s="64"/>
      <c r="B109" s="29"/>
      <c r="C109" s="29"/>
      <c r="D109" s="29"/>
      <c r="E109" s="13" t="s">
        <v>81</v>
      </c>
      <c r="F109" s="13"/>
      <c r="G109" s="30">
        <v>0</v>
      </c>
      <c r="H109" s="2"/>
      <c r="K109" s="81"/>
    </row>
    <row r="110" spans="1:11" ht="15.75" hidden="1" customHeight="1">
      <c r="A110" s="64"/>
      <c r="B110" s="17">
        <v>45751</v>
      </c>
      <c r="C110" s="18">
        <v>0</v>
      </c>
      <c r="D110" s="18">
        <v>13105</v>
      </c>
      <c r="E110" s="89" t="s">
        <v>80</v>
      </c>
      <c r="F110" s="20">
        <v>40408</v>
      </c>
      <c r="G110" s="31">
        <v>957.21</v>
      </c>
      <c r="H110" s="2"/>
      <c r="K110" s="81"/>
    </row>
    <row r="111" spans="1:11" ht="15.75" hidden="1" customHeight="1">
      <c r="A111" s="64"/>
      <c r="B111" s="23"/>
      <c r="C111" s="23"/>
      <c r="D111" s="23"/>
      <c r="E111" s="24" t="s">
        <v>81</v>
      </c>
      <c r="F111" s="24"/>
      <c r="G111" s="25">
        <v>0</v>
      </c>
      <c r="H111" s="2"/>
      <c r="K111" s="81"/>
    </row>
    <row r="112" spans="1:11" ht="15.75" hidden="1" customHeight="1">
      <c r="A112" s="64"/>
      <c r="B112" s="11">
        <v>45751</v>
      </c>
      <c r="C112" s="12">
        <v>0</v>
      </c>
      <c r="D112" s="12">
        <v>13105</v>
      </c>
      <c r="E112" s="90" t="s">
        <v>80</v>
      </c>
      <c r="F112" s="27">
        <v>40409</v>
      </c>
      <c r="G112" s="28">
        <v>19.91</v>
      </c>
      <c r="H112" s="2"/>
      <c r="K112" s="81"/>
    </row>
    <row r="113" spans="1:11" ht="15.75" hidden="1" customHeight="1">
      <c r="A113" s="64"/>
      <c r="B113" s="29"/>
      <c r="C113" s="29"/>
      <c r="D113" s="29"/>
      <c r="E113" s="13" t="s">
        <v>81</v>
      </c>
      <c r="F113" s="13"/>
      <c r="G113" s="30">
        <v>0</v>
      </c>
      <c r="H113" s="2"/>
      <c r="K113" s="81"/>
    </row>
    <row r="114" spans="1:11" ht="15.75" hidden="1" customHeight="1">
      <c r="A114" s="64"/>
      <c r="B114" s="17">
        <v>45751</v>
      </c>
      <c r="C114" s="18">
        <v>0</v>
      </c>
      <c r="D114" s="18">
        <v>13105</v>
      </c>
      <c r="E114" s="89" t="s">
        <v>31</v>
      </c>
      <c r="F114" s="20">
        <v>40410</v>
      </c>
      <c r="G114" s="31">
        <v>163.74</v>
      </c>
      <c r="H114" s="2"/>
      <c r="K114" s="81"/>
    </row>
    <row r="115" spans="1:11" ht="15.75" hidden="1" customHeight="1">
      <c r="A115" s="64"/>
      <c r="B115" s="23"/>
      <c r="C115" s="23"/>
      <c r="D115" s="23"/>
      <c r="E115" s="24" t="s">
        <v>185</v>
      </c>
      <c r="F115" s="24"/>
      <c r="G115" s="25">
        <v>0</v>
      </c>
      <c r="H115" s="2"/>
      <c r="K115" s="81"/>
    </row>
    <row r="116" spans="1:11" ht="15.75" hidden="1" customHeight="1">
      <c r="A116" s="64"/>
      <c r="B116" s="11">
        <v>45751</v>
      </c>
      <c r="C116" s="12">
        <v>0</v>
      </c>
      <c r="D116" s="12">
        <v>13105</v>
      </c>
      <c r="E116" s="90" t="s">
        <v>31</v>
      </c>
      <c r="F116" s="27">
        <v>40411</v>
      </c>
      <c r="G116" s="28">
        <v>365.54</v>
      </c>
      <c r="H116" s="2"/>
      <c r="K116" s="81"/>
    </row>
    <row r="117" spans="1:11" ht="15.75" hidden="1" customHeight="1">
      <c r="A117" s="64"/>
      <c r="B117" s="29"/>
      <c r="C117" s="29"/>
      <c r="D117" s="29"/>
      <c r="E117" s="13" t="s">
        <v>45</v>
      </c>
      <c r="F117" s="13"/>
      <c r="G117" s="30">
        <v>0</v>
      </c>
      <c r="H117" s="2"/>
      <c r="K117" s="81"/>
    </row>
    <row r="118" spans="1:11" ht="15.75" hidden="1" customHeight="1">
      <c r="A118" s="64"/>
      <c r="B118" s="17">
        <v>45751</v>
      </c>
      <c r="C118" s="18">
        <v>0</v>
      </c>
      <c r="D118" s="18">
        <v>13105</v>
      </c>
      <c r="E118" s="89" t="s">
        <v>31</v>
      </c>
      <c r="F118" s="20">
        <v>40412</v>
      </c>
      <c r="G118" s="31">
        <v>227.36</v>
      </c>
      <c r="H118" s="2"/>
      <c r="K118" s="81"/>
    </row>
    <row r="119" spans="1:11" ht="15.75" hidden="1" customHeight="1">
      <c r="A119" s="64"/>
      <c r="B119" s="23"/>
      <c r="C119" s="23"/>
      <c r="D119" s="23"/>
      <c r="E119" s="24" t="s">
        <v>45</v>
      </c>
      <c r="F119" s="24"/>
      <c r="G119" s="25">
        <v>0</v>
      </c>
      <c r="H119" s="2"/>
      <c r="K119" s="81"/>
    </row>
    <row r="120" spans="1:11" ht="15.75" hidden="1" customHeight="1">
      <c r="A120" s="64"/>
      <c r="B120" s="11">
        <v>45751</v>
      </c>
      <c r="C120" s="12">
        <v>0</v>
      </c>
      <c r="D120" s="12">
        <v>13105</v>
      </c>
      <c r="E120" s="90" t="s">
        <v>31</v>
      </c>
      <c r="F120" s="27">
        <v>40413</v>
      </c>
      <c r="G120" s="28">
        <v>478.05</v>
      </c>
      <c r="H120" s="2"/>
      <c r="K120" s="81"/>
    </row>
    <row r="121" spans="1:11" ht="15.75" hidden="1" customHeight="1">
      <c r="A121" s="64"/>
      <c r="B121" s="29"/>
      <c r="C121" s="29"/>
      <c r="D121" s="29"/>
      <c r="E121" s="13" t="s">
        <v>45</v>
      </c>
      <c r="F121" s="13"/>
      <c r="G121" s="30">
        <v>0</v>
      </c>
      <c r="H121" s="2"/>
      <c r="K121" s="81"/>
    </row>
    <row r="122" spans="1:11" ht="15.75" hidden="1" customHeight="1">
      <c r="A122" s="64"/>
      <c r="B122" s="17">
        <v>45751</v>
      </c>
      <c r="C122" s="18">
        <v>0</v>
      </c>
      <c r="D122" s="18">
        <v>13105</v>
      </c>
      <c r="E122" s="89" t="s">
        <v>31</v>
      </c>
      <c r="F122" s="20">
        <v>40414</v>
      </c>
      <c r="G122" s="31">
        <v>211.3</v>
      </c>
      <c r="H122" s="2"/>
      <c r="K122" s="81"/>
    </row>
    <row r="123" spans="1:11" ht="15.75" hidden="1" customHeight="1">
      <c r="A123" s="64"/>
      <c r="B123" s="23"/>
      <c r="C123" s="23"/>
      <c r="D123" s="23"/>
      <c r="E123" s="24" t="s">
        <v>47</v>
      </c>
      <c r="F123" s="24"/>
      <c r="G123" s="25">
        <v>0</v>
      </c>
      <c r="H123" s="2"/>
      <c r="K123" s="81"/>
    </row>
    <row r="124" spans="1:11" ht="15.75" hidden="1" customHeight="1">
      <c r="A124" s="64"/>
      <c r="B124" s="11">
        <v>45751</v>
      </c>
      <c r="C124" s="12">
        <v>0</v>
      </c>
      <c r="D124" s="12">
        <v>13105</v>
      </c>
      <c r="E124" s="90" t="s">
        <v>31</v>
      </c>
      <c r="F124" s="27">
        <v>40415</v>
      </c>
      <c r="G124" s="28">
        <v>353.73</v>
      </c>
      <c r="H124" s="2"/>
      <c r="K124" s="81"/>
    </row>
    <row r="125" spans="1:11" ht="15.75" hidden="1" customHeight="1">
      <c r="A125" s="64"/>
      <c r="B125" s="29"/>
      <c r="C125" s="29"/>
      <c r="D125" s="29"/>
      <c r="E125" s="13" t="s">
        <v>47</v>
      </c>
      <c r="F125" s="13"/>
      <c r="G125" s="30">
        <v>0</v>
      </c>
      <c r="H125" s="2"/>
      <c r="K125" s="81"/>
    </row>
    <row r="126" spans="1:11" ht="15.75" hidden="1" customHeight="1">
      <c r="A126" s="64"/>
      <c r="B126" s="17">
        <v>45751</v>
      </c>
      <c r="C126" s="18">
        <v>0</v>
      </c>
      <c r="D126" s="18">
        <v>13105</v>
      </c>
      <c r="E126" s="89" t="s">
        <v>31</v>
      </c>
      <c r="F126" s="20">
        <v>40416</v>
      </c>
      <c r="G126" s="31">
        <v>187.94</v>
      </c>
      <c r="H126" s="2"/>
      <c r="K126" s="81"/>
    </row>
    <row r="127" spans="1:11" ht="15.75" hidden="1" customHeight="1">
      <c r="A127" s="64"/>
      <c r="B127" s="23"/>
      <c r="C127" s="23"/>
      <c r="D127" s="23"/>
      <c r="E127" s="24" t="s">
        <v>47</v>
      </c>
      <c r="F127" s="24"/>
      <c r="G127" s="25">
        <v>0</v>
      </c>
      <c r="H127" s="2"/>
      <c r="K127" s="81"/>
    </row>
    <row r="128" spans="1:11" ht="15.75" hidden="1" customHeight="1">
      <c r="A128" s="64"/>
      <c r="B128" s="11">
        <v>45751</v>
      </c>
      <c r="C128" s="12">
        <v>0</v>
      </c>
      <c r="D128" s="12">
        <v>13105</v>
      </c>
      <c r="E128" s="90" t="s">
        <v>31</v>
      </c>
      <c r="F128" s="27">
        <v>40417</v>
      </c>
      <c r="G128" s="28">
        <v>202.68</v>
      </c>
      <c r="H128" s="2"/>
      <c r="K128" s="81"/>
    </row>
    <row r="129" spans="1:11" ht="15.75" hidden="1" customHeight="1">
      <c r="A129" s="64"/>
      <c r="B129" s="29"/>
      <c r="C129" s="29"/>
      <c r="D129" s="29"/>
      <c r="E129" s="13" t="s">
        <v>69</v>
      </c>
      <c r="F129" s="13"/>
      <c r="G129" s="30">
        <v>0</v>
      </c>
      <c r="H129" s="2"/>
      <c r="K129" s="81"/>
    </row>
    <row r="130" spans="1:11" ht="15.75" hidden="1" customHeight="1">
      <c r="A130" s="64"/>
      <c r="B130" s="17">
        <v>45751</v>
      </c>
      <c r="C130" s="18">
        <v>0</v>
      </c>
      <c r="D130" s="18">
        <v>13105</v>
      </c>
      <c r="E130" s="89" t="s">
        <v>31</v>
      </c>
      <c r="F130" s="20">
        <v>40418</v>
      </c>
      <c r="G130" s="31">
        <v>278.33</v>
      </c>
      <c r="H130" s="2"/>
      <c r="K130" s="81"/>
    </row>
    <row r="131" spans="1:11" ht="15.75" hidden="1" customHeight="1">
      <c r="A131" s="64"/>
      <c r="B131" s="23"/>
      <c r="C131" s="23"/>
      <c r="D131" s="23"/>
      <c r="E131" s="24" t="s">
        <v>69</v>
      </c>
      <c r="F131" s="24"/>
      <c r="G131" s="25">
        <v>0</v>
      </c>
      <c r="H131" s="2"/>
      <c r="K131" s="81"/>
    </row>
    <row r="132" spans="1:11" ht="15.75" hidden="1" customHeight="1">
      <c r="A132" s="64"/>
      <c r="B132" s="11">
        <v>45751</v>
      </c>
      <c r="C132" s="12">
        <v>0</v>
      </c>
      <c r="D132" s="12">
        <v>13105</v>
      </c>
      <c r="E132" s="90" t="s">
        <v>31</v>
      </c>
      <c r="F132" s="27">
        <v>40419</v>
      </c>
      <c r="G132" s="28">
        <v>198.13</v>
      </c>
      <c r="H132" s="2"/>
      <c r="K132" s="81"/>
    </row>
    <row r="133" spans="1:11" ht="15.75" hidden="1" customHeight="1">
      <c r="A133" s="64"/>
      <c r="B133" s="29"/>
      <c r="C133" s="29"/>
      <c r="D133" s="29"/>
      <c r="E133" s="13" t="s">
        <v>69</v>
      </c>
      <c r="F133" s="13"/>
      <c r="G133" s="30">
        <v>0</v>
      </c>
      <c r="H133" s="2"/>
      <c r="K133" s="81"/>
    </row>
    <row r="134" spans="1:11" ht="15.75" hidden="1" customHeight="1">
      <c r="A134" s="64"/>
      <c r="B134" s="17">
        <v>45751</v>
      </c>
      <c r="C134" s="18">
        <v>0</v>
      </c>
      <c r="D134" s="18">
        <v>13105</v>
      </c>
      <c r="E134" s="89" t="s">
        <v>31</v>
      </c>
      <c r="F134" s="20">
        <v>40420</v>
      </c>
      <c r="G134" s="31">
        <v>1299.77</v>
      </c>
      <c r="H134" s="2"/>
      <c r="K134" s="81"/>
    </row>
    <row r="135" spans="1:11" ht="15.75" hidden="1" customHeight="1">
      <c r="A135" s="64"/>
      <c r="B135" s="23"/>
      <c r="C135" s="23"/>
      <c r="D135" s="23"/>
      <c r="E135" s="24" t="s">
        <v>165</v>
      </c>
      <c r="F135" s="24"/>
      <c r="G135" s="25">
        <v>0</v>
      </c>
      <c r="H135" s="2"/>
      <c r="K135" s="81"/>
    </row>
    <row r="136" spans="1:11" ht="15.75" hidden="1" customHeight="1">
      <c r="A136" s="64"/>
      <c r="B136" s="11">
        <v>45751</v>
      </c>
      <c r="C136" s="12">
        <v>0</v>
      </c>
      <c r="D136" s="12">
        <v>13105</v>
      </c>
      <c r="E136" s="90" t="s">
        <v>31</v>
      </c>
      <c r="F136" s="27">
        <v>40421</v>
      </c>
      <c r="G136" s="28">
        <v>473.8</v>
      </c>
      <c r="H136" s="2"/>
      <c r="K136" s="81"/>
    </row>
    <row r="137" spans="1:11" ht="15.75" hidden="1" customHeight="1">
      <c r="A137" s="64"/>
      <c r="B137" s="29"/>
      <c r="C137" s="29"/>
      <c r="D137" s="29"/>
      <c r="E137" s="13" t="s">
        <v>437</v>
      </c>
      <c r="F137" s="13"/>
      <c r="G137" s="30">
        <v>0</v>
      </c>
      <c r="H137" s="2"/>
      <c r="K137" s="81"/>
    </row>
    <row r="138" spans="1:11" ht="15.75" hidden="1" customHeight="1">
      <c r="A138" s="64"/>
      <c r="B138" s="17">
        <v>45751</v>
      </c>
      <c r="C138" s="18">
        <v>0</v>
      </c>
      <c r="D138" s="18">
        <v>13105</v>
      </c>
      <c r="E138" s="89" t="s">
        <v>31</v>
      </c>
      <c r="F138" s="20">
        <v>40422</v>
      </c>
      <c r="G138" s="31">
        <v>2686.65</v>
      </c>
      <c r="H138" s="2"/>
      <c r="K138" s="81"/>
    </row>
    <row r="139" spans="1:11" ht="15.75" hidden="1" customHeight="1">
      <c r="A139" s="64"/>
      <c r="B139" s="23"/>
      <c r="C139" s="23"/>
      <c r="D139" s="23"/>
      <c r="E139" s="24" t="s">
        <v>46</v>
      </c>
      <c r="F139" s="24"/>
      <c r="G139" s="25">
        <v>0</v>
      </c>
      <c r="H139" s="2"/>
      <c r="K139" s="81"/>
    </row>
    <row r="140" spans="1:11" ht="15.75" hidden="1" customHeight="1">
      <c r="A140" s="64"/>
      <c r="B140" s="11">
        <v>45751</v>
      </c>
      <c r="C140" s="12">
        <v>0</v>
      </c>
      <c r="D140" s="12">
        <v>13105</v>
      </c>
      <c r="E140" s="90" t="s">
        <v>31</v>
      </c>
      <c r="F140" s="27">
        <v>40423</v>
      </c>
      <c r="G140" s="28">
        <v>258.27</v>
      </c>
      <c r="H140" s="2"/>
      <c r="K140" s="81"/>
    </row>
    <row r="141" spans="1:11" ht="15.75" hidden="1" customHeight="1">
      <c r="A141" s="64"/>
      <c r="B141" s="29"/>
      <c r="C141" s="29"/>
      <c r="D141" s="29"/>
      <c r="E141" s="13" t="s">
        <v>41</v>
      </c>
      <c r="F141" s="13"/>
      <c r="G141" s="30">
        <v>0</v>
      </c>
      <c r="H141" s="2"/>
      <c r="K141" s="81"/>
    </row>
    <row r="142" spans="1:11" ht="15.75" hidden="1" customHeight="1">
      <c r="A142" s="64"/>
      <c r="B142" s="17">
        <v>45751</v>
      </c>
      <c r="C142" s="18">
        <v>0</v>
      </c>
      <c r="D142" s="18">
        <v>13105</v>
      </c>
      <c r="E142" s="89" t="s">
        <v>31</v>
      </c>
      <c r="F142" s="20">
        <v>40424</v>
      </c>
      <c r="G142" s="31">
        <v>320.85000000000002</v>
      </c>
      <c r="H142" s="2"/>
      <c r="K142" s="81"/>
    </row>
    <row r="143" spans="1:11" ht="15.75" hidden="1" customHeight="1">
      <c r="A143" s="64"/>
      <c r="B143" s="23"/>
      <c r="C143" s="23"/>
      <c r="D143" s="23"/>
      <c r="E143" s="24" t="s">
        <v>41</v>
      </c>
      <c r="F143" s="24"/>
      <c r="G143" s="25">
        <v>0</v>
      </c>
      <c r="H143" s="2"/>
      <c r="K143" s="81"/>
    </row>
    <row r="144" spans="1:11" ht="15.75" hidden="1" customHeight="1">
      <c r="A144" s="64"/>
      <c r="B144" s="11">
        <v>45751</v>
      </c>
      <c r="C144" s="12">
        <v>0</v>
      </c>
      <c r="D144" s="12">
        <v>13105</v>
      </c>
      <c r="E144" s="90" t="s">
        <v>31</v>
      </c>
      <c r="F144" s="27">
        <v>40425</v>
      </c>
      <c r="G144" s="28">
        <v>288.73</v>
      </c>
      <c r="H144" s="2"/>
      <c r="K144" s="81"/>
    </row>
    <row r="145" spans="1:11" ht="15.75" hidden="1" customHeight="1">
      <c r="A145" s="64"/>
      <c r="B145" s="29"/>
      <c r="C145" s="29"/>
      <c r="D145" s="29"/>
      <c r="E145" s="13" t="s">
        <v>41</v>
      </c>
      <c r="F145" s="13"/>
      <c r="G145" s="30">
        <v>0</v>
      </c>
      <c r="H145" s="2"/>
      <c r="K145" s="81"/>
    </row>
    <row r="146" spans="1:11" ht="15.75" hidden="1" customHeight="1">
      <c r="A146" s="64"/>
      <c r="B146" s="17">
        <v>45751</v>
      </c>
      <c r="C146" s="18">
        <v>0</v>
      </c>
      <c r="D146" s="18">
        <v>13105</v>
      </c>
      <c r="E146" s="89" t="s">
        <v>31</v>
      </c>
      <c r="F146" s="20">
        <v>40426</v>
      </c>
      <c r="G146" s="31">
        <v>1357.92</v>
      </c>
      <c r="H146" s="2"/>
      <c r="K146" s="81"/>
    </row>
    <row r="147" spans="1:11" ht="15.75" hidden="1" customHeight="1">
      <c r="A147" s="64"/>
      <c r="B147" s="23"/>
      <c r="C147" s="23"/>
      <c r="D147" s="23"/>
      <c r="E147" s="24" t="s">
        <v>438</v>
      </c>
      <c r="F147" s="24"/>
      <c r="G147" s="25">
        <v>0</v>
      </c>
      <c r="H147" s="2"/>
      <c r="K147" s="81"/>
    </row>
    <row r="148" spans="1:11" ht="15.75" hidden="1" customHeight="1">
      <c r="A148" s="64"/>
      <c r="B148" s="11">
        <v>45751</v>
      </c>
      <c r="C148" s="12">
        <v>0</v>
      </c>
      <c r="D148" s="12">
        <v>13105</v>
      </c>
      <c r="E148" s="90" t="s">
        <v>80</v>
      </c>
      <c r="F148" s="27">
        <v>40427</v>
      </c>
      <c r="G148" s="28">
        <v>292.55</v>
      </c>
      <c r="H148" s="2"/>
      <c r="K148" s="81"/>
    </row>
    <row r="149" spans="1:11" ht="15.75" hidden="1" customHeight="1">
      <c r="A149" s="64"/>
      <c r="B149" s="29"/>
      <c r="C149" s="29"/>
      <c r="D149" s="29"/>
      <c r="E149" s="13" t="s">
        <v>81</v>
      </c>
      <c r="F149" s="13"/>
      <c r="G149" s="30">
        <v>0</v>
      </c>
      <c r="H149" s="2"/>
      <c r="K149" s="81"/>
    </row>
    <row r="150" spans="1:11" ht="15.75" hidden="1" customHeight="1">
      <c r="A150" s="64"/>
      <c r="B150" s="17">
        <v>45751</v>
      </c>
      <c r="C150" s="18">
        <v>0</v>
      </c>
      <c r="D150" s="18">
        <v>13105</v>
      </c>
      <c r="E150" s="89" t="s">
        <v>31</v>
      </c>
      <c r="F150" s="20">
        <v>40428</v>
      </c>
      <c r="G150" s="31">
        <v>1776.3</v>
      </c>
      <c r="H150" s="2"/>
      <c r="K150" s="81"/>
    </row>
    <row r="151" spans="1:11" ht="15.75" hidden="1" customHeight="1">
      <c r="A151" s="64"/>
      <c r="B151" s="23"/>
      <c r="C151" s="23"/>
      <c r="D151" s="23"/>
      <c r="E151" s="24" t="s">
        <v>122</v>
      </c>
      <c r="F151" s="24"/>
      <c r="G151" s="25">
        <v>0</v>
      </c>
      <c r="H151" s="2"/>
      <c r="K151" s="81"/>
    </row>
    <row r="152" spans="1:11" ht="15.75" hidden="1" customHeight="1">
      <c r="A152" s="64"/>
      <c r="B152" s="11">
        <v>45751</v>
      </c>
      <c r="C152" s="12">
        <v>0</v>
      </c>
      <c r="D152" s="12">
        <v>13105</v>
      </c>
      <c r="E152" s="90" t="s">
        <v>31</v>
      </c>
      <c r="F152" s="27">
        <v>40429</v>
      </c>
      <c r="G152" s="28">
        <v>301.58</v>
      </c>
      <c r="H152" s="2"/>
      <c r="K152" s="81"/>
    </row>
    <row r="153" spans="1:11" ht="15.75" hidden="1" customHeight="1">
      <c r="A153" s="64"/>
      <c r="B153" s="29"/>
      <c r="C153" s="29"/>
      <c r="D153" s="29"/>
      <c r="E153" s="13" t="s">
        <v>184</v>
      </c>
      <c r="F153" s="13"/>
      <c r="G153" s="30">
        <v>0</v>
      </c>
      <c r="H153" s="2"/>
      <c r="K153" s="81"/>
    </row>
    <row r="154" spans="1:11" ht="15.75" hidden="1" customHeight="1">
      <c r="A154" s="64"/>
      <c r="B154" s="17">
        <v>45751</v>
      </c>
      <c r="C154" s="18">
        <v>0</v>
      </c>
      <c r="D154" s="18">
        <v>13105</v>
      </c>
      <c r="E154" s="89" t="s">
        <v>31</v>
      </c>
      <c r="F154" s="20">
        <v>40430</v>
      </c>
      <c r="G154" s="31">
        <v>698.91</v>
      </c>
      <c r="H154" s="2"/>
      <c r="K154" s="81"/>
    </row>
    <row r="155" spans="1:11" ht="15.75" hidden="1" customHeight="1">
      <c r="A155" s="64"/>
      <c r="B155" s="23"/>
      <c r="C155" s="23"/>
      <c r="D155" s="23"/>
      <c r="E155" s="24" t="s">
        <v>439</v>
      </c>
      <c r="F155" s="24"/>
      <c r="G155" s="25">
        <v>0</v>
      </c>
      <c r="H155" s="2"/>
      <c r="K155" s="81"/>
    </row>
    <row r="156" spans="1:11" ht="15.75" hidden="1" customHeight="1">
      <c r="A156" s="64"/>
      <c r="B156" s="11">
        <v>45751</v>
      </c>
      <c r="C156" s="12">
        <v>0</v>
      </c>
      <c r="D156" s="12">
        <v>13105</v>
      </c>
      <c r="E156" s="90" t="s">
        <v>31</v>
      </c>
      <c r="F156" s="27">
        <v>40431</v>
      </c>
      <c r="G156" s="28">
        <v>2036.1</v>
      </c>
      <c r="H156" s="2"/>
      <c r="K156" s="81"/>
    </row>
    <row r="157" spans="1:11" ht="15.75" hidden="1" customHeight="1">
      <c r="A157" s="64"/>
      <c r="B157" s="29"/>
      <c r="C157" s="29"/>
      <c r="D157" s="29"/>
      <c r="E157" s="13" t="s">
        <v>121</v>
      </c>
      <c r="F157" s="13"/>
      <c r="G157" s="30">
        <v>0</v>
      </c>
      <c r="H157" s="2"/>
      <c r="K157" s="81"/>
    </row>
    <row r="158" spans="1:11" ht="15.75" hidden="1" customHeight="1">
      <c r="A158" s="64"/>
      <c r="B158" s="17">
        <v>45751</v>
      </c>
      <c r="C158" s="18">
        <v>0</v>
      </c>
      <c r="D158" s="18">
        <v>13105</v>
      </c>
      <c r="E158" s="89" t="s">
        <v>31</v>
      </c>
      <c r="F158" s="20">
        <v>40432</v>
      </c>
      <c r="G158" s="31">
        <v>1009.78</v>
      </c>
      <c r="H158" s="2"/>
      <c r="K158" s="81"/>
    </row>
    <row r="159" spans="1:11" ht="15.75" hidden="1" customHeight="1">
      <c r="A159" s="64"/>
      <c r="B159" s="23"/>
      <c r="C159" s="23"/>
      <c r="D159" s="23"/>
      <c r="E159" s="24" t="s">
        <v>440</v>
      </c>
      <c r="F159" s="24"/>
      <c r="G159" s="25">
        <v>0</v>
      </c>
      <c r="H159" s="2"/>
      <c r="K159" s="81"/>
    </row>
    <row r="160" spans="1:11" ht="15.75" hidden="1" customHeight="1">
      <c r="A160" s="64"/>
      <c r="B160" s="11">
        <v>45751</v>
      </c>
      <c r="C160" s="12">
        <v>0</v>
      </c>
      <c r="D160" s="12">
        <v>13105</v>
      </c>
      <c r="E160" s="90" t="s">
        <v>31</v>
      </c>
      <c r="F160" s="27">
        <v>40433</v>
      </c>
      <c r="G160" s="28">
        <v>1229.08</v>
      </c>
      <c r="H160" s="2"/>
      <c r="K160" s="81"/>
    </row>
    <row r="161" spans="1:11" ht="15.75" hidden="1" customHeight="1">
      <c r="A161" s="64"/>
      <c r="B161" s="29"/>
      <c r="C161" s="29"/>
      <c r="D161" s="29"/>
      <c r="E161" s="13" t="s">
        <v>96</v>
      </c>
      <c r="F161" s="13"/>
      <c r="G161" s="30">
        <v>0</v>
      </c>
      <c r="H161" s="2"/>
      <c r="K161" s="81"/>
    </row>
    <row r="162" spans="1:11" ht="15.75" hidden="1" customHeight="1">
      <c r="A162" s="64"/>
      <c r="B162" s="17">
        <v>45751</v>
      </c>
      <c r="C162" s="18">
        <v>0</v>
      </c>
      <c r="D162" s="18">
        <v>13105</v>
      </c>
      <c r="E162" s="89" t="s">
        <v>31</v>
      </c>
      <c r="F162" s="20">
        <v>40434</v>
      </c>
      <c r="G162" s="31">
        <v>1117.54</v>
      </c>
      <c r="H162" s="2"/>
      <c r="K162" s="81"/>
    </row>
    <row r="163" spans="1:11" ht="15.75" hidden="1" customHeight="1">
      <c r="A163" s="64"/>
      <c r="B163" s="23"/>
      <c r="C163" s="23"/>
      <c r="D163" s="23"/>
      <c r="E163" s="24" t="s">
        <v>163</v>
      </c>
      <c r="F163" s="24"/>
      <c r="G163" s="25">
        <v>0</v>
      </c>
      <c r="H163" s="2"/>
      <c r="K163" s="81"/>
    </row>
    <row r="164" spans="1:11" ht="15.75" hidden="1" customHeight="1">
      <c r="A164" s="64"/>
      <c r="B164" s="11">
        <v>45751</v>
      </c>
      <c r="C164" s="12">
        <v>0</v>
      </c>
      <c r="D164" s="12">
        <v>13105</v>
      </c>
      <c r="E164" s="90" t="s">
        <v>31</v>
      </c>
      <c r="F164" s="27">
        <v>40435</v>
      </c>
      <c r="G164" s="28">
        <v>3196.35</v>
      </c>
      <c r="H164" s="2"/>
      <c r="K164" s="81"/>
    </row>
    <row r="165" spans="1:11" ht="15.75" hidden="1" customHeight="1">
      <c r="A165" s="64"/>
      <c r="B165" s="29"/>
      <c r="C165" s="29"/>
      <c r="D165" s="29"/>
      <c r="E165" s="13" t="s">
        <v>440</v>
      </c>
      <c r="F165" s="13"/>
      <c r="G165" s="30">
        <v>0</v>
      </c>
      <c r="H165" s="2"/>
      <c r="K165" s="81"/>
    </row>
    <row r="166" spans="1:11" ht="15.75" hidden="1" customHeight="1">
      <c r="A166" s="64"/>
      <c r="B166" s="17">
        <v>45751</v>
      </c>
      <c r="C166" s="18">
        <v>0</v>
      </c>
      <c r="D166" s="18">
        <v>13105</v>
      </c>
      <c r="E166" s="89" t="s">
        <v>31</v>
      </c>
      <c r="F166" s="20">
        <v>40436</v>
      </c>
      <c r="G166" s="31">
        <v>1281.3599999999999</v>
      </c>
      <c r="H166" s="2"/>
      <c r="K166" s="81"/>
    </row>
    <row r="167" spans="1:11" ht="15.75" hidden="1" customHeight="1">
      <c r="A167" s="64"/>
      <c r="B167" s="23"/>
      <c r="C167" s="23"/>
      <c r="D167" s="23"/>
      <c r="E167" s="24" t="s">
        <v>441</v>
      </c>
      <c r="F167" s="24"/>
      <c r="G167" s="25">
        <v>0</v>
      </c>
      <c r="H167" s="2"/>
      <c r="K167" s="81"/>
    </row>
    <row r="168" spans="1:11" ht="15.75" hidden="1" customHeight="1">
      <c r="A168" s="64"/>
      <c r="B168" s="11">
        <v>45751</v>
      </c>
      <c r="C168" s="12">
        <v>0</v>
      </c>
      <c r="D168" s="12">
        <v>13105</v>
      </c>
      <c r="E168" s="90" t="s">
        <v>31</v>
      </c>
      <c r="F168" s="27">
        <v>40437</v>
      </c>
      <c r="G168" s="28">
        <v>173.78</v>
      </c>
      <c r="H168" s="2"/>
      <c r="K168" s="81"/>
    </row>
    <row r="169" spans="1:11" ht="15.75" hidden="1" customHeight="1">
      <c r="A169" s="64"/>
      <c r="B169" s="29"/>
      <c r="C169" s="29"/>
      <c r="D169" s="29"/>
      <c r="E169" s="13" t="s">
        <v>111</v>
      </c>
      <c r="F169" s="13"/>
      <c r="G169" s="30">
        <v>0</v>
      </c>
      <c r="H169" s="2"/>
      <c r="K169" s="81"/>
    </row>
    <row r="170" spans="1:11" ht="15.75" hidden="1" customHeight="1">
      <c r="A170" s="64"/>
      <c r="B170" s="17">
        <v>45751</v>
      </c>
      <c r="C170" s="18">
        <v>0</v>
      </c>
      <c r="D170" s="18">
        <v>13105</v>
      </c>
      <c r="E170" s="89" t="s">
        <v>31</v>
      </c>
      <c r="F170" s="20">
        <v>40438</v>
      </c>
      <c r="G170" s="31">
        <v>244.04</v>
      </c>
      <c r="H170" s="2"/>
      <c r="K170" s="81"/>
    </row>
    <row r="171" spans="1:11" ht="15.75" hidden="1" customHeight="1">
      <c r="A171" s="64"/>
      <c r="B171" s="23"/>
      <c r="C171" s="23"/>
      <c r="D171" s="23"/>
      <c r="E171" s="24" t="s">
        <v>111</v>
      </c>
      <c r="F171" s="24"/>
      <c r="G171" s="25">
        <v>0</v>
      </c>
      <c r="H171" s="2"/>
      <c r="K171" s="81"/>
    </row>
    <row r="172" spans="1:11" ht="15.75" hidden="1" customHeight="1">
      <c r="A172" s="64"/>
      <c r="B172" s="11">
        <v>45751</v>
      </c>
      <c r="C172" s="12">
        <v>0</v>
      </c>
      <c r="D172" s="12">
        <v>0</v>
      </c>
      <c r="E172" s="90" t="s">
        <v>52</v>
      </c>
      <c r="F172" s="27">
        <v>9903</v>
      </c>
      <c r="G172" s="15">
        <v>12388.18</v>
      </c>
      <c r="H172" s="2"/>
      <c r="K172" s="81"/>
    </row>
    <row r="173" spans="1:11" ht="15.75" hidden="1" customHeight="1">
      <c r="A173" s="64"/>
      <c r="B173" s="29"/>
      <c r="C173" s="29"/>
      <c r="D173" s="29"/>
      <c r="E173" s="13" t="s">
        <v>53</v>
      </c>
      <c r="F173" s="13"/>
      <c r="G173" s="30">
        <v>0</v>
      </c>
      <c r="H173" s="2"/>
      <c r="K173" s="81"/>
    </row>
    <row r="174" spans="1:11" ht="15.75" hidden="1" customHeight="1">
      <c r="A174" s="64"/>
      <c r="B174" s="17">
        <v>45754</v>
      </c>
      <c r="C174" s="18">
        <v>0</v>
      </c>
      <c r="D174" s="18">
        <v>14175</v>
      </c>
      <c r="E174" s="89" t="s">
        <v>62</v>
      </c>
      <c r="F174" s="20">
        <v>377035515</v>
      </c>
      <c r="G174" s="21">
        <v>2000</v>
      </c>
      <c r="H174" s="2"/>
      <c r="K174" s="81"/>
    </row>
    <row r="175" spans="1:11" ht="15.75" hidden="1" customHeight="1">
      <c r="A175" s="64"/>
      <c r="B175" s="23"/>
      <c r="C175" s="23"/>
      <c r="D175" s="23"/>
      <c r="E175" s="24" t="s">
        <v>97</v>
      </c>
      <c r="F175" s="24"/>
      <c r="G175" s="25">
        <v>0</v>
      </c>
      <c r="H175" s="2"/>
      <c r="K175" s="81"/>
    </row>
    <row r="176" spans="1:11" ht="15.75" customHeight="1">
      <c r="A176" s="106" t="s">
        <v>423</v>
      </c>
      <c r="B176" s="11">
        <v>45754</v>
      </c>
      <c r="C176" s="12">
        <v>0</v>
      </c>
      <c r="D176" s="12">
        <v>14056</v>
      </c>
      <c r="E176" s="90" t="s">
        <v>257</v>
      </c>
      <c r="F176" s="27">
        <v>1459572000000</v>
      </c>
      <c r="G176" s="15">
        <v>6153.1</v>
      </c>
      <c r="H176" s="2" t="s">
        <v>291</v>
      </c>
      <c r="K176" s="81"/>
    </row>
    <row r="177" spans="1:11" ht="15.75" hidden="1" customHeight="1">
      <c r="A177" s="64"/>
      <c r="B177" s="29"/>
      <c r="C177" s="29"/>
      <c r="D177" s="29"/>
      <c r="E177" s="13" t="s">
        <v>259</v>
      </c>
      <c r="F177" s="13"/>
      <c r="G177" s="30">
        <v>0</v>
      </c>
      <c r="H177" s="2"/>
      <c r="K177" s="81"/>
    </row>
    <row r="178" spans="1:11" ht="15.75" hidden="1" customHeight="1">
      <c r="A178" s="64"/>
      <c r="B178" s="17">
        <v>45754</v>
      </c>
      <c r="C178" s="18">
        <v>1533</v>
      </c>
      <c r="D178" s="18">
        <v>99008</v>
      </c>
      <c r="E178" s="89" t="s">
        <v>29</v>
      </c>
      <c r="F178" s="20">
        <v>232250</v>
      </c>
      <c r="G178" s="31">
        <v>211.35</v>
      </c>
      <c r="H178" s="2"/>
      <c r="K178" s="81"/>
    </row>
    <row r="179" spans="1:11" ht="15.75" hidden="1" customHeight="1">
      <c r="A179" s="64"/>
      <c r="B179" s="23"/>
      <c r="C179" s="23"/>
      <c r="D179" s="23"/>
      <c r="E179" s="24" t="s">
        <v>442</v>
      </c>
      <c r="F179" s="24"/>
      <c r="G179" s="25">
        <v>0</v>
      </c>
      <c r="H179" s="2"/>
      <c r="K179" s="81"/>
    </row>
    <row r="180" spans="1:11" ht="15.75" hidden="1" customHeight="1">
      <c r="A180" s="64"/>
      <c r="B180" s="11">
        <v>45754</v>
      </c>
      <c r="C180" s="12">
        <v>0</v>
      </c>
      <c r="D180" s="12">
        <v>13105</v>
      </c>
      <c r="E180" s="90" t="s">
        <v>31</v>
      </c>
      <c r="F180" s="27">
        <v>40701</v>
      </c>
      <c r="G180" s="28">
        <v>1328.62</v>
      </c>
      <c r="H180" s="2"/>
      <c r="K180" s="81"/>
    </row>
    <row r="181" spans="1:11" ht="15.75" hidden="1" customHeight="1">
      <c r="A181" s="64"/>
      <c r="B181" s="29"/>
      <c r="C181" s="29"/>
      <c r="D181" s="29"/>
      <c r="E181" s="13" t="s">
        <v>71</v>
      </c>
      <c r="F181" s="13"/>
      <c r="G181" s="30">
        <v>0</v>
      </c>
      <c r="H181" s="2"/>
      <c r="K181" s="81"/>
    </row>
    <row r="182" spans="1:11" ht="15.75" hidden="1" customHeight="1">
      <c r="A182" s="64"/>
      <c r="B182" s="17">
        <v>45754</v>
      </c>
      <c r="C182" s="18">
        <v>0</v>
      </c>
      <c r="D182" s="18">
        <v>13105</v>
      </c>
      <c r="E182" s="89" t="s">
        <v>31</v>
      </c>
      <c r="F182" s="20">
        <v>40702</v>
      </c>
      <c r="G182" s="31">
        <v>344.19</v>
      </c>
      <c r="H182" s="2"/>
      <c r="K182" s="81"/>
    </row>
    <row r="183" spans="1:11" ht="15.75" hidden="1" customHeight="1">
      <c r="A183" s="64"/>
      <c r="B183" s="23"/>
      <c r="C183" s="23"/>
      <c r="D183" s="23"/>
      <c r="E183" s="24" t="s">
        <v>396</v>
      </c>
      <c r="F183" s="24"/>
      <c r="G183" s="25">
        <v>0</v>
      </c>
      <c r="H183" s="2"/>
      <c r="K183" s="81"/>
    </row>
    <row r="184" spans="1:11" ht="15.75" hidden="1" customHeight="1">
      <c r="A184" s="64"/>
      <c r="B184" s="11">
        <v>45754</v>
      </c>
      <c r="C184" s="12">
        <v>0</v>
      </c>
      <c r="D184" s="12">
        <v>13105</v>
      </c>
      <c r="E184" s="90" t="s">
        <v>31</v>
      </c>
      <c r="F184" s="27">
        <v>40703</v>
      </c>
      <c r="G184" s="28">
        <v>83.28</v>
      </c>
      <c r="H184" s="2"/>
      <c r="K184" s="81"/>
    </row>
    <row r="185" spans="1:11" ht="15.75" hidden="1" customHeight="1">
      <c r="A185" s="64"/>
      <c r="B185" s="29"/>
      <c r="C185" s="29"/>
      <c r="D185" s="29"/>
      <c r="E185" s="13" t="s">
        <v>46</v>
      </c>
      <c r="F185" s="13"/>
      <c r="G185" s="30">
        <v>0</v>
      </c>
      <c r="H185" s="2"/>
      <c r="K185" s="81"/>
    </row>
    <row r="186" spans="1:11" ht="15.75" hidden="1" customHeight="1">
      <c r="A186" s="64"/>
      <c r="B186" s="17">
        <v>45754</v>
      </c>
      <c r="C186" s="18">
        <v>0</v>
      </c>
      <c r="D186" s="18">
        <v>13105</v>
      </c>
      <c r="E186" s="89" t="s">
        <v>31</v>
      </c>
      <c r="F186" s="20">
        <v>40704</v>
      </c>
      <c r="G186" s="31">
        <v>390.66</v>
      </c>
      <c r="H186" s="2"/>
      <c r="K186" s="81"/>
    </row>
    <row r="187" spans="1:11" ht="15.75" hidden="1" customHeight="1">
      <c r="A187" s="64"/>
      <c r="B187" s="23"/>
      <c r="C187" s="23"/>
      <c r="D187" s="23"/>
      <c r="E187" s="24" t="s">
        <v>231</v>
      </c>
      <c r="F187" s="24"/>
      <c r="G187" s="25">
        <v>0</v>
      </c>
      <c r="H187" s="2"/>
      <c r="K187" s="81"/>
    </row>
    <row r="188" spans="1:11" ht="15.75" hidden="1" customHeight="1">
      <c r="A188" s="64"/>
      <c r="B188" s="11">
        <v>45754</v>
      </c>
      <c r="C188" s="12">
        <v>0</v>
      </c>
      <c r="D188" s="12">
        <v>13105</v>
      </c>
      <c r="E188" s="90" t="s">
        <v>34</v>
      </c>
      <c r="F188" s="27">
        <v>40705</v>
      </c>
      <c r="G188" s="28">
        <v>130.84</v>
      </c>
      <c r="H188" s="2"/>
      <c r="K188" s="81"/>
    </row>
    <row r="189" spans="1:11" ht="15.75" hidden="1" customHeight="1">
      <c r="A189" s="64"/>
      <c r="B189" s="29"/>
      <c r="C189" s="29"/>
      <c r="D189" s="29"/>
      <c r="E189" s="13" t="s">
        <v>35</v>
      </c>
      <c r="F189" s="13"/>
      <c r="G189" s="30">
        <v>0</v>
      </c>
      <c r="H189" s="2"/>
      <c r="K189" s="81"/>
    </row>
    <row r="190" spans="1:11" ht="15.75" hidden="1" customHeight="1">
      <c r="A190" s="64"/>
      <c r="B190" s="17">
        <v>45754</v>
      </c>
      <c r="C190" s="18">
        <v>0</v>
      </c>
      <c r="D190" s="18">
        <v>13105</v>
      </c>
      <c r="E190" s="89" t="s">
        <v>31</v>
      </c>
      <c r="F190" s="20">
        <v>40706</v>
      </c>
      <c r="G190" s="31">
        <v>542.85</v>
      </c>
      <c r="H190" s="2"/>
      <c r="K190" s="81"/>
    </row>
    <row r="191" spans="1:11" ht="15.75" hidden="1" customHeight="1">
      <c r="A191" s="64"/>
      <c r="B191" s="23"/>
      <c r="C191" s="23"/>
      <c r="D191" s="23"/>
      <c r="E191" s="24" t="s">
        <v>41</v>
      </c>
      <c r="F191" s="24"/>
      <c r="G191" s="25">
        <v>0</v>
      </c>
      <c r="H191" s="2"/>
      <c r="K191" s="81"/>
    </row>
    <row r="192" spans="1:11" ht="15.75" hidden="1" customHeight="1">
      <c r="A192" s="64"/>
      <c r="B192" s="11">
        <v>45754</v>
      </c>
      <c r="C192" s="12">
        <v>0</v>
      </c>
      <c r="D192" s="12">
        <v>13105</v>
      </c>
      <c r="E192" s="90" t="s">
        <v>31</v>
      </c>
      <c r="F192" s="27">
        <v>40707</v>
      </c>
      <c r="G192" s="28">
        <v>350</v>
      </c>
      <c r="H192" s="2"/>
      <c r="K192" s="81"/>
    </row>
    <row r="193" spans="1:11" ht="15.75" hidden="1" customHeight="1">
      <c r="A193" s="64"/>
      <c r="B193" s="29"/>
      <c r="C193" s="29"/>
      <c r="D193" s="29"/>
      <c r="E193" s="13" t="s">
        <v>41</v>
      </c>
      <c r="F193" s="13"/>
      <c r="G193" s="30">
        <v>0</v>
      </c>
      <c r="H193" s="2"/>
      <c r="K193" s="81"/>
    </row>
    <row r="194" spans="1:11" ht="15.75" hidden="1" customHeight="1">
      <c r="A194" s="64"/>
      <c r="B194" s="17">
        <v>45754</v>
      </c>
      <c r="C194" s="18">
        <v>0</v>
      </c>
      <c r="D194" s="18">
        <v>13105</v>
      </c>
      <c r="E194" s="89" t="s">
        <v>31</v>
      </c>
      <c r="F194" s="20">
        <v>40708</v>
      </c>
      <c r="G194" s="31">
        <v>3475.08</v>
      </c>
      <c r="H194" s="2"/>
      <c r="K194" s="81"/>
    </row>
    <row r="195" spans="1:11" ht="15.75" hidden="1" customHeight="1">
      <c r="A195" s="64"/>
      <c r="B195" s="23"/>
      <c r="C195" s="23"/>
      <c r="D195" s="23"/>
      <c r="E195" s="24" t="s">
        <v>65</v>
      </c>
      <c r="F195" s="24"/>
      <c r="G195" s="25">
        <v>0</v>
      </c>
      <c r="H195" s="2"/>
      <c r="K195" s="81"/>
    </row>
    <row r="196" spans="1:11" ht="15.75" hidden="1" customHeight="1">
      <c r="A196" s="64"/>
      <c r="B196" s="11">
        <v>45754</v>
      </c>
      <c r="C196" s="12">
        <v>0</v>
      </c>
      <c r="D196" s="12">
        <v>13105</v>
      </c>
      <c r="E196" s="90" t="s">
        <v>31</v>
      </c>
      <c r="F196" s="27">
        <v>40709</v>
      </c>
      <c r="G196" s="28">
        <v>1879.76</v>
      </c>
      <c r="H196" s="2"/>
      <c r="K196" s="81"/>
    </row>
    <row r="197" spans="1:11" ht="15.75" hidden="1" customHeight="1">
      <c r="A197" s="64"/>
      <c r="B197" s="29"/>
      <c r="C197" s="29"/>
      <c r="D197" s="29"/>
      <c r="E197" s="13" t="s">
        <v>65</v>
      </c>
      <c r="F197" s="13"/>
      <c r="G197" s="30">
        <v>0</v>
      </c>
      <c r="H197" s="2"/>
      <c r="K197" s="81"/>
    </row>
    <row r="198" spans="1:11" ht="15.75" hidden="1" customHeight="1">
      <c r="A198" s="64"/>
      <c r="B198" s="17">
        <v>45754</v>
      </c>
      <c r="C198" s="18">
        <v>0</v>
      </c>
      <c r="D198" s="18">
        <v>13113</v>
      </c>
      <c r="E198" s="89" t="s">
        <v>72</v>
      </c>
      <c r="F198" s="20">
        <v>830971203720107</v>
      </c>
      <c r="G198" s="31">
        <v>75.400000000000006</v>
      </c>
      <c r="H198" s="2"/>
      <c r="K198" s="81"/>
    </row>
    <row r="199" spans="1:11" ht="15.75" hidden="1" customHeight="1">
      <c r="A199" s="64"/>
      <c r="B199" s="23"/>
      <c r="C199" s="23"/>
      <c r="D199" s="23"/>
      <c r="E199" s="24" t="s">
        <v>443</v>
      </c>
      <c r="F199" s="24"/>
      <c r="G199" s="25">
        <v>0</v>
      </c>
      <c r="H199" s="2"/>
      <c r="K199" s="81"/>
    </row>
    <row r="200" spans="1:11" ht="15.75" hidden="1" customHeight="1">
      <c r="A200" s="64"/>
      <c r="B200" s="11">
        <v>45754</v>
      </c>
      <c r="C200" s="12">
        <v>0</v>
      </c>
      <c r="D200" s="12">
        <v>0</v>
      </c>
      <c r="E200" s="90" t="s">
        <v>52</v>
      </c>
      <c r="F200" s="27">
        <v>9903</v>
      </c>
      <c r="G200" s="15">
        <v>658.93</v>
      </c>
      <c r="H200" s="2"/>
      <c r="K200" s="81"/>
    </row>
    <row r="201" spans="1:11" ht="15.75" hidden="1" customHeight="1">
      <c r="A201" s="64"/>
      <c r="B201" s="29"/>
      <c r="C201" s="29"/>
      <c r="D201" s="29"/>
      <c r="E201" s="13" t="s">
        <v>53</v>
      </c>
      <c r="F201" s="13"/>
      <c r="G201" s="30">
        <v>0</v>
      </c>
      <c r="H201" s="2"/>
      <c r="K201" s="81"/>
    </row>
    <row r="202" spans="1:11" ht="15.75" hidden="1" customHeight="1">
      <c r="A202" s="64"/>
      <c r="B202" s="17">
        <v>45755</v>
      </c>
      <c r="C202" s="18">
        <v>3525</v>
      </c>
      <c r="D202" s="18">
        <v>99021</v>
      </c>
      <c r="E202" s="89" t="s">
        <v>27</v>
      </c>
      <c r="F202" s="20">
        <v>613525000032047</v>
      </c>
      <c r="G202" s="21">
        <v>329.87</v>
      </c>
      <c r="H202" s="2"/>
      <c r="K202" s="81"/>
    </row>
    <row r="203" spans="1:11" ht="15.75" hidden="1" customHeight="1">
      <c r="A203" s="64"/>
      <c r="B203" s="23"/>
      <c r="C203" s="23"/>
      <c r="D203" s="23"/>
      <c r="E203" s="24" t="s">
        <v>444</v>
      </c>
      <c r="F203" s="24"/>
      <c r="G203" s="25">
        <v>0</v>
      </c>
      <c r="H203" s="2"/>
      <c r="K203" s="81"/>
    </row>
    <row r="204" spans="1:11" ht="15.75" hidden="1" customHeight="1">
      <c r="A204" s="64"/>
      <c r="B204" s="11">
        <v>45755</v>
      </c>
      <c r="C204" s="12">
        <v>5072</v>
      </c>
      <c r="D204" s="12">
        <v>99021</v>
      </c>
      <c r="E204" s="90" t="s">
        <v>27</v>
      </c>
      <c r="F204" s="27">
        <v>615072000004700</v>
      </c>
      <c r="G204" s="15">
        <v>1640.96</v>
      </c>
      <c r="H204" s="2"/>
      <c r="K204" s="81"/>
    </row>
    <row r="205" spans="1:11" ht="15.75" hidden="1" customHeight="1">
      <c r="A205" s="64"/>
      <c r="B205" s="29"/>
      <c r="C205" s="29"/>
      <c r="D205" s="29"/>
      <c r="E205" s="13" t="s">
        <v>445</v>
      </c>
      <c r="F205" s="13"/>
      <c r="G205" s="30">
        <v>0</v>
      </c>
      <c r="H205" s="2"/>
      <c r="K205" s="81"/>
    </row>
    <row r="206" spans="1:11" ht="15.75" hidden="1" customHeight="1">
      <c r="A206" s="64"/>
      <c r="B206" s="17">
        <v>45755</v>
      </c>
      <c r="C206" s="18">
        <v>0</v>
      </c>
      <c r="D206" s="18">
        <v>14175</v>
      </c>
      <c r="E206" s="89" t="s">
        <v>62</v>
      </c>
      <c r="F206" s="20">
        <v>377146275</v>
      </c>
      <c r="G206" s="21">
        <v>2000</v>
      </c>
      <c r="H206" s="2"/>
      <c r="K206" s="81"/>
    </row>
    <row r="207" spans="1:11" ht="15.75" hidden="1" customHeight="1">
      <c r="A207" s="64"/>
      <c r="B207" s="23"/>
      <c r="C207" s="23"/>
      <c r="D207" s="23"/>
      <c r="E207" s="24" t="s">
        <v>97</v>
      </c>
      <c r="F207" s="24"/>
      <c r="G207" s="25">
        <v>0</v>
      </c>
      <c r="H207" s="2"/>
      <c r="K207" s="81"/>
    </row>
    <row r="208" spans="1:11" ht="15.75" hidden="1" customHeight="1">
      <c r="A208" s="64"/>
      <c r="B208" s="11">
        <v>45755</v>
      </c>
      <c r="C208" s="12">
        <v>0</v>
      </c>
      <c r="D208" s="12">
        <v>14397</v>
      </c>
      <c r="E208" s="90" t="s">
        <v>57</v>
      </c>
      <c r="F208" s="27">
        <v>80951506981722</v>
      </c>
      <c r="G208" s="15">
        <v>76.75</v>
      </c>
      <c r="H208" s="2"/>
      <c r="K208" s="81"/>
    </row>
    <row r="209" spans="1:11" ht="15.75" hidden="1" customHeight="1">
      <c r="A209" s="64"/>
      <c r="B209" s="29"/>
      <c r="C209" s="29"/>
      <c r="D209" s="29"/>
      <c r="E209" s="13" t="s">
        <v>446</v>
      </c>
      <c r="F209" s="13"/>
      <c r="G209" s="30">
        <v>0</v>
      </c>
      <c r="H209" s="2"/>
      <c r="K209" s="81"/>
    </row>
    <row r="210" spans="1:11" ht="15.75" hidden="1" customHeight="1">
      <c r="A210" s="64"/>
      <c r="B210" s="17">
        <v>45755</v>
      </c>
      <c r="C210" s="18">
        <v>0</v>
      </c>
      <c r="D210" s="18">
        <v>14397</v>
      </c>
      <c r="E210" s="89" t="s">
        <v>57</v>
      </c>
      <c r="F210" s="20">
        <v>81418159291642</v>
      </c>
      <c r="G210" s="21">
        <v>1755.12</v>
      </c>
      <c r="H210" s="2"/>
      <c r="K210" s="81"/>
    </row>
    <row r="211" spans="1:11" ht="15.75" hidden="1" customHeight="1">
      <c r="A211" s="64"/>
      <c r="B211" s="23"/>
      <c r="C211" s="23"/>
      <c r="D211" s="23"/>
      <c r="E211" s="24" t="s">
        <v>447</v>
      </c>
      <c r="F211" s="24"/>
      <c r="G211" s="25">
        <v>0</v>
      </c>
      <c r="H211" s="2"/>
      <c r="K211" s="81"/>
    </row>
    <row r="212" spans="1:11" ht="15.75" hidden="1" customHeight="1">
      <c r="A212" s="64"/>
      <c r="B212" s="11">
        <v>45755</v>
      </c>
      <c r="C212" s="12">
        <v>0</v>
      </c>
      <c r="D212" s="12">
        <v>13105</v>
      </c>
      <c r="E212" s="90" t="s">
        <v>80</v>
      </c>
      <c r="F212" s="27">
        <v>40801</v>
      </c>
      <c r="G212" s="28">
        <v>3.43</v>
      </c>
      <c r="H212" s="2"/>
      <c r="K212" s="81"/>
    </row>
    <row r="213" spans="1:11" ht="15.75" hidden="1" customHeight="1">
      <c r="A213" s="64"/>
      <c r="B213" s="29"/>
      <c r="C213" s="29"/>
      <c r="D213" s="29"/>
      <c r="E213" s="13" t="s">
        <v>81</v>
      </c>
      <c r="F213" s="13"/>
      <c r="G213" s="30">
        <v>0</v>
      </c>
      <c r="H213" s="2"/>
      <c r="K213" s="81"/>
    </row>
    <row r="214" spans="1:11" ht="15.75" hidden="1" customHeight="1">
      <c r="A214" s="64"/>
      <c r="B214" s="17">
        <v>45755</v>
      </c>
      <c r="C214" s="18">
        <v>0</v>
      </c>
      <c r="D214" s="18">
        <v>13105</v>
      </c>
      <c r="E214" s="89" t="s">
        <v>80</v>
      </c>
      <c r="F214" s="20">
        <v>40802</v>
      </c>
      <c r="G214" s="31">
        <v>160.16999999999999</v>
      </c>
      <c r="H214" s="2"/>
      <c r="K214" s="81"/>
    </row>
    <row r="215" spans="1:11" ht="15.75" hidden="1" customHeight="1">
      <c r="A215" s="64"/>
      <c r="B215" s="23"/>
      <c r="C215" s="23"/>
      <c r="D215" s="23"/>
      <c r="E215" s="24" t="s">
        <v>81</v>
      </c>
      <c r="F215" s="24"/>
      <c r="G215" s="25">
        <v>0</v>
      </c>
      <c r="H215" s="2"/>
      <c r="K215" s="81"/>
    </row>
    <row r="216" spans="1:11" ht="15.75" hidden="1" customHeight="1">
      <c r="A216" s="64"/>
      <c r="B216" s="11">
        <v>45755</v>
      </c>
      <c r="C216" s="12">
        <v>0</v>
      </c>
      <c r="D216" s="12">
        <v>13105</v>
      </c>
      <c r="E216" s="90" t="s">
        <v>80</v>
      </c>
      <c r="F216" s="27">
        <v>40803</v>
      </c>
      <c r="G216" s="28">
        <v>58.83</v>
      </c>
      <c r="H216" s="2"/>
      <c r="K216" s="81"/>
    </row>
    <row r="217" spans="1:11" ht="15.75" hidden="1" customHeight="1">
      <c r="A217" s="64"/>
      <c r="B217" s="29"/>
      <c r="C217" s="29"/>
      <c r="D217" s="29"/>
      <c r="E217" s="13" t="s">
        <v>81</v>
      </c>
      <c r="F217" s="13"/>
      <c r="G217" s="30">
        <v>0</v>
      </c>
      <c r="H217" s="2"/>
      <c r="K217" s="81"/>
    </row>
    <row r="218" spans="1:11" ht="15.75" hidden="1" customHeight="1">
      <c r="A218" s="64"/>
      <c r="B218" s="17">
        <v>45755</v>
      </c>
      <c r="C218" s="18">
        <v>0</v>
      </c>
      <c r="D218" s="18">
        <v>13105</v>
      </c>
      <c r="E218" s="89" t="s">
        <v>80</v>
      </c>
      <c r="F218" s="20">
        <v>40804</v>
      </c>
      <c r="G218" s="31">
        <v>2240</v>
      </c>
      <c r="H218" s="2"/>
      <c r="K218" s="81"/>
    </row>
    <row r="219" spans="1:11" ht="15.75" hidden="1" customHeight="1">
      <c r="A219" s="64"/>
      <c r="B219" s="23"/>
      <c r="C219" s="23"/>
      <c r="D219" s="23"/>
      <c r="E219" s="24" t="s">
        <v>81</v>
      </c>
      <c r="F219" s="24"/>
      <c r="G219" s="25">
        <v>0</v>
      </c>
      <c r="H219" s="2"/>
      <c r="K219" s="81"/>
    </row>
    <row r="220" spans="1:11" ht="15.75" hidden="1" customHeight="1">
      <c r="A220" s="64"/>
      <c r="B220" s="11">
        <v>45755</v>
      </c>
      <c r="C220" s="12">
        <v>0</v>
      </c>
      <c r="D220" s="12">
        <v>13105</v>
      </c>
      <c r="E220" s="90" t="s">
        <v>31</v>
      </c>
      <c r="F220" s="27">
        <v>40805</v>
      </c>
      <c r="G220" s="28">
        <v>1142.49</v>
      </c>
      <c r="H220" s="2"/>
      <c r="K220" s="81"/>
    </row>
    <row r="221" spans="1:11" ht="15.75" hidden="1" customHeight="1">
      <c r="A221" s="64"/>
      <c r="B221" s="29"/>
      <c r="C221" s="29"/>
      <c r="D221" s="29"/>
      <c r="E221" s="13" t="s">
        <v>362</v>
      </c>
      <c r="F221" s="13"/>
      <c r="G221" s="30">
        <v>0</v>
      </c>
      <c r="H221" s="2"/>
      <c r="K221" s="81"/>
    </row>
    <row r="222" spans="1:11" ht="15.75" hidden="1" customHeight="1">
      <c r="A222" s="64"/>
      <c r="B222" s="17">
        <v>45755</v>
      </c>
      <c r="C222" s="18">
        <v>0</v>
      </c>
      <c r="D222" s="18">
        <v>0</v>
      </c>
      <c r="E222" s="89" t="s">
        <v>59</v>
      </c>
      <c r="F222" s="20">
        <v>9903</v>
      </c>
      <c r="G222" s="31">
        <v>2197.7800000000002</v>
      </c>
      <c r="H222" s="2"/>
      <c r="K222" s="81"/>
    </row>
    <row r="223" spans="1:11" ht="15.75" hidden="1" customHeight="1">
      <c r="A223" s="64"/>
      <c r="B223" s="23"/>
      <c r="C223" s="23"/>
      <c r="D223" s="23"/>
      <c r="E223" s="24" t="s">
        <v>53</v>
      </c>
      <c r="F223" s="24"/>
      <c r="G223" s="25">
        <v>0</v>
      </c>
      <c r="H223" s="2"/>
      <c r="K223" s="81"/>
    </row>
    <row r="224" spans="1:11" ht="15.75" hidden="1" customHeight="1">
      <c r="A224" s="64"/>
      <c r="B224" s="11">
        <v>45756</v>
      </c>
      <c r="C224" s="12">
        <v>0</v>
      </c>
      <c r="D224" s="12">
        <v>14397</v>
      </c>
      <c r="E224" s="90" t="s">
        <v>57</v>
      </c>
      <c r="F224" s="27">
        <v>91019232194302</v>
      </c>
      <c r="G224" s="15">
        <v>98.28</v>
      </c>
      <c r="H224" s="2"/>
      <c r="K224" s="81"/>
    </row>
    <row r="225" spans="1:11" ht="15.75" hidden="1" customHeight="1">
      <c r="A225" s="64"/>
      <c r="B225" s="29"/>
      <c r="C225" s="29"/>
      <c r="D225" s="29"/>
      <c r="E225" s="13" t="s">
        <v>448</v>
      </c>
      <c r="F225" s="13"/>
      <c r="G225" s="30">
        <v>0</v>
      </c>
      <c r="H225" s="2"/>
      <c r="K225" s="81"/>
    </row>
    <row r="226" spans="1:11" ht="15.75" customHeight="1">
      <c r="A226" s="33" t="s">
        <v>140</v>
      </c>
      <c r="B226" s="41">
        <v>45756</v>
      </c>
      <c r="C226" s="42">
        <v>0</v>
      </c>
      <c r="D226" s="42">
        <v>14138</v>
      </c>
      <c r="E226" s="92" t="s">
        <v>141</v>
      </c>
      <c r="F226" s="74">
        <v>202504080020819</v>
      </c>
      <c r="G226" s="75">
        <v>1668.08</v>
      </c>
      <c r="H226" s="2">
        <v>3311</v>
      </c>
      <c r="I226" s="64" t="s">
        <v>428</v>
      </c>
      <c r="K226" s="81"/>
    </row>
    <row r="227" spans="1:11" ht="15.75" hidden="1" customHeight="1">
      <c r="A227" s="64"/>
      <c r="B227" s="23"/>
      <c r="C227" s="23"/>
      <c r="D227" s="23"/>
      <c r="E227" s="24" t="s">
        <v>143</v>
      </c>
      <c r="F227" s="24"/>
      <c r="G227" s="25">
        <v>0</v>
      </c>
      <c r="H227" s="2"/>
      <c r="K227" s="81"/>
    </row>
    <row r="228" spans="1:11" ht="15.75" customHeight="1">
      <c r="A228" s="33" t="s">
        <v>140</v>
      </c>
      <c r="B228" s="34">
        <v>45756</v>
      </c>
      <c r="C228" s="35">
        <v>0</v>
      </c>
      <c r="D228" s="35">
        <v>14138</v>
      </c>
      <c r="E228" s="91" t="s">
        <v>141</v>
      </c>
      <c r="F228" s="69">
        <v>202504080020820</v>
      </c>
      <c r="G228" s="70">
        <v>7962.91</v>
      </c>
      <c r="H228" s="2">
        <v>3346</v>
      </c>
      <c r="I228" s="64" t="s">
        <v>428</v>
      </c>
      <c r="K228" s="81"/>
    </row>
    <row r="229" spans="1:11" ht="15.75" hidden="1" customHeight="1">
      <c r="A229" s="64"/>
      <c r="B229" s="29"/>
      <c r="C229" s="29"/>
      <c r="D229" s="29"/>
      <c r="E229" s="13" t="s">
        <v>143</v>
      </c>
      <c r="F229" s="13"/>
      <c r="G229" s="30">
        <v>0</v>
      </c>
      <c r="H229" s="2"/>
      <c r="K229" s="81"/>
    </row>
    <row r="230" spans="1:11" ht="15.75" customHeight="1">
      <c r="A230" s="33" t="s">
        <v>140</v>
      </c>
      <c r="B230" s="41">
        <v>45756</v>
      </c>
      <c r="C230" s="42">
        <v>0</v>
      </c>
      <c r="D230" s="42">
        <v>14138</v>
      </c>
      <c r="E230" s="92" t="s">
        <v>141</v>
      </c>
      <c r="F230" s="74">
        <v>202504080020829</v>
      </c>
      <c r="G230" s="75">
        <v>1668.08</v>
      </c>
      <c r="H230" s="2">
        <v>3389</v>
      </c>
      <c r="I230" s="64" t="s">
        <v>428</v>
      </c>
      <c r="K230" s="81"/>
    </row>
    <row r="231" spans="1:11" ht="15.75" hidden="1" customHeight="1">
      <c r="A231" s="64"/>
      <c r="B231" s="23"/>
      <c r="C231" s="23"/>
      <c r="D231" s="23"/>
      <c r="E231" s="24" t="s">
        <v>143</v>
      </c>
      <c r="F231" s="24"/>
      <c r="G231" s="25">
        <v>0</v>
      </c>
      <c r="H231" s="2"/>
      <c r="K231" s="81"/>
    </row>
    <row r="232" spans="1:11" ht="15.75" customHeight="1">
      <c r="A232" s="33" t="s">
        <v>140</v>
      </c>
      <c r="B232" s="34">
        <v>45756</v>
      </c>
      <c r="C232" s="35">
        <v>0</v>
      </c>
      <c r="D232" s="35">
        <v>14138</v>
      </c>
      <c r="E232" s="91" t="s">
        <v>141</v>
      </c>
      <c r="F232" s="69">
        <v>202504080020830</v>
      </c>
      <c r="G232" s="70">
        <v>7049.75</v>
      </c>
      <c r="H232" s="2">
        <v>3436</v>
      </c>
      <c r="I232" s="64" t="s">
        <v>428</v>
      </c>
      <c r="K232" s="81"/>
    </row>
    <row r="233" spans="1:11" ht="15.75" hidden="1" customHeight="1">
      <c r="A233" s="64"/>
      <c r="B233" s="29"/>
      <c r="C233" s="29"/>
      <c r="D233" s="29"/>
      <c r="E233" s="13" t="s">
        <v>143</v>
      </c>
      <c r="F233" s="13"/>
      <c r="G233" s="30">
        <v>0</v>
      </c>
      <c r="H233" s="2"/>
      <c r="K233" s="81"/>
    </row>
    <row r="234" spans="1:11" ht="15.75" customHeight="1">
      <c r="A234" s="33" t="s">
        <v>140</v>
      </c>
      <c r="B234" s="41">
        <v>45756</v>
      </c>
      <c r="C234" s="42">
        <v>0</v>
      </c>
      <c r="D234" s="42">
        <v>14138</v>
      </c>
      <c r="E234" s="92" t="s">
        <v>141</v>
      </c>
      <c r="F234" s="74">
        <v>202504080020833</v>
      </c>
      <c r="G234" s="75">
        <v>1940.36</v>
      </c>
      <c r="H234" s="2" t="s">
        <v>449</v>
      </c>
      <c r="I234" s="64" t="s">
        <v>428</v>
      </c>
      <c r="K234" s="81"/>
    </row>
    <row r="235" spans="1:11" ht="15.75" hidden="1" customHeight="1">
      <c r="A235" s="64"/>
      <c r="B235" s="23"/>
      <c r="C235" s="23"/>
      <c r="D235" s="23"/>
      <c r="E235" s="24" t="s">
        <v>143</v>
      </c>
      <c r="F235" s="24"/>
      <c r="G235" s="25">
        <v>0</v>
      </c>
      <c r="H235" s="2"/>
      <c r="K235" s="81"/>
    </row>
    <row r="236" spans="1:11" ht="15.75" customHeight="1">
      <c r="A236" s="33" t="s">
        <v>140</v>
      </c>
      <c r="B236" s="34">
        <v>45756</v>
      </c>
      <c r="C236" s="35">
        <v>0</v>
      </c>
      <c r="D236" s="35">
        <v>14138</v>
      </c>
      <c r="E236" s="91" t="s">
        <v>141</v>
      </c>
      <c r="F236" s="69">
        <v>202504080020835</v>
      </c>
      <c r="G236" s="70">
        <v>1980.15</v>
      </c>
      <c r="H236" s="2" t="s">
        <v>450</v>
      </c>
      <c r="I236" s="64" t="s">
        <v>428</v>
      </c>
      <c r="K236" s="81"/>
    </row>
    <row r="237" spans="1:11" ht="15.75" hidden="1" customHeight="1">
      <c r="A237" s="64"/>
      <c r="B237" s="29"/>
      <c r="C237" s="29"/>
      <c r="D237" s="29"/>
      <c r="E237" s="13" t="s">
        <v>143</v>
      </c>
      <c r="F237" s="13"/>
      <c r="G237" s="30">
        <v>0</v>
      </c>
      <c r="H237" s="2"/>
      <c r="K237" s="81"/>
    </row>
    <row r="238" spans="1:11" ht="15.75" customHeight="1">
      <c r="A238" s="33" t="s">
        <v>140</v>
      </c>
      <c r="B238" s="41">
        <v>45756</v>
      </c>
      <c r="C238" s="42">
        <v>0</v>
      </c>
      <c r="D238" s="42">
        <v>14138</v>
      </c>
      <c r="E238" s="92" t="s">
        <v>141</v>
      </c>
      <c r="F238" s="74">
        <v>202504080020849</v>
      </c>
      <c r="G238" s="75">
        <v>609.28</v>
      </c>
      <c r="H238" s="2">
        <v>3323</v>
      </c>
      <c r="I238" s="64" t="s">
        <v>419</v>
      </c>
      <c r="K238" s="81"/>
    </row>
    <row r="239" spans="1:11" ht="15.75" hidden="1" customHeight="1">
      <c r="A239" s="64"/>
      <c r="B239" s="23"/>
      <c r="C239" s="23"/>
      <c r="D239" s="23"/>
      <c r="E239" s="24" t="s">
        <v>143</v>
      </c>
      <c r="F239" s="24"/>
      <c r="G239" s="25">
        <v>0</v>
      </c>
      <c r="H239" s="2"/>
      <c r="K239" s="81"/>
    </row>
    <row r="240" spans="1:11" ht="15.75" customHeight="1">
      <c r="A240" s="33" t="s">
        <v>140</v>
      </c>
      <c r="B240" s="34">
        <v>45756</v>
      </c>
      <c r="C240" s="35">
        <v>0</v>
      </c>
      <c r="D240" s="35">
        <v>14138</v>
      </c>
      <c r="E240" s="91" t="s">
        <v>141</v>
      </c>
      <c r="F240" s="69">
        <v>202504080020850</v>
      </c>
      <c r="G240" s="70">
        <v>609.28</v>
      </c>
      <c r="H240" s="2">
        <v>3415</v>
      </c>
      <c r="I240" s="64" t="s">
        <v>419</v>
      </c>
      <c r="K240" s="81"/>
    </row>
    <row r="241" spans="1:11" ht="15.75" hidden="1" customHeight="1">
      <c r="A241" s="64"/>
      <c r="B241" s="29"/>
      <c r="C241" s="29"/>
      <c r="D241" s="29"/>
      <c r="E241" s="13" t="s">
        <v>143</v>
      </c>
      <c r="F241" s="13"/>
      <c r="G241" s="30">
        <v>0</v>
      </c>
      <c r="H241" s="2"/>
      <c r="K241" s="81"/>
    </row>
    <row r="242" spans="1:11" ht="15.75" customHeight="1">
      <c r="A242" s="33" t="s">
        <v>140</v>
      </c>
      <c r="B242" s="41">
        <v>45756</v>
      </c>
      <c r="C242" s="42">
        <v>0</v>
      </c>
      <c r="D242" s="42">
        <v>14138</v>
      </c>
      <c r="E242" s="92" t="s">
        <v>141</v>
      </c>
      <c r="F242" s="74">
        <v>202504080020857</v>
      </c>
      <c r="G242" s="75">
        <v>609.28</v>
      </c>
      <c r="H242" s="2">
        <v>3329</v>
      </c>
      <c r="I242" s="64" t="s">
        <v>419</v>
      </c>
      <c r="K242" s="81"/>
    </row>
    <row r="243" spans="1:11" ht="15.75" hidden="1" customHeight="1">
      <c r="A243" s="64"/>
      <c r="B243" s="23"/>
      <c r="C243" s="23"/>
      <c r="D243" s="23"/>
      <c r="E243" s="24" t="s">
        <v>143</v>
      </c>
      <c r="F243" s="24"/>
      <c r="G243" s="25">
        <v>0</v>
      </c>
      <c r="H243" s="2"/>
      <c r="K243" s="81"/>
    </row>
    <row r="244" spans="1:11" ht="15.75" customHeight="1">
      <c r="A244" s="33" t="s">
        <v>140</v>
      </c>
      <c r="B244" s="34">
        <v>45756</v>
      </c>
      <c r="C244" s="35">
        <v>0</v>
      </c>
      <c r="D244" s="35">
        <v>14138</v>
      </c>
      <c r="E244" s="91" t="s">
        <v>141</v>
      </c>
      <c r="F244" s="69">
        <v>202504080020858</v>
      </c>
      <c r="G244" s="70">
        <v>609.28</v>
      </c>
      <c r="H244" s="2">
        <v>3420</v>
      </c>
      <c r="I244" s="64" t="s">
        <v>419</v>
      </c>
      <c r="K244" s="81"/>
    </row>
    <row r="245" spans="1:11" ht="15.75" hidden="1" customHeight="1">
      <c r="A245" s="64"/>
      <c r="B245" s="29"/>
      <c r="C245" s="29"/>
      <c r="D245" s="29"/>
      <c r="E245" s="13" t="s">
        <v>143</v>
      </c>
      <c r="F245" s="13"/>
      <c r="G245" s="30">
        <v>0</v>
      </c>
      <c r="H245" s="2"/>
      <c r="K245" s="81"/>
    </row>
    <row r="246" spans="1:11" ht="15.75" customHeight="1">
      <c r="A246" s="33" t="s">
        <v>140</v>
      </c>
      <c r="B246" s="41">
        <v>45756</v>
      </c>
      <c r="C246" s="42">
        <v>0</v>
      </c>
      <c r="D246" s="42">
        <v>14138</v>
      </c>
      <c r="E246" s="92" t="s">
        <v>141</v>
      </c>
      <c r="F246" s="74">
        <v>202504080020862</v>
      </c>
      <c r="G246" s="75">
        <v>183.69</v>
      </c>
      <c r="H246" s="2">
        <v>3374</v>
      </c>
      <c r="I246" s="64" t="s">
        <v>425</v>
      </c>
      <c r="K246" s="81"/>
    </row>
    <row r="247" spans="1:11" ht="15.75" hidden="1" customHeight="1">
      <c r="A247" s="64"/>
      <c r="B247" s="23"/>
      <c r="C247" s="23"/>
      <c r="D247" s="23"/>
      <c r="E247" s="24" t="s">
        <v>143</v>
      </c>
      <c r="F247" s="24"/>
      <c r="G247" s="25">
        <v>0</v>
      </c>
      <c r="H247" s="2"/>
      <c r="K247" s="81"/>
    </row>
    <row r="248" spans="1:11" ht="15.75" customHeight="1">
      <c r="A248" s="33" t="s">
        <v>140</v>
      </c>
      <c r="B248" s="34">
        <v>45756</v>
      </c>
      <c r="C248" s="35">
        <v>0</v>
      </c>
      <c r="D248" s="35">
        <v>14138</v>
      </c>
      <c r="E248" s="91" t="s">
        <v>141</v>
      </c>
      <c r="F248" s="69">
        <v>202504080020863</v>
      </c>
      <c r="G248" s="70">
        <v>176.5</v>
      </c>
      <c r="H248" s="2">
        <v>3460</v>
      </c>
      <c r="I248" s="64" t="s">
        <v>425</v>
      </c>
      <c r="K248" s="81"/>
    </row>
    <row r="249" spans="1:11" ht="15.75" hidden="1" customHeight="1">
      <c r="A249" s="64"/>
      <c r="B249" s="29"/>
      <c r="C249" s="29"/>
      <c r="D249" s="29"/>
      <c r="E249" s="13" t="s">
        <v>143</v>
      </c>
      <c r="F249" s="13"/>
      <c r="G249" s="30">
        <v>0</v>
      </c>
      <c r="H249" s="2"/>
      <c r="K249" s="81"/>
    </row>
    <row r="250" spans="1:11" ht="15.75" customHeight="1">
      <c r="A250" s="33" t="s">
        <v>140</v>
      </c>
      <c r="B250" s="41">
        <v>45756</v>
      </c>
      <c r="C250" s="42">
        <v>0</v>
      </c>
      <c r="D250" s="42">
        <v>14138</v>
      </c>
      <c r="E250" s="92" t="s">
        <v>141</v>
      </c>
      <c r="F250" s="74">
        <v>202504080020870</v>
      </c>
      <c r="G250" s="75">
        <v>609.28</v>
      </c>
      <c r="H250" s="2">
        <v>3332</v>
      </c>
      <c r="I250" s="64" t="s">
        <v>419</v>
      </c>
      <c r="K250" s="81"/>
    </row>
    <row r="251" spans="1:11" ht="15.75" hidden="1" customHeight="1">
      <c r="A251" s="64"/>
      <c r="B251" s="23"/>
      <c r="C251" s="23"/>
      <c r="D251" s="23"/>
      <c r="E251" s="24" t="s">
        <v>143</v>
      </c>
      <c r="F251" s="24"/>
      <c r="G251" s="25">
        <v>0</v>
      </c>
      <c r="H251" s="2"/>
      <c r="K251" s="81"/>
    </row>
    <row r="252" spans="1:11" ht="15.75" customHeight="1">
      <c r="A252" s="33" t="s">
        <v>140</v>
      </c>
      <c r="B252" s="34">
        <v>45756</v>
      </c>
      <c r="C252" s="35">
        <v>0</v>
      </c>
      <c r="D252" s="35">
        <v>14138</v>
      </c>
      <c r="E252" s="91" t="s">
        <v>141</v>
      </c>
      <c r="F252" s="69">
        <v>202504080020871</v>
      </c>
      <c r="G252" s="70">
        <v>609.28</v>
      </c>
      <c r="H252" s="2">
        <v>3423</v>
      </c>
      <c r="I252" s="64" t="s">
        <v>419</v>
      </c>
      <c r="K252" s="81"/>
    </row>
    <row r="253" spans="1:11" ht="15.75" hidden="1" customHeight="1">
      <c r="A253" s="64"/>
      <c r="B253" s="29"/>
      <c r="C253" s="29"/>
      <c r="D253" s="29"/>
      <c r="E253" s="13" t="s">
        <v>143</v>
      </c>
      <c r="F253" s="13"/>
      <c r="G253" s="30">
        <v>0</v>
      </c>
      <c r="H253" s="2"/>
      <c r="K253" s="81"/>
    </row>
    <row r="254" spans="1:11" ht="15.75" customHeight="1">
      <c r="A254" s="33" t="s">
        <v>140</v>
      </c>
      <c r="B254" s="41">
        <v>45756</v>
      </c>
      <c r="C254" s="42">
        <v>0</v>
      </c>
      <c r="D254" s="42">
        <v>14138</v>
      </c>
      <c r="E254" s="92" t="s">
        <v>141</v>
      </c>
      <c r="F254" s="74">
        <v>202504080020876</v>
      </c>
      <c r="G254" s="75">
        <v>144.80000000000001</v>
      </c>
      <c r="H254" s="2">
        <v>3367</v>
      </c>
      <c r="I254" s="64" t="s">
        <v>425</v>
      </c>
      <c r="K254" s="81"/>
    </row>
    <row r="255" spans="1:11" ht="15.75" hidden="1" customHeight="1">
      <c r="A255" s="64"/>
      <c r="B255" s="23"/>
      <c r="C255" s="23"/>
      <c r="D255" s="23"/>
      <c r="E255" s="24" t="s">
        <v>143</v>
      </c>
      <c r="F255" s="24"/>
      <c r="G255" s="25">
        <v>0</v>
      </c>
      <c r="H255" s="2"/>
      <c r="K255" s="81"/>
    </row>
    <row r="256" spans="1:11" ht="15.75" customHeight="1">
      <c r="A256" s="33" t="s">
        <v>140</v>
      </c>
      <c r="B256" s="34">
        <v>45756</v>
      </c>
      <c r="C256" s="35">
        <v>0</v>
      </c>
      <c r="D256" s="35">
        <v>14138</v>
      </c>
      <c r="E256" s="91" t="s">
        <v>141</v>
      </c>
      <c r="F256" s="69">
        <v>202504080020877</v>
      </c>
      <c r="G256" s="70">
        <v>609.28</v>
      </c>
      <c r="H256" s="2">
        <v>3417</v>
      </c>
      <c r="I256" s="64" t="s">
        <v>419</v>
      </c>
      <c r="K256" s="81"/>
    </row>
    <row r="257" spans="1:11" ht="15.75" hidden="1" customHeight="1">
      <c r="A257" s="64"/>
      <c r="B257" s="29"/>
      <c r="C257" s="29"/>
      <c r="D257" s="29"/>
      <c r="E257" s="13" t="s">
        <v>143</v>
      </c>
      <c r="F257" s="13"/>
      <c r="G257" s="30">
        <v>0</v>
      </c>
      <c r="H257" s="2"/>
      <c r="K257" s="81"/>
    </row>
    <row r="258" spans="1:11" ht="15.75" hidden="1" customHeight="1">
      <c r="A258" s="64"/>
      <c r="B258" s="17">
        <v>45756</v>
      </c>
      <c r="C258" s="18">
        <v>0</v>
      </c>
      <c r="D258" s="18">
        <v>14397</v>
      </c>
      <c r="E258" s="89" t="s">
        <v>57</v>
      </c>
      <c r="F258" s="20">
        <v>442108088583661</v>
      </c>
      <c r="G258" s="21">
        <v>15337.92</v>
      </c>
      <c r="H258" s="2"/>
      <c r="K258" s="81"/>
    </row>
    <row r="259" spans="1:11" ht="15.75" hidden="1" customHeight="1">
      <c r="A259" s="64"/>
      <c r="B259" s="23"/>
      <c r="C259" s="23"/>
      <c r="D259" s="23"/>
      <c r="E259" s="24" t="s">
        <v>451</v>
      </c>
      <c r="F259" s="24"/>
      <c r="G259" s="25">
        <v>0</v>
      </c>
      <c r="H259" s="2"/>
      <c r="K259" s="81"/>
    </row>
    <row r="260" spans="1:11" ht="15.75" hidden="1" customHeight="1">
      <c r="A260" s="64"/>
      <c r="B260" s="11">
        <v>45756</v>
      </c>
      <c r="C260" s="12">
        <v>0</v>
      </c>
      <c r="D260" s="12">
        <v>14397</v>
      </c>
      <c r="E260" s="90" t="s">
        <v>57</v>
      </c>
      <c r="F260" s="27">
        <v>442149004724591</v>
      </c>
      <c r="G260" s="15">
        <v>50.34</v>
      </c>
      <c r="H260" s="2"/>
      <c r="K260" s="81"/>
    </row>
    <row r="261" spans="1:11" ht="15.75" hidden="1" customHeight="1">
      <c r="A261" s="64"/>
      <c r="B261" s="29"/>
      <c r="C261" s="29"/>
      <c r="D261" s="29"/>
      <c r="E261" s="13" t="s">
        <v>452</v>
      </c>
      <c r="F261" s="13"/>
      <c r="G261" s="30">
        <v>0</v>
      </c>
      <c r="H261" s="2"/>
      <c r="K261" s="81"/>
    </row>
    <row r="262" spans="1:11" ht="15.75" hidden="1" customHeight="1">
      <c r="A262" s="64"/>
      <c r="B262" s="17">
        <v>45756</v>
      </c>
      <c r="C262" s="18">
        <v>1533</v>
      </c>
      <c r="D262" s="18">
        <v>99008</v>
      </c>
      <c r="E262" s="89" t="s">
        <v>29</v>
      </c>
      <c r="F262" s="20">
        <v>941392</v>
      </c>
      <c r="G262" s="31">
        <v>170.59</v>
      </c>
      <c r="H262" s="2"/>
      <c r="K262" s="81"/>
    </row>
    <row r="263" spans="1:11" ht="15.75" hidden="1" customHeight="1">
      <c r="A263" s="64"/>
      <c r="B263" s="23"/>
      <c r="C263" s="23"/>
      <c r="D263" s="23"/>
      <c r="E263" s="24" t="s">
        <v>453</v>
      </c>
      <c r="F263" s="24"/>
      <c r="G263" s="25">
        <v>0</v>
      </c>
      <c r="H263" s="2"/>
      <c r="K263" s="81"/>
    </row>
    <row r="264" spans="1:11" ht="15.75" hidden="1" customHeight="1">
      <c r="A264" s="64"/>
      <c r="B264" s="11">
        <v>45756</v>
      </c>
      <c r="C264" s="12">
        <v>0</v>
      </c>
      <c r="D264" s="12">
        <v>13105</v>
      </c>
      <c r="E264" s="90" t="s">
        <v>80</v>
      </c>
      <c r="F264" s="27">
        <v>40901</v>
      </c>
      <c r="G264" s="28">
        <v>3519.17</v>
      </c>
      <c r="H264" s="2"/>
      <c r="K264" s="81"/>
    </row>
    <row r="265" spans="1:11" ht="15.75" hidden="1" customHeight="1">
      <c r="A265" s="64"/>
      <c r="B265" s="29"/>
      <c r="C265" s="29"/>
      <c r="D265" s="29"/>
      <c r="E265" s="13" t="s">
        <v>84</v>
      </c>
      <c r="F265" s="13"/>
      <c r="G265" s="30">
        <v>0</v>
      </c>
      <c r="H265" s="2"/>
      <c r="K265" s="81"/>
    </row>
    <row r="266" spans="1:11" ht="15.75" hidden="1" customHeight="1">
      <c r="A266" s="64"/>
      <c r="B266" s="17">
        <v>45756</v>
      </c>
      <c r="C266" s="18">
        <v>0</v>
      </c>
      <c r="D266" s="18">
        <v>13105</v>
      </c>
      <c r="E266" s="89" t="s">
        <v>31</v>
      </c>
      <c r="F266" s="20">
        <v>40902</v>
      </c>
      <c r="G266" s="31">
        <v>300</v>
      </c>
      <c r="H266" s="2"/>
      <c r="K266" s="81"/>
    </row>
    <row r="267" spans="1:11" ht="15.75" hidden="1" customHeight="1">
      <c r="A267" s="64"/>
      <c r="B267" s="23"/>
      <c r="C267" s="23"/>
      <c r="D267" s="23"/>
      <c r="E267" s="24" t="s">
        <v>86</v>
      </c>
      <c r="F267" s="24"/>
      <c r="G267" s="25">
        <v>0</v>
      </c>
      <c r="H267" s="2"/>
      <c r="K267" s="81"/>
    </row>
    <row r="268" spans="1:11" ht="15.75" hidden="1" customHeight="1">
      <c r="A268" s="64"/>
      <c r="B268" s="11">
        <v>45756</v>
      </c>
      <c r="C268" s="12">
        <v>0</v>
      </c>
      <c r="D268" s="12">
        <v>13105</v>
      </c>
      <c r="E268" s="90" t="s">
        <v>80</v>
      </c>
      <c r="F268" s="27">
        <v>40903</v>
      </c>
      <c r="G268" s="28">
        <v>717.01</v>
      </c>
      <c r="H268" s="2"/>
      <c r="K268" s="81"/>
    </row>
    <row r="269" spans="1:11" ht="15.75" hidden="1" customHeight="1">
      <c r="A269" s="64"/>
      <c r="B269" s="29"/>
      <c r="C269" s="29"/>
      <c r="D269" s="29"/>
      <c r="E269" s="13" t="s">
        <v>81</v>
      </c>
      <c r="F269" s="13"/>
      <c r="G269" s="30">
        <v>0</v>
      </c>
      <c r="H269" s="2"/>
      <c r="K269" s="81"/>
    </row>
    <row r="270" spans="1:11" ht="15.75" hidden="1" customHeight="1">
      <c r="A270" s="64"/>
      <c r="B270" s="17">
        <v>45756</v>
      </c>
      <c r="C270" s="18">
        <v>0</v>
      </c>
      <c r="D270" s="18">
        <v>13105</v>
      </c>
      <c r="E270" s="89" t="s">
        <v>31</v>
      </c>
      <c r="F270" s="20">
        <v>40904</v>
      </c>
      <c r="G270" s="31">
        <v>5956.99</v>
      </c>
      <c r="H270" s="2"/>
      <c r="K270" s="81"/>
    </row>
    <row r="271" spans="1:11" ht="15.75" hidden="1" customHeight="1">
      <c r="A271" s="64"/>
      <c r="B271" s="23"/>
      <c r="C271" s="23"/>
      <c r="D271" s="23"/>
      <c r="E271" s="24" t="s">
        <v>95</v>
      </c>
      <c r="F271" s="24"/>
      <c r="G271" s="25">
        <v>0</v>
      </c>
      <c r="H271" s="2"/>
      <c r="K271" s="81"/>
    </row>
    <row r="272" spans="1:11" ht="15.75" hidden="1" customHeight="1">
      <c r="A272" s="64"/>
      <c r="B272" s="11">
        <v>45756</v>
      </c>
      <c r="C272" s="12">
        <v>0</v>
      </c>
      <c r="D272" s="12">
        <v>13105</v>
      </c>
      <c r="E272" s="90" t="s">
        <v>31</v>
      </c>
      <c r="F272" s="27">
        <v>40905</v>
      </c>
      <c r="G272" s="28">
        <v>75.83</v>
      </c>
      <c r="H272" s="2"/>
      <c r="K272" s="81"/>
    </row>
    <row r="273" spans="1:11" ht="15.75" hidden="1" customHeight="1">
      <c r="A273" s="64"/>
      <c r="B273" s="29"/>
      <c r="C273" s="29"/>
      <c r="D273" s="29"/>
      <c r="E273" s="13" t="s">
        <v>125</v>
      </c>
      <c r="F273" s="13"/>
      <c r="G273" s="30">
        <v>0</v>
      </c>
      <c r="H273" s="2"/>
      <c r="K273" s="81"/>
    </row>
    <row r="274" spans="1:11" ht="15.75" hidden="1" customHeight="1">
      <c r="A274" s="64"/>
      <c r="B274" s="17">
        <v>45756</v>
      </c>
      <c r="C274" s="18">
        <v>0</v>
      </c>
      <c r="D274" s="18">
        <v>13105</v>
      </c>
      <c r="E274" s="89" t="s">
        <v>31</v>
      </c>
      <c r="F274" s="20">
        <v>40906</v>
      </c>
      <c r="G274" s="31">
        <v>500</v>
      </c>
      <c r="H274" s="2"/>
      <c r="K274" s="81"/>
    </row>
    <row r="275" spans="1:11" ht="15.75" hidden="1" customHeight="1">
      <c r="A275" s="64"/>
      <c r="B275" s="23"/>
      <c r="C275" s="23"/>
      <c r="D275" s="23"/>
      <c r="E275" s="24" t="s">
        <v>454</v>
      </c>
      <c r="F275" s="24"/>
      <c r="G275" s="25">
        <v>0</v>
      </c>
      <c r="H275" s="2"/>
      <c r="K275" s="81"/>
    </row>
    <row r="276" spans="1:11" ht="15.75" hidden="1" customHeight="1">
      <c r="A276" s="64"/>
      <c r="B276" s="11">
        <v>45756</v>
      </c>
      <c r="C276" s="12">
        <v>0</v>
      </c>
      <c r="D276" s="12">
        <v>13105</v>
      </c>
      <c r="E276" s="90" t="s">
        <v>31</v>
      </c>
      <c r="F276" s="27">
        <v>40907</v>
      </c>
      <c r="G276" s="28">
        <v>106.95</v>
      </c>
      <c r="H276" s="2"/>
      <c r="K276" s="81"/>
    </row>
    <row r="277" spans="1:11" ht="15.75" hidden="1" customHeight="1">
      <c r="A277" s="64"/>
      <c r="B277" s="29"/>
      <c r="C277" s="29"/>
      <c r="D277" s="29"/>
      <c r="E277" s="13" t="s">
        <v>56</v>
      </c>
      <c r="F277" s="13"/>
      <c r="G277" s="30">
        <v>0</v>
      </c>
      <c r="H277" s="2"/>
      <c r="K277" s="81"/>
    </row>
    <row r="278" spans="1:11" ht="15.75" hidden="1" customHeight="1">
      <c r="A278" s="64"/>
      <c r="B278" s="17">
        <v>45756</v>
      </c>
      <c r="C278" s="18">
        <v>0</v>
      </c>
      <c r="D278" s="18">
        <v>13105</v>
      </c>
      <c r="E278" s="89" t="s">
        <v>31</v>
      </c>
      <c r="F278" s="20">
        <v>40908</v>
      </c>
      <c r="G278" s="31">
        <v>799.46</v>
      </c>
      <c r="H278" s="2"/>
      <c r="K278" s="81"/>
    </row>
    <row r="279" spans="1:11" ht="15.75" hidden="1" customHeight="1">
      <c r="A279" s="64"/>
      <c r="B279" s="23"/>
      <c r="C279" s="23"/>
      <c r="D279" s="23"/>
      <c r="E279" s="24" t="s">
        <v>348</v>
      </c>
      <c r="F279" s="24"/>
      <c r="G279" s="25">
        <v>0</v>
      </c>
      <c r="H279" s="2"/>
      <c r="K279" s="81"/>
    </row>
    <row r="280" spans="1:11" ht="15.75" hidden="1" customHeight="1">
      <c r="A280" s="64"/>
      <c r="B280" s="11">
        <v>45756</v>
      </c>
      <c r="C280" s="12">
        <v>0</v>
      </c>
      <c r="D280" s="12">
        <v>13105</v>
      </c>
      <c r="E280" s="90" t="s">
        <v>31</v>
      </c>
      <c r="F280" s="27">
        <v>40909</v>
      </c>
      <c r="G280" s="28">
        <v>1550.86</v>
      </c>
      <c r="H280" s="2"/>
      <c r="K280" s="81"/>
    </row>
    <row r="281" spans="1:11" ht="15.75" hidden="1" customHeight="1">
      <c r="A281" s="64"/>
      <c r="B281" s="29"/>
      <c r="C281" s="29"/>
      <c r="D281" s="29"/>
      <c r="E281" s="13" t="s">
        <v>68</v>
      </c>
      <c r="F281" s="13"/>
      <c r="G281" s="30">
        <v>0</v>
      </c>
      <c r="H281" s="2"/>
      <c r="K281" s="81"/>
    </row>
    <row r="282" spans="1:11" ht="15.75" hidden="1" customHeight="1">
      <c r="A282" s="64"/>
      <c r="B282" s="17">
        <v>45756</v>
      </c>
      <c r="C282" s="18">
        <v>0</v>
      </c>
      <c r="D282" s="18">
        <v>13105</v>
      </c>
      <c r="E282" s="89" t="s">
        <v>31</v>
      </c>
      <c r="F282" s="20">
        <v>40910</v>
      </c>
      <c r="G282" s="31">
        <v>475.54</v>
      </c>
      <c r="H282" s="2"/>
      <c r="K282" s="81"/>
    </row>
    <row r="283" spans="1:11" ht="15.75" hidden="1" customHeight="1">
      <c r="A283" s="64"/>
      <c r="B283" s="23"/>
      <c r="C283" s="23"/>
      <c r="D283" s="23"/>
      <c r="E283" s="24" t="s">
        <v>455</v>
      </c>
      <c r="F283" s="24"/>
      <c r="G283" s="25">
        <v>0</v>
      </c>
      <c r="H283" s="2"/>
      <c r="K283" s="81"/>
    </row>
    <row r="284" spans="1:11" ht="15.75" hidden="1" customHeight="1">
      <c r="A284" s="64"/>
      <c r="B284" s="11">
        <v>45756</v>
      </c>
      <c r="C284" s="12">
        <v>0</v>
      </c>
      <c r="D284" s="12">
        <v>13105</v>
      </c>
      <c r="E284" s="90" t="s">
        <v>31</v>
      </c>
      <c r="F284" s="27">
        <v>40911</v>
      </c>
      <c r="G284" s="28">
        <v>1660.2</v>
      </c>
      <c r="H284" s="2"/>
      <c r="K284" s="81"/>
    </row>
    <row r="285" spans="1:11" ht="15.75" hidden="1" customHeight="1">
      <c r="A285" s="64"/>
      <c r="B285" s="29"/>
      <c r="C285" s="29"/>
      <c r="D285" s="29"/>
      <c r="E285" s="13" t="s">
        <v>455</v>
      </c>
      <c r="F285" s="13"/>
      <c r="G285" s="30">
        <v>0</v>
      </c>
      <c r="H285" s="2"/>
      <c r="K285" s="81"/>
    </row>
    <row r="286" spans="1:11" ht="15.75" hidden="1" customHeight="1">
      <c r="A286" s="64"/>
      <c r="B286" s="17">
        <v>45756</v>
      </c>
      <c r="C286" s="18">
        <v>0</v>
      </c>
      <c r="D286" s="18">
        <v>13105</v>
      </c>
      <c r="E286" s="89" t="s">
        <v>31</v>
      </c>
      <c r="F286" s="20">
        <v>40912</v>
      </c>
      <c r="G286" s="31">
        <v>639.16</v>
      </c>
      <c r="H286" s="2"/>
      <c r="K286" s="81"/>
    </row>
    <row r="287" spans="1:11" ht="15.75" hidden="1" customHeight="1">
      <c r="A287" s="64"/>
      <c r="B287" s="23"/>
      <c r="C287" s="23"/>
      <c r="D287" s="23"/>
      <c r="E287" s="24" t="s">
        <v>41</v>
      </c>
      <c r="F287" s="24"/>
      <c r="G287" s="25">
        <v>0</v>
      </c>
      <c r="H287" s="2"/>
      <c r="K287" s="81"/>
    </row>
    <row r="288" spans="1:11" ht="15.75" hidden="1" customHeight="1">
      <c r="A288" s="64"/>
      <c r="B288" s="11">
        <v>45756</v>
      </c>
      <c r="C288" s="12">
        <v>0</v>
      </c>
      <c r="D288" s="12">
        <v>13105</v>
      </c>
      <c r="E288" s="90" t="s">
        <v>31</v>
      </c>
      <c r="F288" s="27">
        <v>40913</v>
      </c>
      <c r="G288" s="28">
        <v>238.76</v>
      </c>
      <c r="H288" s="2"/>
      <c r="K288" s="81"/>
    </row>
    <row r="289" spans="1:11" ht="15.75" hidden="1" customHeight="1">
      <c r="A289" s="64"/>
      <c r="B289" s="29"/>
      <c r="C289" s="29"/>
      <c r="D289" s="29"/>
      <c r="E289" s="13" t="s">
        <v>41</v>
      </c>
      <c r="F289" s="13"/>
      <c r="G289" s="30">
        <v>0</v>
      </c>
      <c r="H289" s="2"/>
      <c r="K289" s="81"/>
    </row>
    <row r="290" spans="1:11" ht="15.75" hidden="1" customHeight="1">
      <c r="A290" s="64"/>
      <c r="B290" s="17">
        <v>45756</v>
      </c>
      <c r="C290" s="18">
        <v>0</v>
      </c>
      <c r="D290" s="18">
        <v>13105</v>
      </c>
      <c r="E290" s="89" t="s">
        <v>31</v>
      </c>
      <c r="F290" s="20">
        <v>40914</v>
      </c>
      <c r="G290" s="31">
        <v>310.91000000000003</v>
      </c>
      <c r="H290" s="2"/>
      <c r="K290" s="81"/>
    </row>
    <row r="291" spans="1:11" ht="15.75" hidden="1" customHeight="1">
      <c r="A291" s="64"/>
      <c r="B291" s="23"/>
      <c r="C291" s="23"/>
      <c r="D291" s="23"/>
      <c r="E291" s="24" t="s">
        <v>41</v>
      </c>
      <c r="F291" s="24"/>
      <c r="G291" s="25">
        <v>0</v>
      </c>
      <c r="H291" s="2"/>
      <c r="K291" s="81"/>
    </row>
    <row r="292" spans="1:11" ht="15.75" hidden="1" customHeight="1">
      <c r="A292" s="64"/>
      <c r="B292" s="11">
        <v>45756</v>
      </c>
      <c r="C292" s="12">
        <v>0</v>
      </c>
      <c r="D292" s="12">
        <v>13105</v>
      </c>
      <c r="E292" s="90" t="s">
        <v>31</v>
      </c>
      <c r="F292" s="27">
        <v>40915</v>
      </c>
      <c r="G292" s="28">
        <v>182.95</v>
      </c>
      <c r="H292" s="2"/>
      <c r="K292" s="81"/>
    </row>
    <row r="293" spans="1:11" ht="15.75" hidden="1" customHeight="1">
      <c r="A293" s="64"/>
      <c r="B293" s="29"/>
      <c r="C293" s="29"/>
      <c r="D293" s="29"/>
      <c r="E293" s="13" t="s">
        <v>41</v>
      </c>
      <c r="F293" s="13"/>
      <c r="G293" s="30">
        <v>0</v>
      </c>
      <c r="H293" s="2"/>
      <c r="K293" s="81"/>
    </row>
    <row r="294" spans="1:11" ht="15.75" hidden="1" customHeight="1">
      <c r="A294" s="64"/>
      <c r="B294" s="17">
        <v>45756</v>
      </c>
      <c r="C294" s="18">
        <v>0</v>
      </c>
      <c r="D294" s="18">
        <v>13105</v>
      </c>
      <c r="E294" s="89" t="s">
        <v>34</v>
      </c>
      <c r="F294" s="20">
        <v>40916</v>
      </c>
      <c r="G294" s="31">
        <v>155.22</v>
      </c>
      <c r="H294" s="2"/>
      <c r="K294" s="81"/>
    </row>
    <row r="295" spans="1:11" ht="15.75" hidden="1" customHeight="1">
      <c r="A295" s="64"/>
      <c r="B295" s="23"/>
      <c r="C295" s="23"/>
      <c r="D295" s="23"/>
      <c r="E295" s="24" t="s">
        <v>108</v>
      </c>
      <c r="F295" s="24"/>
      <c r="G295" s="25">
        <v>0</v>
      </c>
      <c r="H295" s="2"/>
      <c r="K295" s="81"/>
    </row>
    <row r="296" spans="1:11" ht="15.75" hidden="1" customHeight="1">
      <c r="A296" s="64"/>
      <c r="B296" s="11">
        <v>45756</v>
      </c>
      <c r="C296" s="12">
        <v>0</v>
      </c>
      <c r="D296" s="12">
        <v>13105</v>
      </c>
      <c r="E296" s="90" t="s">
        <v>34</v>
      </c>
      <c r="F296" s="27">
        <v>40917</v>
      </c>
      <c r="G296" s="28">
        <v>63.82</v>
      </c>
      <c r="H296" s="2"/>
      <c r="K296" s="81"/>
    </row>
    <row r="297" spans="1:11" ht="15.75" hidden="1" customHeight="1">
      <c r="A297" s="64"/>
      <c r="B297" s="29"/>
      <c r="C297" s="29"/>
      <c r="D297" s="29"/>
      <c r="E297" s="13" t="s">
        <v>288</v>
      </c>
      <c r="F297" s="13"/>
      <c r="G297" s="30">
        <v>0</v>
      </c>
      <c r="H297" s="2"/>
      <c r="K297" s="81"/>
    </row>
    <row r="298" spans="1:11" ht="15.75" hidden="1" customHeight="1">
      <c r="A298" s="64"/>
      <c r="B298" s="17">
        <v>45756</v>
      </c>
      <c r="C298" s="18">
        <v>0</v>
      </c>
      <c r="D298" s="18">
        <v>13105</v>
      </c>
      <c r="E298" s="89" t="s">
        <v>31</v>
      </c>
      <c r="F298" s="20">
        <v>40918</v>
      </c>
      <c r="G298" s="31">
        <v>2329.5500000000002</v>
      </c>
      <c r="H298" s="2"/>
      <c r="K298" s="81"/>
    </row>
    <row r="299" spans="1:11" ht="15.75" hidden="1" customHeight="1">
      <c r="A299" s="64"/>
      <c r="B299" s="23"/>
      <c r="C299" s="23"/>
      <c r="D299" s="23"/>
      <c r="E299" s="24" t="s">
        <v>256</v>
      </c>
      <c r="F299" s="24"/>
      <c r="G299" s="25">
        <v>0</v>
      </c>
      <c r="H299" s="2"/>
      <c r="K299" s="81"/>
    </row>
    <row r="300" spans="1:11" ht="15.75" hidden="1" customHeight="1">
      <c r="A300" s="64"/>
      <c r="B300" s="11">
        <v>45756</v>
      </c>
      <c r="C300" s="12">
        <v>0</v>
      </c>
      <c r="D300" s="12">
        <v>13105</v>
      </c>
      <c r="E300" s="90" t="s">
        <v>31</v>
      </c>
      <c r="F300" s="27">
        <v>40919</v>
      </c>
      <c r="G300" s="28">
        <v>401.56</v>
      </c>
      <c r="H300" s="2"/>
      <c r="K300" s="81"/>
    </row>
    <row r="301" spans="1:11" ht="15.75" hidden="1" customHeight="1">
      <c r="A301" s="64"/>
      <c r="B301" s="29"/>
      <c r="C301" s="29"/>
      <c r="D301" s="29"/>
      <c r="E301" s="13" t="s">
        <v>256</v>
      </c>
      <c r="F301" s="13"/>
      <c r="G301" s="30">
        <v>0</v>
      </c>
      <c r="H301" s="2"/>
      <c r="K301" s="81"/>
    </row>
    <row r="302" spans="1:11" ht="15.75" hidden="1" customHeight="1">
      <c r="A302" s="64"/>
      <c r="B302" s="17">
        <v>45756</v>
      </c>
      <c r="C302" s="18">
        <v>0</v>
      </c>
      <c r="D302" s="18">
        <v>13105</v>
      </c>
      <c r="E302" s="89" t="s">
        <v>31</v>
      </c>
      <c r="F302" s="20">
        <v>40920</v>
      </c>
      <c r="G302" s="31">
        <v>1246.6199999999999</v>
      </c>
      <c r="H302" s="2"/>
      <c r="K302" s="81"/>
    </row>
    <row r="303" spans="1:11" ht="15.75" hidden="1" customHeight="1">
      <c r="A303" s="64"/>
      <c r="B303" s="23"/>
      <c r="C303" s="23"/>
      <c r="D303" s="23"/>
      <c r="E303" s="24" t="s">
        <v>441</v>
      </c>
      <c r="F303" s="24"/>
      <c r="G303" s="25">
        <v>0</v>
      </c>
      <c r="H303" s="2"/>
      <c r="K303" s="81"/>
    </row>
    <row r="304" spans="1:11" ht="15.75" hidden="1" customHeight="1">
      <c r="A304" s="64"/>
      <c r="B304" s="11">
        <v>45756</v>
      </c>
      <c r="C304" s="12">
        <v>0</v>
      </c>
      <c r="D304" s="12">
        <v>13105</v>
      </c>
      <c r="E304" s="90" t="s">
        <v>31</v>
      </c>
      <c r="F304" s="27">
        <v>40921</v>
      </c>
      <c r="G304" s="28">
        <v>2527.25</v>
      </c>
      <c r="H304" s="2"/>
      <c r="K304" s="81"/>
    </row>
    <row r="305" spans="1:11" ht="15.75" hidden="1" customHeight="1">
      <c r="A305" s="64"/>
      <c r="B305" s="29"/>
      <c r="C305" s="29"/>
      <c r="D305" s="29"/>
      <c r="E305" s="13" t="s">
        <v>347</v>
      </c>
      <c r="F305" s="13"/>
      <c r="G305" s="30">
        <v>0</v>
      </c>
      <c r="H305" s="2"/>
      <c r="K305" s="81"/>
    </row>
    <row r="306" spans="1:11" ht="15.75" hidden="1" customHeight="1">
      <c r="A306" s="64"/>
      <c r="B306" s="17">
        <v>45756</v>
      </c>
      <c r="C306" s="18">
        <v>0</v>
      </c>
      <c r="D306" s="18">
        <v>13105</v>
      </c>
      <c r="E306" s="89" t="s">
        <v>31</v>
      </c>
      <c r="F306" s="20">
        <v>40922</v>
      </c>
      <c r="G306" s="31">
        <v>948.6</v>
      </c>
      <c r="H306" s="2"/>
      <c r="K306" s="81"/>
    </row>
    <row r="307" spans="1:11" ht="15.75" hidden="1" customHeight="1">
      <c r="A307" s="64"/>
      <c r="B307" s="23"/>
      <c r="C307" s="23"/>
      <c r="D307" s="23"/>
      <c r="E307" s="24" t="s">
        <v>71</v>
      </c>
      <c r="F307" s="24"/>
      <c r="G307" s="25">
        <v>0</v>
      </c>
      <c r="H307" s="2"/>
      <c r="K307" s="81"/>
    </row>
    <row r="308" spans="1:11" ht="15.75" hidden="1" customHeight="1">
      <c r="A308" s="64"/>
      <c r="B308" s="11">
        <v>45756</v>
      </c>
      <c r="C308" s="12">
        <v>0</v>
      </c>
      <c r="D308" s="12">
        <v>13105</v>
      </c>
      <c r="E308" s="90" t="s">
        <v>31</v>
      </c>
      <c r="F308" s="27">
        <v>40923</v>
      </c>
      <c r="G308" s="28">
        <v>3297.4</v>
      </c>
      <c r="H308" s="2"/>
      <c r="K308" s="81"/>
    </row>
    <row r="309" spans="1:11" ht="15.75" hidden="1" customHeight="1">
      <c r="A309" s="64"/>
      <c r="B309" s="29"/>
      <c r="C309" s="29"/>
      <c r="D309" s="29"/>
      <c r="E309" s="13" t="s">
        <v>33</v>
      </c>
      <c r="F309" s="13"/>
      <c r="G309" s="30">
        <v>0</v>
      </c>
      <c r="H309" s="2"/>
      <c r="K309" s="81"/>
    </row>
    <row r="310" spans="1:11" ht="15.75" hidden="1" customHeight="1">
      <c r="A310" s="64"/>
      <c r="B310" s="17">
        <v>45756</v>
      </c>
      <c r="C310" s="18">
        <v>0</v>
      </c>
      <c r="D310" s="18">
        <v>13105</v>
      </c>
      <c r="E310" s="89" t="s">
        <v>31</v>
      </c>
      <c r="F310" s="20">
        <v>40924</v>
      </c>
      <c r="G310" s="31">
        <v>1236.47</v>
      </c>
      <c r="H310" s="2"/>
      <c r="K310" s="81"/>
    </row>
    <row r="311" spans="1:11" ht="15.75" hidden="1" customHeight="1">
      <c r="A311" s="64"/>
      <c r="B311" s="23"/>
      <c r="C311" s="23"/>
      <c r="D311" s="23"/>
      <c r="E311" s="24" t="s">
        <v>362</v>
      </c>
      <c r="F311" s="24"/>
      <c r="G311" s="25">
        <v>0</v>
      </c>
      <c r="H311" s="2"/>
      <c r="K311" s="81"/>
    </row>
    <row r="312" spans="1:11" ht="15.75" hidden="1" customHeight="1">
      <c r="A312" s="64"/>
      <c r="B312" s="11">
        <v>45756</v>
      </c>
      <c r="C312" s="12">
        <v>0</v>
      </c>
      <c r="D312" s="12">
        <v>13105</v>
      </c>
      <c r="E312" s="90" t="s">
        <v>31</v>
      </c>
      <c r="F312" s="27">
        <v>40925</v>
      </c>
      <c r="G312" s="28">
        <v>3373.18</v>
      </c>
      <c r="H312" s="2"/>
      <c r="K312" s="81"/>
    </row>
    <row r="313" spans="1:11" ht="15.75" hidden="1" customHeight="1">
      <c r="A313" s="64"/>
      <c r="B313" s="29"/>
      <c r="C313" s="29"/>
      <c r="D313" s="29"/>
      <c r="E313" s="13" t="s">
        <v>55</v>
      </c>
      <c r="F313" s="13"/>
      <c r="G313" s="30">
        <v>0</v>
      </c>
      <c r="H313" s="2"/>
      <c r="K313" s="81"/>
    </row>
    <row r="314" spans="1:11" ht="15.75" hidden="1" customHeight="1">
      <c r="A314" s="64"/>
      <c r="B314" s="17">
        <v>45756</v>
      </c>
      <c r="C314" s="18">
        <v>0</v>
      </c>
      <c r="D314" s="18">
        <v>13105</v>
      </c>
      <c r="E314" s="89" t="s">
        <v>31</v>
      </c>
      <c r="F314" s="20">
        <v>40926</v>
      </c>
      <c r="G314" s="31">
        <v>797.19</v>
      </c>
      <c r="H314" s="2"/>
      <c r="K314" s="81"/>
    </row>
    <row r="315" spans="1:11" ht="15.75" hidden="1" customHeight="1">
      <c r="A315" s="64"/>
      <c r="B315" s="23"/>
      <c r="C315" s="23"/>
      <c r="D315" s="23"/>
      <c r="E315" s="24" t="s">
        <v>200</v>
      </c>
      <c r="F315" s="24"/>
      <c r="G315" s="25">
        <v>0</v>
      </c>
      <c r="H315" s="2"/>
      <c r="K315" s="81"/>
    </row>
    <row r="316" spans="1:11" ht="15.75" hidden="1" customHeight="1">
      <c r="A316" s="64"/>
      <c r="B316" s="11">
        <v>45756</v>
      </c>
      <c r="C316" s="12">
        <v>0</v>
      </c>
      <c r="D316" s="12">
        <v>13105</v>
      </c>
      <c r="E316" s="90" t="s">
        <v>31</v>
      </c>
      <c r="F316" s="27">
        <v>40927</v>
      </c>
      <c r="G316" s="28">
        <v>774.08</v>
      </c>
      <c r="H316" s="2"/>
      <c r="K316" s="81"/>
    </row>
    <row r="317" spans="1:11" ht="15.75" hidden="1" customHeight="1">
      <c r="A317" s="64"/>
      <c r="B317" s="29"/>
      <c r="C317" s="29"/>
      <c r="D317" s="29"/>
      <c r="E317" s="13" t="s">
        <v>200</v>
      </c>
      <c r="F317" s="13"/>
      <c r="G317" s="30">
        <v>0</v>
      </c>
      <c r="H317" s="2"/>
      <c r="K317" s="81"/>
    </row>
    <row r="318" spans="1:11" ht="15.75" hidden="1" customHeight="1">
      <c r="A318" s="64"/>
      <c r="B318" s="17">
        <v>45756</v>
      </c>
      <c r="C318" s="18">
        <v>0</v>
      </c>
      <c r="D318" s="18">
        <v>13105</v>
      </c>
      <c r="E318" s="89" t="s">
        <v>31</v>
      </c>
      <c r="F318" s="20">
        <v>40928</v>
      </c>
      <c r="G318" s="31">
        <v>471.3</v>
      </c>
      <c r="H318" s="2"/>
      <c r="K318" s="81"/>
    </row>
    <row r="319" spans="1:11" ht="15.75" hidden="1" customHeight="1">
      <c r="A319" s="64"/>
      <c r="B319" s="23"/>
      <c r="C319" s="23"/>
      <c r="D319" s="23"/>
      <c r="E319" s="24" t="s">
        <v>437</v>
      </c>
      <c r="F319" s="24"/>
      <c r="G319" s="25">
        <v>0</v>
      </c>
      <c r="H319" s="2"/>
      <c r="K319" s="81"/>
    </row>
    <row r="320" spans="1:11" ht="15.75" hidden="1" customHeight="1">
      <c r="A320" s="64"/>
      <c r="B320" s="11">
        <v>45756</v>
      </c>
      <c r="C320" s="12">
        <v>0</v>
      </c>
      <c r="D320" s="12">
        <v>13105</v>
      </c>
      <c r="E320" s="90" t="s">
        <v>31</v>
      </c>
      <c r="F320" s="27">
        <v>40929</v>
      </c>
      <c r="G320" s="28">
        <v>463.04</v>
      </c>
      <c r="H320" s="2"/>
      <c r="K320" s="81"/>
    </row>
    <row r="321" spans="1:11" ht="15.75" hidden="1" customHeight="1">
      <c r="A321" s="64"/>
      <c r="B321" s="29"/>
      <c r="C321" s="29"/>
      <c r="D321" s="29"/>
      <c r="E321" s="13" t="s">
        <v>437</v>
      </c>
      <c r="F321" s="13"/>
      <c r="G321" s="30">
        <v>0</v>
      </c>
      <c r="H321" s="2"/>
      <c r="K321" s="81"/>
    </row>
    <row r="322" spans="1:11" ht="15.75" hidden="1" customHeight="1">
      <c r="A322" s="64"/>
      <c r="B322" s="17">
        <v>45756</v>
      </c>
      <c r="C322" s="18">
        <v>0</v>
      </c>
      <c r="D322" s="18">
        <v>13105</v>
      </c>
      <c r="E322" s="89" t="s">
        <v>31</v>
      </c>
      <c r="F322" s="20">
        <v>40930</v>
      </c>
      <c r="G322" s="31">
        <v>2652.04</v>
      </c>
      <c r="H322" s="2"/>
      <c r="K322" s="81"/>
    </row>
    <row r="323" spans="1:11" ht="15.75" hidden="1" customHeight="1">
      <c r="A323" s="64"/>
      <c r="B323" s="23"/>
      <c r="C323" s="23"/>
      <c r="D323" s="23"/>
      <c r="E323" s="24" t="s">
        <v>46</v>
      </c>
      <c r="F323" s="24"/>
      <c r="G323" s="25">
        <v>0</v>
      </c>
      <c r="H323" s="2"/>
      <c r="K323" s="81"/>
    </row>
    <row r="324" spans="1:11" ht="15.75" hidden="1" customHeight="1">
      <c r="A324" s="64"/>
      <c r="B324" s="11">
        <v>45756</v>
      </c>
      <c r="C324" s="12">
        <v>0</v>
      </c>
      <c r="D324" s="12">
        <v>13105</v>
      </c>
      <c r="E324" s="90" t="s">
        <v>31</v>
      </c>
      <c r="F324" s="27">
        <v>40931</v>
      </c>
      <c r="G324" s="28">
        <v>507.82</v>
      </c>
      <c r="H324" s="2"/>
      <c r="K324" s="81"/>
    </row>
    <row r="325" spans="1:11" ht="15.75" hidden="1" customHeight="1">
      <c r="A325" s="64"/>
      <c r="B325" s="29"/>
      <c r="C325" s="29"/>
      <c r="D325" s="29"/>
      <c r="E325" s="13" t="s">
        <v>46</v>
      </c>
      <c r="F325" s="13"/>
      <c r="G325" s="30">
        <v>0</v>
      </c>
      <c r="H325" s="2"/>
      <c r="K325" s="81"/>
    </row>
    <row r="326" spans="1:11" ht="15.75" hidden="1" customHeight="1">
      <c r="A326" s="64"/>
      <c r="B326" s="17">
        <v>45756</v>
      </c>
      <c r="C326" s="18">
        <v>0</v>
      </c>
      <c r="D326" s="18">
        <v>13105</v>
      </c>
      <c r="E326" s="89" t="s">
        <v>31</v>
      </c>
      <c r="F326" s="20">
        <v>40932</v>
      </c>
      <c r="G326" s="31">
        <v>224.91</v>
      </c>
      <c r="H326" s="2"/>
      <c r="K326" s="81"/>
    </row>
    <row r="327" spans="1:11" ht="15.75" hidden="1" customHeight="1">
      <c r="A327" s="64"/>
      <c r="B327" s="23"/>
      <c r="C327" s="23"/>
      <c r="D327" s="23"/>
      <c r="E327" s="24" t="s">
        <v>46</v>
      </c>
      <c r="F327" s="24"/>
      <c r="G327" s="25">
        <v>0</v>
      </c>
      <c r="H327" s="2"/>
      <c r="K327" s="81"/>
    </row>
    <row r="328" spans="1:11" ht="15.75" hidden="1" customHeight="1">
      <c r="A328" s="64"/>
      <c r="B328" s="11">
        <v>45756</v>
      </c>
      <c r="C328" s="12">
        <v>0</v>
      </c>
      <c r="D328" s="12">
        <v>13105</v>
      </c>
      <c r="E328" s="90" t="s">
        <v>31</v>
      </c>
      <c r="F328" s="27">
        <v>40933</v>
      </c>
      <c r="G328" s="28">
        <v>1459.45</v>
      </c>
      <c r="H328" s="2"/>
      <c r="K328" s="81"/>
    </row>
    <row r="329" spans="1:11" ht="15.75" hidden="1" customHeight="1">
      <c r="A329" s="64"/>
      <c r="B329" s="29"/>
      <c r="C329" s="29"/>
      <c r="D329" s="29"/>
      <c r="E329" s="13" t="s">
        <v>46</v>
      </c>
      <c r="F329" s="13"/>
      <c r="G329" s="30">
        <v>0</v>
      </c>
      <c r="H329" s="2"/>
      <c r="K329" s="81"/>
    </row>
    <row r="330" spans="1:11" ht="15.75" hidden="1" customHeight="1">
      <c r="A330" s="64"/>
      <c r="B330" s="17">
        <v>45756</v>
      </c>
      <c r="C330" s="18">
        <v>0</v>
      </c>
      <c r="D330" s="18">
        <v>13105</v>
      </c>
      <c r="E330" s="89" t="s">
        <v>31</v>
      </c>
      <c r="F330" s="20">
        <v>40934</v>
      </c>
      <c r="G330" s="31">
        <v>596.63</v>
      </c>
      <c r="H330" s="2"/>
      <c r="K330" s="81"/>
    </row>
    <row r="331" spans="1:11" ht="15.75" hidden="1" customHeight="1">
      <c r="A331" s="64"/>
      <c r="B331" s="23"/>
      <c r="C331" s="23"/>
      <c r="D331" s="23"/>
      <c r="E331" s="24" t="s">
        <v>46</v>
      </c>
      <c r="F331" s="24"/>
      <c r="G331" s="25">
        <v>0</v>
      </c>
      <c r="H331" s="2"/>
      <c r="K331" s="81"/>
    </row>
    <row r="332" spans="1:11" ht="15.75" hidden="1" customHeight="1">
      <c r="A332" s="64"/>
      <c r="B332" s="11">
        <v>45756</v>
      </c>
      <c r="C332" s="12">
        <v>0</v>
      </c>
      <c r="D332" s="12">
        <v>13105</v>
      </c>
      <c r="E332" s="90" t="s">
        <v>31</v>
      </c>
      <c r="F332" s="27">
        <v>40935</v>
      </c>
      <c r="G332" s="28">
        <v>626.08000000000004</v>
      </c>
      <c r="H332" s="2"/>
      <c r="K332" s="81"/>
    </row>
    <row r="333" spans="1:11" ht="15.75" hidden="1" customHeight="1">
      <c r="A333" s="64"/>
      <c r="B333" s="29"/>
      <c r="C333" s="29"/>
      <c r="D333" s="29"/>
      <c r="E333" s="13" t="s">
        <v>46</v>
      </c>
      <c r="F333" s="13"/>
      <c r="G333" s="30">
        <v>0</v>
      </c>
      <c r="H333" s="2"/>
      <c r="K333" s="81"/>
    </row>
    <row r="334" spans="1:11" ht="15.75" hidden="1" customHeight="1">
      <c r="A334" s="64"/>
      <c r="B334" s="17">
        <v>45756</v>
      </c>
      <c r="C334" s="18">
        <v>0</v>
      </c>
      <c r="D334" s="18">
        <v>13105</v>
      </c>
      <c r="E334" s="89" t="s">
        <v>31</v>
      </c>
      <c r="F334" s="20">
        <v>40936</v>
      </c>
      <c r="G334" s="31">
        <v>84.76</v>
      </c>
      <c r="H334" s="2"/>
      <c r="K334" s="81"/>
    </row>
    <row r="335" spans="1:11" ht="15.75" hidden="1" customHeight="1">
      <c r="A335" s="64"/>
      <c r="B335" s="23"/>
      <c r="C335" s="23"/>
      <c r="D335" s="23"/>
      <c r="E335" s="24" t="s">
        <v>46</v>
      </c>
      <c r="F335" s="24"/>
      <c r="G335" s="25">
        <v>0</v>
      </c>
      <c r="H335" s="2"/>
      <c r="K335" s="81"/>
    </row>
    <row r="336" spans="1:11" ht="15.75" hidden="1" customHeight="1">
      <c r="A336" s="64"/>
      <c r="B336" s="11">
        <v>45756</v>
      </c>
      <c r="C336" s="12">
        <v>0</v>
      </c>
      <c r="D336" s="12">
        <v>13105</v>
      </c>
      <c r="E336" s="90" t="s">
        <v>31</v>
      </c>
      <c r="F336" s="27">
        <v>40937</v>
      </c>
      <c r="G336" s="28">
        <v>377.51</v>
      </c>
      <c r="H336" s="2"/>
      <c r="K336" s="81"/>
    </row>
    <row r="337" spans="1:11" ht="15.75" hidden="1" customHeight="1">
      <c r="A337" s="64"/>
      <c r="B337" s="29"/>
      <c r="C337" s="29"/>
      <c r="D337" s="29"/>
      <c r="E337" s="13" t="s">
        <v>46</v>
      </c>
      <c r="F337" s="13"/>
      <c r="G337" s="30">
        <v>0</v>
      </c>
      <c r="H337" s="2"/>
      <c r="K337" s="81"/>
    </row>
    <row r="338" spans="1:11" ht="15.75" hidden="1" customHeight="1">
      <c r="A338" s="64"/>
      <c r="B338" s="17">
        <v>45756</v>
      </c>
      <c r="C338" s="18">
        <v>0</v>
      </c>
      <c r="D338" s="18">
        <v>13105</v>
      </c>
      <c r="E338" s="89" t="s">
        <v>31</v>
      </c>
      <c r="F338" s="20">
        <v>40938</v>
      </c>
      <c r="G338" s="31">
        <v>376.19</v>
      </c>
      <c r="H338" s="2"/>
      <c r="K338" s="81"/>
    </row>
    <row r="339" spans="1:11" ht="15.75" hidden="1" customHeight="1">
      <c r="A339" s="64"/>
      <c r="B339" s="23"/>
      <c r="C339" s="23"/>
      <c r="D339" s="23"/>
      <c r="E339" s="24" t="s">
        <v>45</v>
      </c>
      <c r="F339" s="24"/>
      <c r="G339" s="25">
        <v>0</v>
      </c>
      <c r="H339" s="2"/>
      <c r="K339" s="81"/>
    </row>
    <row r="340" spans="1:11" ht="15.75" hidden="1" customHeight="1">
      <c r="A340" s="64"/>
      <c r="B340" s="11">
        <v>45756</v>
      </c>
      <c r="C340" s="12">
        <v>0</v>
      </c>
      <c r="D340" s="12">
        <v>13105</v>
      </c>
      <c r="E340" s="90" t="s">
        <v>31</v>
      </c>
      <c r="F340" s="27">
        <v>40939</v>
      </c>
      <c r="G340" s="28">
        <v>494.43</v>
      </c>
      <c r="H340" s="2"/>
      <c r="K340" s="81"/>
    </row>
    <row r="341" spans="1:11" ht="15.75" hidden="1" customHeight="1">
      <c r="A341" s="64"/>
      <c r="B341" s="29"/>
      <c r="C341" s="29"/>
      <c r="D341" s="29"/>
      <c r="E341" s="13" t="s">
        <v>45</v>
      </c>
      <c r="F341" s="13"/>
      <c r="G341" s="30">
        <v>0</v>
      </c>
      <c r="H341" s="2"/>
      <c r="K341" s="81"/>
    </row>
    <row r="342" spans="1:11" ht="15.75" hidden="1" customHeight="1">
      <c r="A342" s="64"/>
      <c r="B342" s="17">
        <v>45756</v>
      </c>
      <c r="C342" s="18">
        <v>0</v>
      </c>
      <c r="D342" s="18">
        <v>13105</v>
      </c>
      <c r="E342" s="89" t="s">
        <v>31</v>
      </c>
      <c r="F342" s="20">
        <v>40940</v>
      </c>
      <c r="G342" s="31">
        <v>166.04</v>
      </c>
      <c r="H342" s="2"/>
      <c r="K342" s="81"/>
    </row>
    <row r="343" spans="1:11" ht="15.75" hidden="1" customHeight="1">
      <c r="A343" s="64"/>
      <c r="B343" s="23"/>
      <c r="C343" s="23"/>
      <c r="D343" s="23"/>
      <c r="E343" s="24" t="s">
        <v>216</v>
      </c>
      <c r="F343" s="24"/>
      <c r="G343" s="25">
        <v>0</v>
      </c>
      <c r="H343" s="2"/>
      <c r="K343" s="81"/>
    </row>
    <row r="344" spans="1:11" ht="15.75" hidden="1" customHeight="1">
      <c r="A344" s="64"/>
      <c r="B344" s="11">
        <v>45756</v>
      </c>
      <c r="C344" s="12">
        <v>0</v>
      </c>
      <c r="D344" s="12">
        <v>13105</v>
      </c>
      <c r="E344" s="90" t="s">
        <v>118</v>
      </c>
      <c r="F344" s="27">
        <v>40941</v>
      </c>
      <c r="G344" s="28">
        <v>993.23</v>
      </c>
      <c r="H344" s="2"/>
      <c r="K344" s="81"/>
    </row>
    <row r="345" spans="1:11" ht="15.75" hidden="1" customHeight="1">
      <c r="A345" s="64"/>
      <c r="B345" s="29"/>
      <c r="C345" s="29"/>
      <c r="D345" s="29"/>
      <c r="E345" s="13" t="s">
        <v>456</v>
      </c>
      <c r="F345" s="13"/>
      <c r="G345" s="30">
        <v>0</v>
      </c>
      <c r="H345" s="2"/>
      <c r="K345" s="81"/>
    </row>
    <row r="346" spans="1:11" ht="15.75" hidden="1" customHeight="1">
      <c r="A346" s="64"/>
      <c r="B346" s="17">
        <v>45756</v>
      </c>
      <c r="C346" s="18">
        <v>0</v>
      </c>
      <c r="D346" s="18">
        <v>0</v>
      </c>
      <c r="E346" s="89" t="s">
        <v>52</v>
      </c>
      <c r="F346" s="20">
        <v>9903</v>
      </c>
      <c r="G346" s="21">
        <v>1322.93</v>
      </c>
      <c r="H346" s="2"/>
      <c r="K346" s="81"/>
    </row>
    <row r="347" spans="1:11" ht="15.75" hidden="1" customHeight="1">
      <c r="A347" s="64"/>
      <c r="B347" s="23"/>
      <c r="C347" s="23"/>
      <c r="D347" s="23"/>
      <c r="E347" s="24" t="s">
        <v>53</v>
      </c>
      <c r="F347" s="24"/>
      <c r="G347" s="25">
        <v>0</v>
      </c>
      <c r="H347" s="2"/>
      <c r="K347" s="81"/>
    </row>
    <row r="348" spans="1:11" ht="15.75" hidden="1" customHeight="1">
      <c r="A348" s="64"/>
      <c r="B348" s="11">
        <v>45757</v>
      </c>
      <c r="C348" s="12">
        <v>0</v>
      </c>
      <c r="D348" s="12">
        <v>14175</v>
      </c>
      <c r="E348" s="90" t="s">
        <v>62</v>
      </c>
      <c r="F348" s="27">
        <v>377411616</v>
      </c>
      <c r="G348" s="15">
        <v>1500</v>
      </c>
      <c r="H348" s="2"/>
      <c r="K348" s="81"/>
    </row>
    <row r="349" spans="1:11" ht="15.75" hidden="1" customHeight="1">
      <c r="A349" s="64"/>
      <c r="B349" s="29"/>
      <c r="C349" s="29"/>
      <c r="D349" s="29"/>
      <c r="E349" s="13" t="s">
        <v>97</v>
      </c>
      <c r="F349" s="13"/>
      <c r="G349" s="30">
        <v>0</v>
      </c>
      <c r="H349" s="2"/>
      <c r="K349" s="81"/>
    </row>
    <row r="350" spans="1:11" ht="15.75" hidden="1" customHeight="1">
      <c r="A350" s="64"/>
      <c r="B350" s="17">
        <v>45757</v>
      </c>
      <c r="C350" s="18">
        <v>0</v>
      </c>
      <c r="D350" s="18">
        <v>14175</v>
      </c>
      <c r="E350" s="89" t="s">
        <v>62</v>
      </c>
      <c r="F350" s="20">
        <v>377444267</v>
      </c>
      <c r="G350" s="21">
        <v>6700</v>
      </c>
      <c r="H350" s="2"/>
      <c r="K350" s="81"/>
    </row>
    <row r="351" spans="1:11" ht="15.75" hidden="1" customHeight="1">
      <c r="A351" s="64"/>
      <c r="B351" s="23"/>
      <c r="C351" s="23"/>
      <c r="D351" s="23"/>
      <c r="E351" s="24" t="s">
        <v>97</v>
      </c>
      <c r="F351" s="24"/>
      <c r="G351" s="25">
        <v>0</v>
      </c>
      <c r="H351" s="2"/>
      <c r="K351" s="81"/>
    </row>
    <row r="352" spans="1:11" ht="15.75" hidden="1" customHeight="1">
      <c r="A352" s="64"/>
      <c r="B352" s="11">
        <v>45757</v>
      </c>
      <c r="C352" s="12">
        <v>0</v>
      </c>
      <c r="D352" s="12">
        <v>14397</v>
      </c>
      <c r="E352" s="90" t="s">
        <v>57</v>
      </c>
      <c r="F352" s="27">
        <v>101041578183262</v>
      </c>
      <c r="G352" s="15">
        <v>2524.89</v>
      </c>
      <c r="H352" s="2"/>
      <c r="K352" s="81"/>
    </row>
    <row r="353" spans="1:11" ht="15.75" hidden="1" customHeight="1">
      <c r="A353" s="64"/>
      <c r="B353" s="29"/>
      <c r="C353" s="29"/>
      <c r="D353" s="29"/>
      <c r="E353" s="13" t="s">
        <v>457</v>
      </c>
      <c r="F353" s="13"/>
      <c r="G353" s="30">
        <v>0</v>
      </c>
      <c r="H353" s="2"/>
      <c r="K353" s="81"/>
    </row>
    <row r="354" spans="1:11" ht="15.75" hidden="1" customHeight="1">
      <c r="A354" s="64"/>
      <c r="B354" s="17">
        <v>45757</v>
      </c>
      <c r="C354" s="18">
        <v>0</v>
      </c>
      <c r="D354" s="18">
        <v>14397</v>
      </c>
      <c r="E354" s="89" t="s">
        <v>57</v>
      </c>
      <c r="F354" s="20">
        <v>101216172935412</v>
      </c>
      <c r="G354" s="21">
        <v>6500</v>
      </c>
      <c r="H354" s="2"/>
      <c r="K354" s="81"/>
    </row>
    <row r="355" spans="1:11" ht="15.75" hidden="1" customHeight="1">
      <c r="A355" s="64"/>
      <c r="B355" s="23"/>
      <c r="C355" s="23"/>
      <c r="D355" s="23"/>
      <c r="E355" s="24" t="s">
        <v>458</v>
      </c>
      <c r="F355" s="24"/>
      <c r="G355" s="25">
        <v>0</v>
      </c>
      <c r="H355" s="2"/>
      <c r="K355" s="81"/>
    </row>
    <row r="356" spans="1:11" ht="15.75" hidden="1" customHeight="1">
      <c r="A356" s="64"/>
      <c r="B356" s="11">
        <v>45757</v>
      </c>
      <c r="C356" s="12">
        <v>0</v>
      </c>
      <c r="D356" s="12">
        <v>14397</v>
      </c>
      <c r="E356" s="90" t="s">
        <v>57</v>
      </c>
      <c r="F356" s="27">
        <v>101522068611492</v>
      </c>
      <c r="G356" s="15">
        <v>219.93</v>
      </c>
      <c r="H356" s="2"/>
      <c r="K356" s="81"/>
    </row>
    <row r="357" spans="1:11" ht="15.75" hidden="1" customHeight="1">
      <c r="A357" s="64"/>
      <c r="B357" s="29"/>
      <c r="C357" s="29"/>
      <c r="D357" s="29"/>
      <c r="E357" s="13" t="s">
        <v>459</v>
      </c>
      <c r="F357" s="13"/>
      <c r="G357" s="30">
        <v>0</v>
      </c>
      <c r="H357" s="2"/>
      <c r="K357" s="81"/>
    </row>
    <row r="358" spans="1:11" ht="15.75" hidden="1" customHeight="1">
      <c r="A358" s="64"/>
      <c r="B358" s="17">
        <v>45757</v>
      </c>
      <c r="C358" s="18">
        <v>0</v>
      </c>
      <c r="D358" s="18">
        <v>14397</v>
      </c>
      <c r="E358" s="89" t="s">
        <v>57</v>
      </c>
      <c r="F358" s="20">
        <v>442920084106781</v>
      </c>
      <c r="G358" s="21">
        <v>5143.47</v>
      </c>
      <c r="H358" s="2"/>
      <c r="K358" s="81"/>
    </row>
    <row r="359" spans="1:11" ht="15.75" hidden="1" customHeight="1">
      <c r="A359" s="64"/>
      <c r="B359" s="23"/>
      <c r="C359" s="23"/>
      <c r="D359" s="23"/>
      <c r="E359" s="24" t="s">
        <v>460</v>
      </c>
      <c r="F359" s="24"/>
      <c r="G359" s="25">
        <v>0</v>
      </c>
      <c r="H359" s="2"/>
      <c r="K359" s="81"/>
    </row>
    <row r="360" spans="1:11" ht="15.75" hidden="1" customHeight="1">
      <c r="A360" s="64"/>
      <c r="B360" s="11">
        <v>45757</v>
      </c>
      <c r="C360" s="12">
        <v>0</v>
      </c>
      <c r="D360" s="12">
        <v>14397</v>
      </c>
      <c r="E360" s="90" t="s">
        <v>57</v>
      </c>
      <c r="F360" s="27">
        <v>443045043891811</v>
      </c>
      <c r="G360" s="15">
        <v>600</v>
      </c>
      <c r="H360" s="2"/>
      <c r="K360" s="81"/>
    </row>
    <row r="361" spans="1:11" ht="15.75" hidden="1" customHeight="1">
      <c r="A361" s="64"/>
      <c r="B361" s="29"/>
      <c r="C361" s="29"/>
      <c r="D361" s="29"/>
      <c r="E361" s="13" t="s">
        <v>461</v>
      </c>
      <c r="F361" s="13"/>
      <c r="G361" s="30">
        <v>0</v>
      </c>
      <c r="H361" s="2"/>
      <c r="K361" s="81"/>
    </row>
    <row r="362" spans="1:11" ht="15.75" hidden="1" customHeight="1">
      <c r="A362" s="64"/>
      <c r="B362" s="17">
        <v>45757</v>
      </c>
      <c r="C362" s="18">
        <v>0</v>
      </c>
      <c r="D362" s="18">
        <v>14397</v>
      </c>
      <c r="E362" s="89" t="s">
        <v>57</v>
      </c>
      <c r="F362" s="20">
        <v>443160919682751</v>
      </c>
      <c r="G362" s="21">
        <v>1808</v>
      </c>
      <c r="H362" s="2"/>
      <c r="K362" s="81"/>
    </row>
    <row r="363" spans="1:11" ht="15.75" hidden="1" customHeight="1">
      <c r="A363" s="64"/>
      <c r="B363" s="23"/>
      <c r="C363" s="23"/>
      <c r="D363" s="23"/>
      <c r="E363" s="24" t="s">
        <v>462</v>
      </c>
      <c r="F363" s="24"/>
      <c r="G363" s="25">
        <v>0</v>
      </c>
      <c r="H363" s="2"/>
      <c r="K363" s="81"/>
    </row>
    <row r="364" spans="1:11" ht="15.75" hidden="1" customHeight="1">
      <c r="A364" s="64"/>
      <c r="B364" s="11">
        <v>45757</v>
      </c>
      <c r="C364" s="12">
        <v>1533</v>
      </c>
      <c r="D364" s="12">
        <v>99015</v>
      </c>
      <c r="E364" s="90" t="s">
        <v>195</v>
      </c>
      <c r="F364" s="27">
        <v>552035000092019</v>
      </c>
      <c r="G364" s="28">
        <v>5884.79</v>
      </c>
      <c r="H364" s="2"/>
      <c r="K364" s="81"/>
    </row>
    <row r="365" spans="1:11" ht="15.75" hidden="1" customHeight="1">
      <c r="A365" s="64"/>
      <c r="B365" s="29"/>
      <c r="C365" s="29"/>
      <c r="D365" s="29"/>
      <c r="E365" s="13" t="s">
        <v>463</v>
      </c>
      <c r="F365" s="13"/>
      <c r="G365" s="30">
        <v>0</v>
      </c>
      <c r="H365" s="2"/>
      <c r="K365" s="81"/>
    </row>
    <row r="366" spans="1:11" ht="15.75" hidden="1" customHeight="1">
      <c r="A366" s="64"/>
      <c r="B366" s="17">
        <v>45757</v>
      </c>
      <c r="C366" s="18">
        <v>0</v>
      </c>
      <c r="D366" s="18">
        <v>13105</v>
      </c>
      <c r="E366" s="89" t="s">
        <v>80</v>
      </c>
      <c r="F366" s="20">
        <v>41001</v>
      </c>
      <c r="G366" s="31">
        <v>641.70000000000005</v>
      </c>
      <c r="H366" s="2"/>
      <c r="K366" s="81"/>
    </row>
    <row r="367" spans="1:11" ht="15.75" hidden="1" customHeight="1">
      <c r="A367" s="64"/>
      <c r="B367" s="23"/>
      <c r="C367" s="23"/>
      <c r="D367" s="23"/>
      <c r="E367" s="24" t="s">
        <v>81</v>
      </c>
      <c r="F367" s="24"/>
      <c r="G367" s="25">
        <v>0</v>
      </c>
      <c r="H367" s="2"/>
      <c r="K367" s="81"/>
    </row>
    <row r="368" spans="1:11" ht="15.75" hidden="1" customHeight="1">
      <c r="A368" s="64"/>
      <c r="B368" s="11">
        <v>45757</v>
      </c>
      <c r="C368" s="12">
        <v>0</v>
      </c>
      <c r="D368" s="12">
        <v>13105</v>
      </c>
      <c r="E368" s="90" t="s">
        <v>80</v>
      </c>
      <c r="F368" s="27">
        <v>41002</v>
      </c>
      <c r="G368" s="28">
        <v>402</v>
      </c>
      <c r="H368" s="2"/>
      <c r="K368" s="81"/>
    </row>
    <row r="369" spans="1:11" ht="15.75" hidden="1" customHeight="1">
      <c r="A369" s="64"/>
      <c r="B369" s="29"/>
      <c r="C369" s="29"/>
      <c r="D369" s="29"/>
      <c r="E369" s="13" t="s">
        <v>84</v>
      </c>
      <c r="F369" s="13"/>
      <c r="G369" s="30">
        <v>0</v>
      </c>
      <c r="H369" s="2"/>
      <c r="K369" s="81"/>
    </row>
    <row r="370" spans="1:11" ht="15.75" hidden="1" customHeight="1">
      <c r="A370" s="64"/>
      <c r="B370" s="17">
        <v>45757</v>
      </c>
      <c r="C370" s="18">
        <v>0</v>
      </c>
      <c r="D370" s="18">
        <v>13105</v>
      </c>
      <c r="E370" s="89" t="s">
        <v>31</v>
      </c>
      <c r="F370" s="20">
        <v>41003</v>
      </c>
      <c r="G370" s="31">
        <v>2200</v>
      </c>
      <c r="H370" s="2"/>
      <c r="K370" s="81"/>
    </row>
    <row r="371" spans="1:11" ht="15.75" hidden="1" customHeight="1">
      <c r="A371" s="64"/>
      <c r="B371" s="23"/>
      <c r="C371" s="23"/>
      <c r="D371" s="23"/>
      <c r="E371" s="24" t="s">
        <v>173</v>
      </c>
      <c r="F371" s="24"/>
      <c r="G371" s="25">
        <v>0</v>
      </c>
      <c r="H371" s="2"/>
      <c r="K371" s="81"/>
    </row>
    <row r="372" spans="1:11" ht="15.75" hidden="1" customHeight="1">
      <c r="A372" s="64"/>
      <c r="B372" s="11">
        <v>45757</v>
      </c>
      <c r="C372" s="12">
        <v>0</v>
      </c>
      <c r="D372" s="12">
        <v>13105</v>
      </c>
      <c r="E372" s="90" t="s">
        <v>31</v>
      </c>
      <c r="F372" s="27">
        <v>41004</v>
      </c>
      <c r="G372" s="28">
        <v>1980</v>
      </c>
      <c r="H372" s="2"/>
      <c r="K372" s="81"/>
    </row>
    <row r="373" spans="1:11" ht="15.75" hidden="1" customHeight="1">
      <c r="A373" s="64"/>
      <c r="B373" s="29"/>
      <c r="C373" s="29"/>
      <c r="D373" s="29"/>
      <c r="E373" s="13" t="s">
        <v>121</v>
      </c>
      <c r="F373" s="13"/>
      <c r="G373" s="30">
        <v>0</v>
      </c>
      <c r="H373" s="2"/>
      <c r="K373" s="81"/>
    </row>
    <row r="374" spans="1:11" ht="15.75" hidden="1" customHeight="1">
      <c r="A374" s="64"/>
      <c r="B374" s="17">
        <v>45757</v>
      </c>
      <c r="C374" s="18">
        <v>0</v>
      </c>
      <c r="D374" s="18">
        <v>13105</v>
      </c>
      <c r="E374" s="89" t="s">
        <v>31</v>
      </c>
      <c r="F374" s="20">
        <v>41005</v>
      </c>
      <c r="G374" s="31">
        <v>265.67</v>
      </c>
      <c r="H374" s="2"/>
      <c r="K374" s="81"/>
    </row>
    <row r="375" spans="1:11" ht="15.75" hidden="1" customHeight="1">
      <c r="A375" s="64"/>
      <c r="B375" s="23"/>
      <c r="C375" s="23"/>
      <c r="D375" s="23"/>
      <c r="E375" s="24" t="s">
        <v>41</v>
      </c>
      <c r="F375" s="24"/>
      <c r="G375" s="25">
        <v>0</v>
      </c>
      <c r="H375" s="2"/>
      <c r="K375" s="81"/>
    </row>
    <row r="376" spans="1:11" ht="15.75" hidden="1" customHeight="1">
      <c r="A376" s="64"/>
      <c r="B376" s="11">
        <v>45757</v>
      </c>
      <c r="C376" s="12">
        <v>0</v>
      </c>
      <c r="D376" s="12">
        <v>13105</v>
      </c>
      <c r="E376" s="90" t="s">
        <v>31</v>
      </c>
      <c r="F376" s="27">
        <v>41006</v>
      </c>
      <c r="G376" s="28">
        <v>602.69000000000005</v>
      </c>
      <c r="H376" s="2"/>
      <c r="K376" s="81"/>
    </row>
    <row r="377" spans="1:11" ht="15.75" hidden="1" customHeight="1">
      <c r="A377" s="64"/>
      <c r="B377" s="29"/>
      <c r="C377" s="29"/>
      <c r="D377" s="29"/>
      <c r="E377" s="13" t="s">
        <v>464</v>
      </c>
      <c r="F377" s="13"/>
      <c r="G377" s="30">
        <v>0</v>
      </c>
      <c r="H377" s="2"/>
      <c r="K377" s="81"/>
    </row>
    <row r="378" spans="1:11" ht="15.75" hidden="1" customHeight="1">
      <c r="A378" s="64"/>
      <c r="B378" s="17">
        <v>45757</v>
      </c>
      <c r="C378" s="18">
        <v>0</v>
      </c>
      <c r="D378" s="18">
        <v>13105</v>
      </c>
      <c r="E378" s="89" t="s">
        <v>34</v>
      </c>
      <c r="F378" s="20">
        <v>41007</v>
      </c>
      <c r="G378" s="31">
        <v>138.58000000000001</v>
      </c>
      <c r="H378" s="2"/>
      <c r="K378" s="81"/>
    </row>
    <row r="379" spans="1:11" ht="15.75" hidden="1" customHeight="1">
      <c r="A379" s="64"/>
      <c r="B379" s="23"/>
      <c r="C379" s="23"/>
      <c r="D379" s="23"/>
      <c r="E379" s="24" t="s">
        <v>108</v>
      </c>
      <c r="F379" s="24"/>
      <c r="G379" s="25">
        <v>0</v>
      </c>
      <c r="H379" s="2"/>
      <c r="K379" s="81"/>
    </row>
    <row r="380" spans="1:11" ht="15.75" hidden="1" customHeight="1">
      <c r="A380" s="64"/>
      <c r="B380" s="11">
        <v>45757</v>
      </c>
      <c r="C380" s="12">
        <v>0</v>
      </c>
      <c r="D380" s="12">
        <v>13105</v>
      </c>
      <c r="E380" s="90" t="s">
        <v>31</v>
      </c>
      <c r="F380" s="27">
        <v>41008</v>
      </c>
      <c r="G380" s="28">
        <v>154.84</v>
      </c>
      <c r="H380" s="2"/>
      <c r="K380" s="81"/>
    </row>
    <row r="381" spans="1:11" ht="15.75" hidden="1" customHeight="1">
      <c r="A381" s="64"/>
      <c r="B381" s="29"/>
      <c r="C381" s="29"/>
      <c r="D381" s="29"/>
      <c r="E381" s="13" t="s">
        <v>111</v>
      </c>
      <c r="F381" s="13"/>
      <c r="G381" s="30">
        <v>0</v>
      </c>
      <c r="H381" s="2"/>
      <c r="K381" s="81"/>
    </row>
    <row r="382" spans="1:11" ht="15.75" hidden="1" customHeight="1">
      <c r="A382" s="64"/>
      <c r="B382" s="17">
        <v>45757</v>
      </c>
      <c r="C382" s="18">
        <v>0</v>
      </c>
      <c r="D382" s="18">
        <v>13105</v>
      </c>
      <c r="E382" s="89" t="s">
        <v>31</v>
      </c>
      <c r="F382" s="20">
        <v>41009</v>
      </c>
      <c r="G382" s="31">
        <v>243.55</v>
      </c>
      <c r="H382" s="2"/>
      <c r="K382" s="81"/>
    </row>
    <row r="383" spans="1:11" ht="15.75" hidden="1" customHeight="1">
      <c r="A383" s="64"/>
      <c r="B383" s="23"/>
      <c r="C383" s="23"/>
      <c r="D383" s="23"/>
      <c r="E383" s="24" t="s">
        <v>111</v>
      </c>
      <c r="F383" s="24"/>
      <c r="G383" s="25">
        <v>0</v>
      </c>
      <c r="H383" s="2"/>
      <c r="K383" s="81"/>
    </row>
    <row r="384" spans="1:11" ht="15.75" hidden="1" customHeight="1">
      <c r="A384" s="64"/>
      <c r="B384" s="11">
        <v>45757</v>
      </c>
      <c r="C384" s="12">
        <v>0</v>
      </c>
      <c r="D384" s="12">
        <v>13105</v>
      </c>
      <c r="E384" s="90" t="s">
        <v>31</v>
      </c>
      <c r="F384" s="27">
        <v>41010</v>
      </c>
      <c r="G384" s="28">
        <v>259.05</v>
      </c>
      <c r="H384" s="2"/>
      <c r="K384" s="81"/>
    </row>
    <row r="385" spans="1:11" ht="15.75" hidden="1" customHeight="1">
      <c r="A385" s="64"/>
      <c r="B385" s="29"/>
      <c r="C385" s="29"/>
      <c r="D385" s="29"/>
      <c r="E385" s="13" t="s">
        <v>45</v>
      </c>
      <c r="F385" s="13"/>
      <c r="G385" s="30">
        <v>0</v>
      </c>
      <c r="H385" s="2"/>
      <c r="K385" s="81"/>
    </row>
    <row r="386" spans="1:11" ht="15.75" hidden="1" customHeight="1">
      <c r="A386" s="64"/>
      <c r="B386" s="17">
        <v>45757</v>
      </c>
      <c r="C386" s="18">
        <v>0</v>
      </c>
      <c r="D386" s="18">
        <v>13105</v>
      </c>
      <c r="E386" s="89" t="s">
        <v>31</v>
      </c>
      <c r="F386" s="20">
        <v>41011</v>
      </c>
      <c r="G386" s="31">
        <v>327.91</v>
      </c>
      <c r="H386" s="2"/>
      <c r="K386" s="81"/>
    </row>
    <row r="387" spans="1:11" ht="15.75" hidden="1" customHeight="1">
      <c r="A387" s="64"/>
      <c r="B387" s="23"/>
      <c r="C387" s="23"/>
      <c r="D387" s="23"/>
      <c r="E387" s="24" t="s">
        <v>45</v>
      </c>
      <c r="F387" s="24"/>
      <c r="G387" s="25">
        <v>0</v>
      </c>
      <c r="H387" s="2"/>
      <c r="K387" s="81"/>
    </row>
    <row r="388" spans="1:11" ht="15.75" hidden="1" customHeight="1">
      <c r="A388" s="64"/>
      <c r="B388" s="11">
        <v>45757</v>
      </c>
      <c r="C388" s="12">
        <v>0</v>
      </c>
      <c r="D388" s="12">
        <v>13105</v>
      </c>
      <c r="E388" s="90" t="s">
        <v>31</v>
      </c>
      <c r="F388" s="27">
        <v>41012</v>
      </c>
      <c r="G388" s="28">
        <v>316.18</v>
      </c>
      <c r="H388" s="2"/>
      <c r="K388" s="81"/>
    </row>
    <row r="389" spans="1:11" ht="15.75" hidden="1" customHeight="1">
      <c r="A389" s="64"/>
      <c r="B389" s="29"/>
      <c r="C389" s="29"/>
      <c r="D389" s="29"/>
      <c r="E389" s="13" t="s">
        <v>45</v>
      </c>
      <c r="F389" s="13"/>
      <c r="G389" s="30">
        <v>0</v>
      </c>
      <c r="H389" s="2"/>
      <c r="K389" s="81"/>
    </row>
    <row r="390" spans="1:11" ht="15.75" hidden="1" customHeight="1">
      <c r="A390" s="64"/>
      <c r="B390" s="17">
        <v>45757</v>
      </c>
      <c r="C390" s="18">
        <v>0</v>
      </c>
      <c r="D390" s="18">
        <v>13105</v>
      </c>
      <c r="E390" s="89" t="s">
        <v>31</v>
      </c>
      <c r="F390" s="20">
        <v>41013</v>
      </c>
      <c r="G390" s="31">
        <v>386.59</v>
      </c>
      <c r="H390" s="2"/>
      <c r="K390" s="81"/>
    </row>
    <row r="391" spans="1:11" ht="15.75" hidden="1" customHeight="1">
      <c r="A391" s="64"/>
      <c r="B391" s="23"/>
      <c r="C391" s="23"/>
      <c r="D391" s="23"/>
      <c r="E391" s="24" t="s">
        <v>110</v>
      </c>
      <c r="F391" s="24"/>
      <c r="G391" s="25">
        <v>0</v>
      </c>
      <c r="H391" s="2"/>
      <c r="K391" s="81"/>
    </row>
    <row r="392" spans="1:11" ht="15.75" hidden="1" customHeight="1">
      <c r="A392" s="64"/>
      <c r="B392" s="11">
        <v>45757</v>
      </c>
      <c r="C392" s="12">
        <v>0</v>
      </c>
      <c r="D392" s="12">
        <v>13105</v>
      </c>
      <c r="E392" s="90" t="s">
        <v>31</v>
      </c>
      <c r="F392" s="27">
        <v>41014</v>
      </c>
      <c r="G392" s="28">
        <v>266.3</v>
      </c>
      <c r="H392" s="2"/>
      <c r="K392" s="81"/>
    </row>
    <row r="393" spans="1:11" ht="15.75" hidden="1" customHeight="1">
      <c r="A393" s="64"/>
      <c r="B393" s="29"/>
      <c r="C393" s="29"/>
      <c r="D393" s="29"/>
      <c r="E393" s="13" t="s">
        <v>340</v>
      </c>
      <c r="F393" s="13"/>
      <c r="G393" s="30">
        <v>0</v>
      </c>
      <c r="H393" s="2"/>
      <c r="K393" s="81"/>
    </row>
    <row r="394" spans="1:11" ht="15.75" hidden="1" customHeight="1">
      <c r="A394" s="64"/>
      <c r="B394" s="17">
        <v>45757</v>
      </c>
      <c r="C394" s="18">
        <v>0</v>
      </c>
      <c r="D394" s="18">
        <v>13105</v>
      </c>
      <c r="E394" s="89" t="s">
        <v>31</v>
      </c>
      <c r="F394" s="20">
        <v>41015</v>
      </c>
      <c r="G394" s="31">
        <v>375.28</v>
      </c>
      <c r="H394" s="2"/>
      <c r="K394" s="81"/>
    </row>
    <row r="395" spans="1:11" ht="15.75" hidden="1" customHeight="1">
      <c r="A395" s="64"/>
      <c r="B395" s="23"/>
      <c r="C395" s="23"/>
      <c r="D395" s="23"/>
      <c r="E395" s="24" t="s">
        <v>231</v>
      </c>
      <c r="F395" s="24"/>
      <c r="G395" s="25">
        <v>0</v>
      </c>
      <c r="H395" s="2"/>
      <c r="K395" s="81"/>
    </row>
    <row r="396" spans="1:11" ht="15.75" hidden="1" customHeight="1">
      <c r="A396" s="64"/>
      <c r="B396" s="11">
        <v>45757</v>
      </c>
      <c r="C396" s="12">
        <v>0</v>
      </c>
      <c r="D396" s="12">
        <v>13105</v>
      </c>
      <c r="E396" s="90" t="s">
        <v>80</v>
      </c>
      <c r="F396" s="27">
        <v>41016</v>
      </c>
      <c r="G396" s="28">
        <v>9292.01</v>
      </c>
      <c r="H396" s="2"/>
      <c r="K396" s="81"/>
    </row>
    <row r="397" spans="1:11" ht="15.75" hidden="1" customHeight="1">
      <c r="A397" s="64"/>
      <c r="B397" s="29"/>
      <c r="C397" s="29"/>
      <c r="D397" s="29"/>
      <c r="E397" s="13" t="s">
        <v>154</v>
      </c>
      <c r="F397" s="13"/>
      <c r="G397" s="30">
        <v>0</v>
      </c>
      <c r="H397" s="2"/>
      <c r="K397" s="81"/>
    </row>
    <row r="398" spans="1:11" ht="15.75" hidden="1" customHeight="1">
      <c r="A398" s="64"/>
      <c r="B398" s="17">
        <v>45757</v>
      </c>
      <c r="C398" s="18">
        <v>0</v>
      </c>
      <c r="D398" s="18">
        <v>13013</v>
      </c>
      <c r="E398" s="89" t="s">
        <v>87</v>
      </c>
      <c r="F398" s="20">
        <v>46301</v>
      </c>
      <c r="G398" s="31">
        <v>54.12</v>
      </c>
      <c r="H398" s="2"/>
      <c r="K398" s="81"/>
    </row>
    <row r="399" spans="1:11" ht="15.75" hidden="1" customHeight="1">
      <c r="A399" s="64"/>
      <c r="B399" s="23"/>
      <c r="C399" s="23"/>
      <c r="D399" s="23"/>
      <c r="E399" s="24" t="s">
        <v>88</v>
      </c>
      <c r="F399" s="24"/>
      <c r="G399" s="25">
        <v>0</v>
      </c>
      <c r="H399" s="2"/>
      <c r="K399" s="81"/>
    </row>
    <row r="400" spans="1:11" ht="15.75" hidden="1" customHeight="1">
      <c r="A400" s="64"/>
      <c r="B400" s="11">
        <v>45757</v>
      </c>
      <c r="C400" s="12">
        <v>0</v>
      </c>
      <c r="D400" s="12">
        <v>0</v>
      </c>
      <c r="E400" s="90" t="s">
        <v>59</v>
      </c>
      <c r="F400" s="27">
        <v>9903</v>
      </c>
      <c r="G400" s="28">
        <v>1205.03</v>
      </c>
      <c r="H400" s="2"/>
      <c r="K400" s="81"/>
    </row>
    <row r="401" spans="1:11" ht="15.75" hidden="1" customHeight="1">
      <c r="A401" s="64"/>
      <c r="B401" s="29"/>
      <c r="C401" s="29"/>
      <c r="D401" s="29"/>
      <c r="E401" s="13" t="s">
        <v>53</v>
      </c>
      <c r="F401" s="13"/>
      <c r="G401" s="30">
        <v>0</v>
      </c>
      <c r="H401" s="2"/>
      <c r="K401" s="81"/>
    </row>
    <row r="402" spans="1:11" ht="15.75" hidden="1" customHeight="1">
      <c r="A402" s="64"/>
      <c r="B402" s="17">
        <v>45758</v>
      </c>
      <c r="C402" s="18">
        <v>1109</v>
      </c>
      <c r="D402" s="18">
        <v>99015</v>
      </c>
      <c r="E402" s="89" t="s">
        <v>27</v>
      </c>
      <c r="F402" s="20">
        <v>551109000030600</v>
      </c>
      <c r="G402" s="21">
        <v>504.19</v>
      </c>
      <c r="H402" s="2"/>
      <c r="K402" s="81"/>
    </row>
    <row r="403" spans="1:11" ht="15.75" hidden="1" customHeight="1">
      <c r="A403" s="64"/>
      <c r="B403" s="23"/>
      <c r="C403" s="23"/>
      <c r="D403" s="23"/>
      <c r="E403" s="24" t="s">
        <v>465</v>
      </c>
      <c r="F403" s="24"/>
      <c r="G403" s="25">
        <v>0</v>
      </c>
      <c r="H403" s="2"/>
      <c r="K403" s="81"/>
    </row>
    <row r="404" spans="1:11" ht="15.75" hidden="1" customHeight="1">
      <c r="A404" s="64"/>
      <c r="B404" s="11">
        <v>45758</v>
      </c>
      <c r="C404" s="12">
        <v>128</v>
      </c>
      <c r="D404" s="12">
        <v>99021</v>
      </c>
      <c r="E404" s="90" t="s">
        <v>27</v>
      </c>
      <c r="F404" s="27">
        <v>610128000064860</v>
      </c>
      <c r="G404" s="15">
        <v>390.24</v>
      </c>
      <c r="H404" s="2"/>
      <c r="K404" s="81"/>
    </row>
    <row r="405" spans="1:11" ht="15.75" hidden="1" customHeight="1">
      <c r="A405" s="64"/>
      <c r="B405" s="29"/>
      <c r="C405" s="29"/>
      <c r="D405" s="29"/>
      <c r="E405" s="13" t="s">
        <v>466</v>
      </c>
      <c r="F405" s="13"/>
      <c r="G405" s="30">
        <v>0</v>
      </c>
      <c r="H405" s="2"/>
      <c r="K405" s="81"/>
    </row>
    <row r="406" spans="1:11" ht="15.75" hidden="1" customHeight="1">
      <c r="A406" s="64"/>
      <c r="B406" s="17">
        <v>45758</v>
      </c>
      <c r="C406" s="18">
        <v>0</v>
      </c>
      <c r="D406" s="18">
        <v>14397</v>
      </c>
      <c r="E406" s="89" t="s">
        <v>57</v>
      </c>
      <c r="F406" s="20">
        <v>111048498086692</v>
      </c>
      <c r="G406" s="21">
        <v>712.3</v>
      </c>
      <c r="H406" s="2"/>
      <c r="K406" s="81"/>
    </row>
    <row r="407" spans="1:11" ht="15.75" hidden="1" customHeight="1">
      <c r="A407" s="64"/>
      <c r="B407" s="23"/>
      <c r="C407" s="23"/>
      <c r="D407" s="23"/>
      <c r="E407" s="24" t="s">
        <v>467</v>
      </c>
      <c r="F407" s="24"/>
      <c r="G407" s="25">
        <v>0</v>
      </c>
      <c r="H407" s="2"/>
      <c r="K407" s="81"/>
    </row>
    <row r="408" spans="1:11" ht="15.75" customHeight="1">
      <c r="A408" s="33" t="s">
        <v>140</v>
      </c>
      <c r="B408" s="34">
        <v>45758</v>
      </c>
      <c r="C408" s="35">
        <v>0</v>
      </c>
      <c r="D408" s="35">
        <v>14138</v>
      </c>
      <c r="E408" s="91" t="s">
        <v>141</v>
      </c>
      <c r="F408" s="69">
        <v>202504100022814</v>
      </c>
      <c r="G408" s="70">
        <v>656.38</v>
      </c>
      <c r="H408" s="2">
        <v>3370</v>
      </c>
      <c r="I408" s="64" t="s">
        <v>425</v>
      </c>
      <c r="K408" s="81"/>
    </row>
    <row r="409" spans="1:11" ht="15.75" hidden="1" customHeight="1">
      <c r="A409" s="64"/>
      <c r="B409" s="29"/>
      <c r="C409" s="29"/>
      <c r="D409" s="29"/>
      <c r="E409" s="13" t="s">
        <v>143</v>
      </c>
      <c r="F409" s="13"/>
      <c r="G409" s="30">
        <v>0</v>
      </c>
      <c r="H409" s="2"/>
      <c r="K409" s="81"/>
    </row>
    <row r="410" spans="1:11" ht="15.75" customHeight="1">
      <c r="A410" s="33" t="s">
        <v>140</v>
      </c>
      <c r="B410" s="41">
        <v>45758</v>
      </c>
      <c r="C410" s="42">
        <v>0</v>
      </c>
      <c r="D410" s="42">
        <v>14138</v>
      </c>
      <c r="E410" s="92" t="s">
        <v>141</v>
      </c>
      <c r="F410" s="74">
        <v>202504100022815</v>
      </c>
      <c r="G410" s="75">
        <v>793.76</v>
      </c>
      <c r="H410" s="2">
        <v>3448</v>
      </c>
      <c r="I410" s="64" t="s">
        <v>425</v>
      </c>
      <c r="K410" s="81"/>
    </row>
    <row r="411" spans="1:11" ht="15.75" hidden="1" customHeight="1">
      <c r="A411" s="64"/>
      <c r="B411" s="23"/>
      <c r="C411" s="23"/>
      <c r="D411" s="23"/>
      <c r="E411" s="24" t="s">
        <v>143</v>
      </c>
      <c r="F411" s="24"/>
      <c r="G411" s="25">
        <v>0</v>
      </c>
      <c r="H411" s="2"/>
      <c r="K411" s="81"/>
    </row>
    <row r="412" spans="1:11" ht="15.75" customHeight="1">
      <c r="A412" s="33" t="s">
        <v>140</v>
      </c>
      <c r="B412" s="34">
        <v>45758</v>
      </c>
      <c r="C412" s="35">
        <v>0</v>
      </c>
      <c r="D412" s="35">
        <v>14138</v>
      </c>
      <c r="E412" s="91" t="s">
        <v>141</v>
      </c>
      <c r="F412" s="69">
        <v>202504100022822</v>
      </c>
      <c r="G412" s="70">
        <v>468.11</v>
      </c>
      <c r="H412" s="2">
        <v>3369</v>
      </c>
      <c r="I412" s="64" t="s">
        <v>425</v>
      </c>
      <c r="K412" s="81"/>
    </row>
    <row r="413" spans="1:11" ht="15.75" hidden="1" customHeight="1">
      <c r="A413" s="64"/>
      <c r="B413" s="29"/>
      <c r="C413" s="29"/>
      <c r="D413" s="29"/>
      <c r="E413" s="13" t="s">
        <v>143</v>
      </c>
      <c r="F413" s="13"/>
      <c r="G413" s="30">
        <v>0</v>
      </c>
      <c r="H413" s="2"/>
      <c r="K413" s="81"/>
    </row>
    <row r="414" spans="1:11" ht="15.75" customHeight="1">
      <c r="A414" s="33" t="s">
        <v>140</v>
      </c>
      <c r="B414" s="41">
        <v>45758</v>
      </c>
      <c r="C414" s="42">
        <v>0</v>
      </c>
      <c r="D414" s="42">
        <v>14138</v>
      </c>
      <c r="E414" s="92" t="s">
        <v>141</v>
      </c>
      <c r="F414" s="74">
        <v>202504100022823</v>
      </c>
      <c r="G414" s="75">
        <v>580.04999999999995</v>
      </c>
      <c r="H414" s="2">
        <v>3457</v>
      </c>
      <c r="I414" s="64" t="s">
        <v>425</v>
      </c>
      <c r="K414" s="81"/>
    </row>
    <row r="415" spans="1:11" ht="15.75" hidden="1" customHeight="1">
      <c r="A415" s="64"/>
      <c r="B415" s="23"/>
      <c r="C415" s="23"/>
      <c r="D415" s="23"/>
      <c r="E415" s="24" t="s">
        <v>143</v>
      </c>
      <c r="F415" s="24"/>
      <c r="G415" s="25">
        <v>0</v>
      </c>
      <c r="H415" s="2"/>
      <c r="K415" s="81"/>
    </row>
    <row r="416" spans="1:11" ht="15.75" customHeight="1">
      <c r="A416" s="33" t="s">
        <v>140</v>
      </c>
      <c r="B416" s="102">
        <v>45758</v>
      </c>
      <c r="C416" s="103">
        <v>0</v>
      </c>
      <c r="D416" s="103">
        <v>14138</v>
      </c>
      <c r="E416" s="104" t="s">
        <v>141</v>
      </c>
      <c r="F416" s="105">
        <v>202504100026377</v>
      </c>
      <c r="G416" s="98">
        <v>616.41999999999996</v>
      </c>
      <c r="H416" s="2" t="s">
        <v>468</v>
      </c>
      <c r="K416" s="81"/>
    </row>
    <row r="417" spans="1:11" ht="15.75" hidden="1" customHeight="1">
      <c r="A417" s="64"/>
      <c r="B417" s="29"/>
      <c r="C417" s="29"/>
      <c r="D417" s="29"/>
      <c r="E417" s="13" t="s">
        <v>143</v>
      </c>
      <c r="F417" s="13"/>
      <c r="G417" s="30">
        <v>0</v>
      </c>
      <c r="H417" s="2"/>
      <c r="K417" s="81"/>
    </row>
    <row r="418" spans="1:11" ht="15.75" customHeight="1">
      <c r="A418" s="33" t="s">
        <v>140</v>
      </c>
      <c r="B418" s="41">
        <v>45758</v>
      </c>
      <c r="C418" s="42">
        <v>0</v>
      </c>
      <c r="D418" s="42">
        <v>14138</v>
      </c>
      <c r="E418" s="92" t="s">
        <v>141</v>
      </c>
      <c r="F418" s="74">
        <v>202504100045112</v>
      </c>
      <c r="G418" s="75">
        <v>2375.0500000000002</v>
      </c>
      <c r="H418" s="2">
        <v>3360</v>
      </c>
      <c r="I418" s="64" t="s">
        <v>428</v>
      </c>
      <c r="K418" s="81"/>
    </row>
    <row r="419" spans="1:11" ht="15.75" hidden="1" customHeight="1">
      <c r="A419" s="64"/>
      <c r="B419" s="23"/>
      <c r="C419" s="23"/>
      <c r="D419" s="23"/>
      <c r="E419" s="24" t="s">
        <v>143</v>
      </c>
      <c r="F419" s="24"/>
      <c r="G419" s="25">
        <v>0</v>
      </c>
      <c r="H419" s="2"/>
      <c r="K419" s="81"/>
    </row>
    <row r="420" spans="1:11" ht="15.75" customHeight="1">
      <c r="A420" s="33" t="s">
        <v>140</v>
      </c>
      <c r="B420" s="34">
        <v>45758</v>
      </c>
      <c r="C420" s="35">
        <v>0</v>
      </c>
      <c r="D420" s="35">
        <v>14138</v>
      </c>
      <c r="E420" s="91" t="s">
        <v>141</v>
      </c>
      <c r="F420" s="69">
        <v>202504100045113</v>
      </c>
      <c r="G420" s="70">
        <v>2289.1799999999998</v>
      </c>
      <c r="H420" s="2">
        <v>3434</v>
      </c>
      <c r="I420" s="64" t="s">
        <v>428</v>
      </c>
      <c r="K420" s="81"/>
    </row>
    <row r="421" spans="1:11" ht="15.75" hidden="1" customHeight="1">
      <c r="A421" s="64"/>
      <c r="B421" s="29"/>
      <c r="C421" s="29"/>
      <c r="D421" s="29"/>
      <c r="E421" s="13" t="s">
        <v>143</v>
      </c>
      <c r="F421" s="13"/>
      <c r="G421" s="30">
        <v>0</v>
      </c>
      <c r="H421" s="2"/>
      <c r="K421" s="81"/>
    </row>
    <row r="422" spans="1:11" ht="15.75" customHeight="1">
      <c r="A422" s="33" t="s">
        <v>140</v>
      </c>
      <c r="B422" s="41">
        <v>45758</v>
      </c>
      <c r="C422" s="42">
        <v>0</v>
      </c>
      <c r="D422" s="42">
        <v>14138</v>
      </c>
      <c r="E422" s="92" t="s">
        <v>141</v>
      </c>
      <c r="F422" s="74">
        <v>202504100045116</v>
      </c>
      <c r="G422" s="75">
        <v>1232.8399999999999</v>
      </c>
      <c r="H422" s="2">
        <v>3318</v>
      </c>
      <c r="I422" s="64" t="s">
        <v>428</v>
      </c>
      <c r="K422" s="81"/>
    </row>
    <row r="423" spans="1:11" ht="15.75" hidden="1" customHeight="1">
      <c r="A423" s="64"/>
      <c r="B423" s="23"/>
      <c r="C423" s="23"/>
      <c r="D423" s="23"/>
      <c r="E423" s="24" t="s">
        <v>143</v>
      </c>
      <c r="F423" s="24"/>
      <c r="G423" s="25">
        <v>0</v>
      </c>
      <c r="H423" s="2"/>
      <c r="K423" s="81"/>
    </row>
    <row r="424" spans="1:11" ht="15.75" customHeight="1">
      <c r="A424" s="33" t="s">
        <v>140</v>
      </c>
      <c r="B424" s="34">
        <v>45758</v>
      </c>
      <c r="C424" s="35">
        <v>0</v>
      </c>
      <c r="D424" s="35">
        <v>14138</v>
      </c>
      <c r="E424" s="91" t="s">
        <v>141</v>
      </c>
      <c r="F424" s="69">
        <v>202504100045117</v>
      </c>
      <c r="G424" s="70">
        <v>1232.8399999999999</v>
      </c>
      <c r="H424" s="2">
        <v>3396</v>
      </c>
      <c r="I424" s="64" t="s">
        <v>428</v>
      </c>
      <c r="K424" s="81"/>
    </row>
    <row r="425" spans="1:11" ht="15.75" hidden="1" customHeight="1">
      <c r="A425" s="64"/>
      <c r="B425" s="29"/>
      <c r="C425" s="29"/>
      <c r="D425" s="29"/>
      <c r="E425" s="13" t="s">
        <v>143</v>
      </c>
      <c r="F425" s="13"/>
      <c r="G425" s="30">
        <v>0</v>
      </c>
      <c r="H425" s="2"/>
      <c r="K425" s="81"/>
    </row>
    <row r="426" spans="1:11" ht="15.75" hidden="1" customHeight="1">
      <c r="A426" s="64"/>
      <c r="B426" s="17">
        <v>45758</v>
      </c>
      <c r="C426" s="18">
        <v>0</v>
      </c>
      <c r="D426" s="18">
        <v>13105</v>
      </c>
      <c r="E426" s="89" t="s">
        <v>370</v>
      </c>
      <c r="F426" s="20">
        <v>41101</v>
      </c>
      <c r="G426" s="31">
        <v>10000</v>
      </c>
      <c r="H426" s="2"/>
      <c r="K426" s="81"/>
    </row>
    <row r="427" spans="1:11" ht="15.75" hidden="1" customHeight="1">
      <c r="A427" s="64"/>
      <c r="B427" s="23"/>
      <c r="C427" s="23"/>
      <c r="D427" s="23"/>
      <c r="E427" s="24" t="s">
        <v>371</v>
      </c>
      <c r="F427" s="24"/>
      <c r="G427" s="25">
        <v>0</v>
      </c>
      <c r="H427" s="2"/>
      <c r="K427" s="81"/>
    </row>
    <row r="428" spans="1:11" ht="15.75" hidden="1" customHeight="1">
      <c r="A428" s="64"/>
      <c r="B428" s="11">
        <v>45758</v>
      </c>
      <c r="C428" s="12">
        <v>0</v>
      </c>
      <c r="D428" s="12">
        <v>0</v>
      </c>
      <c r="E428" s="90" t="s">
        <v>59</v>
      </c>
      <c r="F428" s="27">
        <v>9903</v>
      </c>
      <c r="G428" s="28">
        <v>1851.36</v>
      </c>
      <c r="H428" s="2"/>
      <c r="K428" s="81"/>
    </row>
    <row r="429" spans="1:11" ht="15.75" hidden="1" customHeight="1">
      <c r="A429" s="64"/>
      <c r="B429" s="17">
        <v>45761</v>
      </c>
      <c r="C429" s="18">
        <v>0</v>
      </c>
      <c r="D429" s="18">
        <v>14397</v>
      </c>
      <c r="E429" s="89" t="s">
        <v>57</v>
      </c>
      <c r="F429" s="20">
        <v>141620187225572</v>
      </c>
      <c r="G429" s="21">
        <v>160</v>
      </c>
      <c r="H429" s="2"/>
      <c r="K429" s="81"/>
    </row>
    <row r="430" spans="1:11" ht="15.75" hidden="1" customHeight="1">
      <c r="A430" s="64"/>
      <c r="B430" s="23"/>
      <c r="C430" s="23"/>
      <c r="D430" s="23"/>
      <c r="E430" s="24" t="s">
        <v>469</v>
      </c>
      <c r="F430" s="24"/>
      <c r="G430" s="25">
        <v>0</v>
      </c>
      <c r="H430" s="2"/>
      <c r="K430" s="81"/>
    </row>
    <row r="431" spans="1:11" ht="15.75" customHeight="1">
      <c r="A431" s="33" t="s">
        <v>140</v>
      </c>
      <c r="B431" s="102">
        <v>45761</v>
      </c>
      <c r="C431" s="103">
        <v>0</v>
      </c>
      <c r="D431" s="103">
        <v>14138</v>
      </c>
      <c r="E431" s="104" t="s">
        <v>141</v>
      </c>
      <c r="F431" s="105">
        <v>202504110001566</v>
      </c>
      <c r="G431" s="70">
        <v>1141.45</v>
      </c>
      <c r="H431" s="2" t="s">
        <v>470</v>
      </c>
      <c r="K431" s="81"/>
    </row>
    <row r="432" spans="1:11" ht="15.75" hidden="1" customHeight="1">
      <c r="A432" s="64"/>
      <c r="B432" s="29"/>
      <c r="C432" s="29"/>
      <c r="D432" s="29"/>
      <c r="E432" s="13" t="s">
        <v>143</v>
      </c>
      <c r="F432" s="13"/>
      <c r="G432" s="30">
        <v>0</v>
      </c>
      <c r="H432" s="2"/>
      <c r="K432" s="81"/>
    </row>
    <row r="433" spans="1:11" ht="15.75" customHeight="1">
      <c r="A433" s="33" t="s">
        <v>140</v>
      </c>
      <c r="B433" s="41">
        <v>45761</v>
      </c>
      <c r="C433" s="42">
        <v>0</v>
      </c>
      <c r="D433" s="42">
        <v>14138</v>
      </c>
      <c r="E433" s="92" t="s">
        <v>141</v>
      </c>
      <c r="F433" s="74">
        <v>202504110024885</v>
      </c>
      <c r="G433" s="75">
        <v>1668.08</v>
      </c>
      <c r="H433" s="2">
        <v>3316</v>
      </c>
      <c r="I433" s="64" t="s">
        <v>428</v>
      </c>
      <c r="K433" s="81"/>
    </row>
    <row r="434" spans="1:11" ht="15.75" hidden="1" customHeight="1">
      <c r="A434" s="64"/>
      <c r="B434" s="23"/>
      <c r="C434" s="23"/>
      <c r="D434" s="23"/>
      <c r="E434" s="24" t="s">
        <v>143</v>
      </c>
      <c r="F434" s="24"/>
      <c r="G434" s="25">
        <v>0</v>
      </c>
      <c r="H434" s="2"/>
      <c r="K434" s="81"/>
    </row>
    <row r="435" spans="1:11" ht="15.75" customHeight="1">
      <c r="A435" s="33" t="s">
        <v>140</v>
      </c>
      <c r="B435" s="34">
        <v>45761</v>
      </c>
      <c r="C435" s="35">
        <v>0</v>
      </c>
      <c r="D435" s="35">
        <v>14138</v>
      </c>
      <c r="E435" s="91" t="s">
        <v>141</v>
      </c>
      <c r="F435" s="69">
        <v>202504110024886</v>
      </c>
      <c r="G435" s="70">
        <v>1889.15</v>
      </c>
      <c r="H435" s="2">
        <v>3362</v>
      </c>
      <c r="I435" s="64" t="s">
        <v>428</v>
      </c>
      <c r="K435" s="81"/>
    </row>
    <row r="436" spans="1:11" ht="15.75" hidden="1" customHeight="1">
      <c r="A436" s="64"/>
      <c r="B436" s="29"/>
      <c r="C436" s="29"/>
      <c r="D436" s="29"/>
      <c r="E436" s="13" t="s">
        <v>143</v>
      </c>
      <c r="F436" s="13"/>
      <c r="G436" s="30">
        <v>0</v>
      </c>
      <c r="H436" s="2"/>
      <c r="K436" s="81"/>
    </row>
    <row r="437" spans="1:11" ht="15.75" customHeight="1">
      <c r="A437" s="33" t="s">
        <v>140</v>
      </c>
      <c r="B437" s="41">
        <v>45761</v>
      </c>
      <c r="C437" s="42">
        <v>0</v>
      </c>
      <c r="D437" s="42">
        <v>14138</v>
      </c>
      <c r="E437" s="92" t="s">
        <v>141</v>
      </c>
      <c r="F437" s="74">
        <v>202504110024887</v>
      </c>
      <c r="G437" s="75">
        <v>1668.08</v>
      </c>
      <c r="H437" s="2">
        <v>3394</v>
      </c>
      <c r="I437" s="64" t="s">
        <v>428</v>
      </c>
      <c r="K437" s="81"/>
    </row>
    <row r="438" spans="1:11" ht="15.75" hidden="1" customHeight="1">
      <c r="A438" s="64"/>
      <c r="B438" s="23"/>
      <c r="C438" s="23"/>
      <c r="D438" s="23"/>
      <c r="E438" s="24" t="s">
        <v>143</v>
      </c>
      <c r="F438" s="24"/>
      <c r="G438" s="25">
        <v>0</v>
      </c>
      <c r="H438" s="2"/>
      <c r="K438" s="81"/>
    </row>
    <row r="439" spans="1:11" ht="15.75" customHeight="1">
      <c r="A439" s="33" t="s">
        <v>140</v>
      </c>
      <c r="B439" s="34">
        <v>45761</v>
      </c>
      <c r="C439" s="35">
        <v>0</v>
      </c>
      <c r="D439" s="35">
        <v>14138</v>
      </c>
      <c r="E439" s="91" t="s">
        <v>141</v>
      </c>
      <c r="F439" s="69">
        <v>202504110024888</v>
      </c>
      <c r="G439" s="70">
        <v>2768.8</v>
      </c>
      <c r="H439" s="2">
        <v>3425</v>
      </c>
      <c r="I439" s="64" t="s">
        <v>428</v>
      </c>
      <c r="K439" s="81"/>
    </row>
    <row r="440" spans="1:11" ht="17.25" hidden="1" customHeight="1">
      <c r="A440" s="64"/>
      <c r="B440" s="29"/>
      <c r="C440" s="29"/>
      <c r="D440" s="29"/>
      <c r="E440" s="13" t="s">
        <v>143</v>
      </c>
      <c r="F440" s="13"/>
      <c r="G440" s="30">
        <v>0</v>
      </c>
      <c r="H440" s="2"/>
      <c r="K440" s="81"/>
    </row>
    <row r="441" spans="1:11" ht="17.25" hidden="1" customHeight="1">
      <c r="A441" s="64"/>
      <c r="B441" s="17">
        <v>45761</v>
      </c>
      <c r="C441" s="18">
        <v>0</v>
      </c>
      <c r="D441" s="18">
        <v>14397</v>
      </c>
      <c r="E441" s="89" t="s">
        <v>57</v>
      </c>
      <c r="F441" s="20">
        <v>446569356253581</v>
      </c>
      <c r="G441" s="21">
        <v>2710.14</v>
      </c>
      <c r="H441" s="2"/>
      <c r="K441" s="81"/>
    </row>
    <row r="442" spans="1:11" ht="17.25" hidden="1" customHeight="1">
      <c r="A442" s="64"/>
      <c r="B442" s="23"/>
      <c r="C442" s="23"/>
      <c r="D442" s="23"/>
      <c r="E442" s="24" t="s">
        <v>471</v>
      </c>
      <c r="F442" s="24"/>
      <c r="G442" s="25">
        <v>0</v>
      </c>
      <c r="H442" s="2"/>
      <c r="K442" s="81"/>
    </row>
    <row r="443" spans="1:11" ht="15.75" hidden="1" customHeight="1">
      <c r="A443" s="64"/>
      <c r="B443" s="11">
        <v>45761</v>
      </c>
      <c r="C443" s="12">
        <v>1533</v>
      </c>
      <c r="D443" s="12">
        <v>99008</v>
      </c>
      <c r="E443" s="90" t="s">
        <v>29</v>
      </c>
      <c r="F443" s="27">
        <v>117486</v>
      </c>
      <c r="G443" s="28">
        <v>223.51</v>
      </c>
      <c r="H443" s="2"/>
      <c r="K443" s="81"/>
    </row>
    <row r="444" spans="1:11" ht="15.75" hidden="1" customHeight="1">
      <c r="A444" s="64"/>
      <c r="B444" s="29"/>
      <c r="C444" s="29"/>
      <c r="D444" s="29"/>
      <c r="E444" s="13" t="s">
        <v>472</v>
      </c>
      <c r="F444" s="13"/>
      <c r="G444" s="30">
        <v>0</v>
      </c>
      <c r="H444" s="2"/>
      <c r="K444" s="81"/>
    </row>
    <row r="445" spans="1:11" ht="15.75" hidden="1" customHeight="1">
      <c r="A445" s="64"/>
      <c r="B445" s="17">
        <v>45761</v>
      </c>
      <c r="C445" s="18">
        <v>1533</v>
      </c>
      <c r="D445" s="18">
        <v>99008</v>
      </c>
      <c r="E445" s="89" t="s">
        <v>29</v>
      </c>
      <c r="F445" s="20">
        <v>745039</v>
      </c>
      <c r="G445" s="31">
        <v>136.47999999999999</v>
      </c>
      <c r="H445" s="2"/>
      <c r="K445" s="81"/>
    </row>
    <row r="446" spans="1:11" ht="15.75" hidden="1" customHeight="1">
      <c r="A446" s="64"/>
      <c r="B446" s="23"/>
      <c r="C446" s="23"/>
      <c r="D446" s="23"/>
      <c r="E446" s="24" t="s">
        <v>473</v>
      </c>
      <c r="F446" s="24"/>
      <c r="G446" s="25">
        <v>0</v>
      </c>
      <c r="H446" s="2"/>
      <c r="K446" s="81"/>
    </row>
    <row r="447" spans="1:11" ht="15.75" hidden="1" customHeight="1">
      <c r="A447" s="64"/>
      <c r="B447" s="11">
        <v>45761</v>
      </c>
      <c r="C447" s="12">
        <v>1533</v>
      </c>
      <c r="D447" s="12">
        <v>99008</v>
      </c>
      <c r="E447" s="90" t="s">
        <v>29</v>
      </c>
      <c r="F447" s="27">
        <v>808992</v>
      </c>
      <c r="G447" s="28">
        <v>634.39</v>
      </c>
      <c r="H447" s="2"/>
      <c r="K447" s="81"/>
    </row>
    <row r="448" spans="1:11" ht="15.75" hidden="1" customHeight="1">
      <c r="A448" s="64"/>
      <c r="B448" s="29"/>
      <c r="C448" s="29"/>
      <c r="D448" s="29"/>
      <c r="E448" s="13" t="s">
        <v>474</v>
      </c>
      <c r="F448" s="13"/>
      <c r="G448" s="30">
        <v>0</v>
      </c>
      <c r="H448" s="2"/>
      <c r="K448" s="81"/>
    </row>
    <row r="449" spans="1:11" ht="15.75" hidden="1" customHeight="1">
      <c r="A449" s="64"/>
      <c r="B449" s="17">
        <v>45761</v>
      </c>
      <c r="C449" s="18">
        <v>1533</v>
      </c>
      <c r="D449" s="18">
        <v>99008</v>
      </c>
      <c r="E449" s="89" t="s">
        <v>29</v>
      </c>
      <c r="F449" s="20">
        <v>812976</v>
      </c>
      <c r="G449" s="31">
        <v>50.7</v>
      </c>
      <c r="H449" s="2"/>
      <c r="K449" s="81"/>
    </row>
    <row r="450" spans="1:11" ht="15.75" hidden="1" customHeight="1">
      <c r="A450" s="64"/>
      <c r="B450" s="23"/>
      <c r="C450" s="23"/>
      <c r="D450" s="23"/>
      <c r="E450" s="24" t="s">
        <v>475</v>
      </c>
      <c r="F450" s="24"/>
      <c r="G450" s="25">
        <v>0</v>
      </c>
      <c r="H450" s="2"/>
      <c r="K450" s="81"/>
    </row>
    <row r="451" spans="1:11" ht="15.75" hidden="1" customHeight="1">
      <c r="A451" s="64"/>
      <c r="B451" s="11">
        <v>45761</v>
      </c>
      <c r="C451" s="12">
        <v>0</v>
      </c>
      <c r="D451" s="12">
        <v>13105</v>
      </c>
      <c r="E451" s="90" t="s">
        <v>80</v>
      </c>
      <c r="F451" s="27">
        <v>41401</v>
      </c>
      <c r="G451" s="28">
        <v>402.19</v>
      </c>
      <c r="H451" s="2"/>
      <c r="K451" s="81"/>
    </row>
    <row r="452" spans="1:11" ht="15.75" hidden="1" customHeight="1">
      <c r="A452" s="64"/>
      <c r="B452" s="29"/>
      <c r="C452" s="29"/>
      <c r="D452" s="29"/>
      <c r="E452" s="13" t="s">
        <v>81</v>
      </c>
      <c r="F452" s="13"/>
      <c r="G452" s="30">
        <v>0</v>
      </c>
      <c r="H452" s="2"/>
      <c r="K452" s="81"/>
    </row>
    <row r="453" spans="1:11" ht="15.75" hidden="1" customHeight="1">
      <c r="A453" s="64"/>
      <c r="B453" s="17">
        <v>45761</v>
      </c>
      <c r="C453" s="18">
        <v>0</v>
      </c>
      <c r="D453" s="18">
        <v>13105</v>
      </c>
      <c r="E453" s="89" t="s">
        <v>31</v>
      </c>
      <c r="F453" s="20">
        <v>41402</v>
      </c>
      <c r="G453" s="31">
        <v>1056</v>
      </c>
      <c r="H453" s="2"/>
      <c r="K453" s="81"/>
    </row>
    <row r="454" spans="1:11" ht="15.75" hidden="1" customHeight="1">
      <c r="A454" s="64"/>
      <c r="B454" s="23"/>
      <c r="C454" s="23"/>
      <c r="D454" s="23"/>
      <c r="E454" s="24" t="s">
        <v>85</v>
      </c>
      <c r="F454" s="24"/>
      <c r="G454" s="25">
        <v>0</v>
      </c>
      <c r="H454" s="2"/>
      <c r="K454" s="81"/>
    </row>
    <row r="455" spans="1:11" ht="15.75" hidden="1" customHeight="1">
      <c r="A455" s="64"/>
      <c r="B455" s="11">
        <v>45761</v>
      </c>
      <c r="C455" s="12">
        <v>0</v>
      </c>
      <c r="D455" s="12">
        <v>13105</v>
      </c>
      <c r="E455" s="90" t="s">
        <v>31</v>
      </c>
      <c r="F455" s="27">
        <v>41403</v>
      </c>
      <c r="G455" s="28">
        <v>452.88</v>
      </c>
      <c r="H455" s="2"/>
      <c r="K455" s="81"/>
    </row>
    <row r="456" spans="1:11" ht="15.75" hidden="1" customHeight="1">
      <c r="A456" s="64"/>
      <c r="B456" s="29"/>
      <c r="C456" s="29"/>
      <c r="D456" s="29"/>
      <c r="E456" s="13" t="s">
        <v>41</v>
      </c>
      <c r="F456" s="13"/>
      <c r="G456" s="30">
        <v>0</v>
      </c>
      <c r="H456" s="2"/>
      <c r="K456" s="81"/>
    </row>
    <row r="457" spans="1:11" ht="15.75" hidden="1" customHeight="1">
      <c r="A457" s="64"/>
      <c r="B457" s="17">
        <v>45761</v>
      </c>
      <c r="C457" s="18">
        <v>0</v>
      </c>
      <c r="D457" s="18">
        <v>13105</v>
      </c>
      <c r="E457" s="89" t="s">
        <v>31</v>
      </c>
      <c r="F457" s="20">
        <v>41404</v>
      </c>
      <c r="G457" s="31">
        <v>218</v>
      </c>
      <c r="H457" s="2"/>
      <c r="K457" s="81"/>
    </row>
    <row r="458" spans="1:11" ht="15.75" hidden="1" customHeight="1">
      <c r="A458" s="64"/>
      <c r="B458" s="23"/>
      <c r="C458" s="23"/>
      <c r="D458" s="23"/>
      <c r="E458" s="24" t="s">
        <v>41</v>
      </c>
      <c r="F458" s="24"/>
      <c r="G458" s="25">
        <v>0</v>
      </c>
      <c r="H458" s="2"/>
      <c r="K458" s="81"/>
    </row>
    <row r="459" spans="1:11" ht="15.75" hidden="1" customHeight="1">
      <c r="A459" s="64"/>
      <c r="B459" s="11">
        <v>45761</v>
      </c>
      <c r="C459" s="12">
        <v>0</v>
      </c>
      <c r="D459" s="12">
        <v>13105</v>
      </c>
      <c r="E459" s="90" t="s">
        <v>31</v>
      </c>
      <c r="F459" s="27">
        <v>41405</v>
      </c>
      <c r="G459" s="28">
        <v>913.58</v>
      </c>
      <c r="H459" s="2"/>
      <c r="K459" s="81"/>
    </row>
    <row r="460" spans="1:11" ht="15.75" hidden="1" customHeight="1">
      <c r="A460" s="64"/>
      <c r="B460" s="29"/>
      <c r="C460" s="29"/>
      <c r="D460" s="29"/>
      <c r="E460" s="13" t="s">
        <v>165</v>
      </c>
      <c r="F460" s="13"/>
      <c r="G460" s="30">
        <v>0</v>
      </c>
      <c r="H460" s="2"/>
      <c r="K460" s="81"/>
    </row>
    <row r="461" spans="1:11" ht="15.75" hidden="1" customHeight="1">
      <c r="A461" s="64"/>
      <c r="B461" s="17">
        <v>45761</v>
      </c>
      <c r="C461" s="18">
        <v>0</v>
      </c>
      <c r="D461" s="18">
        <v>13105</v>
      </c>
      <c r="E461" s="89" t="s">
        <v>31</v>
      </c>
      <c r="F461" s="20">
        <v>41406</v>
      </c>
      <c r="G461" s="31">
        <v>353.79</v>
      </c>
      <c r="H461" s="2"/>
      <c r="K461" s="81"/>
    </row>
    <row r="462" spans="1:11" ht="15.75" hidden="1" customHeight="1">
      <c r="A462" s="64"/>
      <c r="B462" s="23"/>
      <c r="C462" s="23"/>
      <c r="D462" s="23"/>
      <c r="E462" s="24" t="s">
        <v>45</v>
      </c>
      <c r="F462" s="24"/>
      <c r="G462" s="25">
        <v>0</v>
      </c>
      <c r="H462" s="2"/>
      <c r="K462" s="81"/>
    </row>
    <row r="463" spans="1:11" ht="15.75" hidden="1" customHeight="1">
      <c r="A463" s="64"/>
      <c r="B463" s="11">
        <v>45761</v>
      </c>
      <c r="C463" s="12">
        <v>0</v>
      </c>
      <c r="D463" s="12">
        <v>13105</v>
      </c>
      <c r="E463" s="90" t="s">
        <v>31</v>
      </c>
      <c r="F463" s="27">
        <v>41407</v>
      </c>
      <c r="G463" s="28">
        <v>220.04</v>
      </c>
      <c r="H463" s="2"/>
      <c r="K463" s="81"/>
    </row>
    <row r="464" spans="1:11" ht="15.75" hidden="1" customHeight="1">
      <c r="A464" s="64"/>
      <c r="B464" s="29"/>
      <c r="C464" s="29"/>
      <c r="D464" s="29"/>
      <c r="E464" s="13" t="s">
        <v>45</v>
      </c>
      <c r="F464" s="13"/>
      <c r="G464" s="30">
        <v>0</v>
      </c>
      <c r="H464" s="2"/>
      <c r="K464" s="81"/>
    </row>
    <row r="465" spans="1:11" ht="15.75" hidden="1" customHeight="1">
      <c r="A465" s="64"/>
      <c r="B465" s="17">
        <v>45761</v>
      </c>
      <c r="C465" s="18">
        <v>0</v>
      </c>
      <c r="D465" s="18">
        <v>13105</v>
      </c>
      <c r="E465" s="89" t="s">
        <v>31</v>
      </c>
      <c r="F465" s="20">
        <v>41408</v>
      </c>
      <c r="G465" s="31">
        <v>282.7</v>
      </c>
      <c r="H465" s="2"/>
      <c r="K465" s="81"/>
    </row>
    <row r="466" spans="1:11" ht="15.75" hidden="1" customHeight="1">
      <c r="A466" s="64"/>
      <c r="B466" s="23"/>
      <c r="C466" s="23"/>
      <c r="D466" s="23"/>
      <c r="E466" s="24" t="s">
        <v>247</v>
      </c>
      <c r="F466" s="24"/>
      <c r="G466" s="25">
        <v>0</v>
      </c>
      <c r="H466" s="2"/>
      <c r="K466" s="81"/>
    </row>
    <row r="467" spans="1:11" ht="15.75" hidden="1" customHeight="1">
      <c r="A467" s="64"/>
      <c r="B467" s="11">
        <v>45761</v>
      </c>
      <c r="C467" s="12">
        <v>0</v>
      </c>
      <c r="D467" s="12">
        <v>13105</v>
      </c>
      <c r="E467" s="90" t="s">
        <v>31</v>
      </c>
      <c r="F467" s="27">
        <v>41409</v>
      </c>
      <c r="G467" s="28">
        <v>386.54</v>
      </c>
      <c r="H467" s="2"/>
      <c r="K467" s="81"/>
    </row>
    <row r="468" spans="1:11" ht="15.75" hidden="1" customHeight="1">
      <c r="A468" s="64"/>
      <c r="B468" s="29"/>
      <c r="C468" s="29"/>
      <c r="D468" s="29"/>
      <c r="E468" s="13" t="s">
        <v>231</v>
      </c>
      <c r="F468" s="13"/>
      <c r="G468" s="30">
        <v>0</v>
      </c>
      <c r="H468" s="2"/>
      <c r="K468" s="81"/>
    </row>
    <row r="469" spans="1:11" ht="15.75" hidden="1" customHeight="1">
      <c r="A469" s="64"/>
      <c r="B469" s="17">
        <v>45761</v>
      </c>
      <c r="C469" s="18">
        <v>0</v>
      </c>
      <c r="D469" s="18">
        <v>13105</v>
      </c>
      <c r="E469" s="89" t="s">
        <v>31</v>
      </c>
      <c r="F469" s="20">
        <v>41410</v>
      </c>
      <c r="G469" s="31">
        <v>544.39</v>
      </c>
      <c r="H469" s="2"/>
      <c r="K469" s="81"/>
    </row>
    <row r="470" spans="1:11" ht="15.75" hidden="1" customHeight="1">
      <c r="A470" s="64"/>
      <c r="B470" s="23"/>
      <c r="C470" s="23"/>
      <c r="D470" s="23"/>
      <c r="E470" s="24" t="s">
        <v>78</v>
      </c>
      <c r="F470" s="24"/>
      <c r="G470" s="25">
        <v>0</v>
      </c>
      <c r="H470" s="2"/>
      <c r="K470" s="81"/>
    </row>
    <row r="471" spans="1:11" ht="15.75" hidden="1" customHeight="1">
      <c r="A471" s="64"/>
      <c r="B471" s="11">
        <v>45761</v>
      </c>
      <c r="C471" s="12">
        <v>0</v>
      </c>
      <c r="D471" s="12">
        <v>13105</v>
      </c>
      <c r="E471" s="90" t="s">
        <v>31</v>
      </c>
      <c r="F471" s="27">
        <v>41411</v>
      </c>
      <c r="G471" s="28">
        <v>3850</v>
      </c>
      <c r="H471" s="2"/>
      <c r="K471" s="81"/>
    </row>
    <row r="472" spans="1:11" ht="15.75" hidden="1" customHeight="1">
      <c r="A472" s="64"/>
      <c r="B472" s="29"/>
      <c r="C472" s="29"/>
      <c r="D472" s="29"/>
      <c r="E472" s="13" t="s">
        <v>173</v>
      </c>
      <c r="F472" s="13"/>
      <c r="G472" s="30">
        <v>0</v>
      </c>
      <c r="H472" s="2"/>
      <c r="K472" s="81"/>
    </row>
    <row r="473" spans="1:11" ht="15.75" hidden="1" customHeight="1">
      <c r="A473" s="64"/>
      <c r="B473" s="17">
        <v>45761</v>
      </c>
      <c r="C473" s="18">
        <v>0</v>
      </c>
      <c r="D473" s="18">
        <v>13105</v>
      </c>
      <c r="E473" s="89" t="s">
        <v>31</v>
      </c>
      <c r="F473" s="20">
        <v>41412</v>
      </c>
      <c r="G473" s="31">
        <v>1420</v>
      </c>
      <c r="H473" s="2"/>
      <c r="K473" s="81"/>
    </row>
    <row r="474" spans="1:11" ht="15.75" hidden="1" customHeight="1">
      <c r="A474" s="64"/>
      <c r="B474" s="23"/>
      <c r="C474" s="23"/>
      <c r="D474" s="23"/>
      <c r="E474" s="24" t="s">
        <v>39</v>
      </c>
      <c r="F474" s="24"/>
      <c r="G474" s="25">
        <v>0</v>
      </c>
      <c r="H474" s="2"/>
      <c r="K474" s="81"/>
    </row>
    <row r="475" spans="1:11" ht="15.75" hidden="1" customHeight="1">
      <c r="A475" s="64"/>
      <c r="B475" s="11">
        <v>45761</v>
      </c>
      <c r="C475" s="12">
        <v>0</v>
      </c>
      <c r="D475" s="12">
        <v>13105</v>
      </c>
      <c r="E475" s="90" t="s">
        <v>31</v>
      </c>
      <c r="F475" s="27">
        <v>41413</v>
      </c>
      <c r="G475" s="28">
        <v>1320</v>
      </c>
      <c r="H475" s="2"/>
      <c r="K475" s="81"/>
    </row>
    <row r="476" spans="1:11" ht="15.75" hidden="1" customHeight="1">
      <c r="A476" s="64"/>
      <c r="B476" s="29"/>
      <c r="C476" s="29"/>
      <c r="D476" s="29"/>
      <c r="E476" s="13" t="s">
        <v>85</v>
      </c>
      <c r="F476" s="13"/>
      <c r="G476" s="30">
        <v>0</v>
      </c>
      <c r="H476" s="2"/>
      <c r="K476" s="81"/>
    </row>
    <row r="477" spans="1:11" ht="15.75" hidden="1" customHeight="1">
      <c r="A477" s="64"/>
      <c r="B477" s="17">
        <v>45761</v>
      </c>
      <c r="C477" s="18">
        <v>0</v>
      </c>
      <c r="D477" s="18">
        <v>13105</v>
      </c>
      <c r="E477" s="89" t="s">
        <v>31</v>
      </c>
      <c r="F477" s="20">
        <v>41414</v>
      </c>
      <c r="G477" s="31">
        <v>261.19</v>
      </c>
      <c r="H477" s="2"/>
      <c r="K477" s="81"/>
    </row>
    <row r="478" spans="1:11" ht="15.75" hidden="1" customHeight="1">
      <c r="A478" s="64"/>
      <c r="B478" s="23"/>
      <c r="C478" s="23"/>
      <c r="D478" s="23"/>
      <c r="E478" s="24" t="s">
        <v>45</v>
      </c>
      <c r="F478" s="24"/>
      <c r="G478" s="25">
        <v>0</v>
      </c>
      <c r="H478" s="2"/>
      <c r="K478" s="81"/>
    </row>
    <row r="479" spans="1:11" ht="15.75" hidden="1" customHeight="1">
      <c r="A479" s="64"/>
      <c r="B479" s="11">
        <v>45761</v>
      </c>
      <c r="C479" s="12">
        <v>0</v>
      </c>
      <c r="D479" s="12">
        <v>13105</v>
      </c>
      <c r="E479" s="90" t="s">
        <v>31</v>
      </c>
      <c r="F479" s="27">
        <v>41415</v>
      </c>
      <c r="G479" s="28">
        <v>323.5</v>
      </c>
      <c r="H479" s="2"/>
      <c r="K479" s="81"/>
    </row>
    <row r="480" spans="1:11" ht="15.75" hidden="1" customHeight="1">
      <c r="A480" s="64"/>
      <c r="B480" s="29"/>
      <c r="C480" s="29"/>
      <c r="D480" s="29"/>
      <c r="E480" s="13" t="s">
        <v>45</v>
      </c>
      <c r="F480" s="13"/>
      <c r="G480" s="30">
        <v>0</v>
      </c>
      <c r="H480" s="2"/>
      <c r="K480" s="81"/>
    </row>
    <row r="481" spans="1:11" ht="15.75" hidden="1" customHeight="1">
      <c r="A481" s="64"/>
      <c r="B481" s="17">
        <v>45761</v>
      </c>
      <c r="C481" s="18">
        <v>0</v>
      </c>
      <c r="D481" s="18">
        <v>13105</v>
      </c>
      <c r="E481" s="89" t="s">
        <v>31</v>
      </c>
      <c r="F481" s="20">
        <v>41416</v>
      </c>
      <c r="G481" s="31">
        <v>323.5</v>
      </c>
      <c r="H481" s="2"/>
      <c r="K481" s="81"/>
    </row>
    <row r="482" spans="1:11" ht="15.75" hidden="1" customHeight="1">
      <c r="A482" s="64"/>
      <c r="B482" s="23"/>
      <c r="C482" s="23"/>
      <c r="D482" s="23"/>
      <c r="E482" s="24" t="s">
        <v>45</v>
      </c>
      <c r="F482" s="24"/>
      <c r="G482" s="25">
        <v>0</v>
      </c>
      <c r="H482" s="2"/>
      <c r="K482" s="81"/>
    </row>
    <row r="483" spans="1:11" ht="15.75" hidden="1" customHeight="1">
      <c r="A483" s="64"/>
      <c r="B483" s="11">
        <v>45761</v>
      </c>
      <c r="C483" s="12">
        <v>0</v>
      </c>
      <c r="D483" s="12">
        <v>13105</v>
      </c>
      <c r="E483" s="90" t="s">
        <v>31</v>
      </c>
      <c r="F483" s="27">
        <v>41417</v>
      </c>
      <c r="G483" s="28">
        <v>196.18</v>
      </c>
      <c r="H483" s="2"/>
      <c r="K483" s="81"/>
    </row>
    <row r="484" spans="1:11" ht="23.25" hidden="1" customHeight="1">
      <c r="A484" s="64"/>
      <c r="B484" s="29"/>
      <c r="C484" s="29"/>
      <c r="D484" s="29"/>
      <c r="E484" s="13" t="s">
        <v>69</v>
      </c>
      <c r="F484" s="13"/>
      <c r="G484" s="30">
        <v>0</v>
      </c>
      <c r="H484" s="2"/>
      <c r="K484" s="81"/>
    </row>
    <row r="485" spans="1:11" ht="15.75" hidden="1" customHeight="1">
      <c r="A485" s="64"/>
      <c r="B485" s="17">
        <v>45761</v>
      </c>
      <c r="C485" s="18">
        <v>0</v>
      </c>
      <c r="D485" s="18">
        <v>13105</v>
      </c>
      <c r="E485" s="89" t="s">
        <v>31</v>
      </c>
      <c r="F485" s="20">
        <v>41418</v>
      </c>
      <c r="G485" s="31">
        <v>276.69</v>
      </c>
      <c r="H485" s="2"/>
      <c r="K485" s="81"/>
    </row>
    <row r="486" spans="1:11" ht="25.5" hidden="1" customHeight="1">
      <c r="A486" s="64"/>
      <c r="B486" s="23"/>
      <c r="C486" s="23"/>
      <c r="D486" s="23"/>
      <c r="E486" s="24" t="s">
        <v>111</v>
      </c>
      <c r="F486" s="24"/>
      <c r="G486" s="25">
        <v>0</v>
      </c>
      <c r="H486" s="2"/>
      <c r="K486" s="81"/>
    </row>
    <row r="487" spans="1:11" ht="49.5" hidden="1" customHeight="1">
      <c r="A487" s="64"/>
      <c r="B487" s="11">
        <v>45761</v>
      </c>
      <c r="C487" s="12">
        <v>0</v>
      </c>
      <c r="D487" s="12">
        <v>13105</v>
      </c>
      <c r="E487" s="90" t="s">
        <v>31</v>
      </c>
      <c r="F487" s="27">
        <v>41419</v>
      </c>
      <c r="G487" s="28">
        <v>177.09</v>
      </c>
      <c r="H487" s="2"/>
      <c r="K487" s="81"/>
    </row>
    <row r="488" spans="1:11" ht="12.75" hidden="1" customHeight="1">
      <c r="A488" s="64"/>
      <c r="B488" s="29"/>
      <c r="C488" s="29"/>
      <c r="D488" s="29"/>
      <c r="E488" s="13" t="s">
        <v>111</v>
      </c>
      <c r="F488" s="13"/>
      <c r="G488" s="30">
        <v>0</v>
      </c>
      <c r="H488" s="2"/>
      <c r="K488" s="81"/>
    </row>
    <row r="489" spans="1:11" ht="15.75" hidden="1" customHeight="1">
      <c r="A489" s="64"/>
      <c r="B489" s="17">
        <v>45761</v>
      </c>
      <c r="C489" s="18">
        <v>0</v>
      </c>
      <c r="D489" s="18">
        <v>0</v>
      </c>
      <c r="E489" s="89" t="s">
        <v>52</v>
      </c>
      <c r="F489" s="20">
        <v>9903</v>
      </c>
      <c r="G489" s="21">
        <v>2017.64</v>
      </c>
      <c r="H489" s="2"/>
      <c r="K489" s="81"/>
    </row>
    <row r="490" spans="1:11" ht="12.75" hidden="1" customHeight="1">
      <c r="A490" s="64"/>
      <c r="B490" s="23"/>
      <c r="C490" s="23"/>
      <c r="D490" s="23"/>
      <c r="E490" s="24" t="s">
        <v>53</v>
      </c>
      <c r="F490" s="24"/>
      <c r="G490" s="25">
        <v>0</v>
      </c>
      <c r="H490" s="2"/>
      <c r="K490" s="81"/>
    </row>
    <row r="491" spans="1:11" ht="15.75" hidden="1" customHeight="1">
      <c r="A491" s="64"/>
      <c r="B491" s="11">
        <v>45762</v>
      </c>
      <c r="C491" s="12">
        <v>0</v>
      </c>
      <c r="D491" s="12">
        <v>14397</v>
      </c>
      <c r="E491" s="90" t="s">
        <v>57</v>
      </c>
      <c r="F491" s="27">
        <v>150932538491092</v>
      </c>
      <c r="G491" s="15">
        <v>104.9</v>
      </c>
      <c r="H491" s="2"/>
      <c r="K491" s="81"/>
    </row>
    <row r="492" spans="1:11" ht="16.5" hidden="1" customHeight="1">
      <c r="A492" s="64"/>
      <c r="B492" s="29"/>
      <c r="C492" s="29"/>
      <c r="D492" s="29"/>
      <c r="E492" s="13" t="s">
        <v>476</v>
      </c>
      <c r="F492" s="13"/>
      <c r="G492" s="30">
        <v>0</v>
      </c>
      <c r="H492" s="2"/>
      <c r="K492" s="81"/>
    </row>
    <row r="493" spans="1:11" ht="15.75" customHeight="1">
      <c r="A493" s="33" t="s">
        <v>140</v>
      </c>
      <c r="B493" s="41">
        <v>45762</v>
      </c>
      <c r="C493" s="42">
        <v>0</v>
      </c>
      <c r="D493" s="42">
        <v>14138</v>
      </c>
      <c r="E493" s="92" t="s">
        <v>141</v>
      </c>
      <c r="F493" s="74">
        <v>202504140077867</v>
      </c>
      <c r="G493" s="75">
        <v>4357.68</v>
      </c>
      <c r="H493" s="2" t="s">
        <v>477</v>
      </c>
      <c r="I493" s="64" t="s">
        <v>428</v>
      </c>
      <c r="K493" s="81"/>
    </row>
    <row r="494" spans="1:11" ht="15.75" hidden="1" customHeight="1">
      <c r="A494" s="64"/>
      <c r="B494" s="23"/>
      <c r="C494" s="23"/>
      <c r="D494" s="23"/>
      <c r="E494" s="24" t="s">
        <v>143</v>
      </c>
      <c r="F494" s="24"/>
      <c r="G494" s="25">
        <v>0</v>
      </c>
      <c r="H494" s="2"/>
      <c r="K494" s="81"/>
    </row>
    <row r="495" spans="1:11" ht="15.75" customHeight="1">
      <c r="A495" s="33" t="s">
        <v>140</v>
      </c>
      <c r="B495" s="34">
        <v>45762</v>
      </c>
      <c r="C495" s="35">
        <v>0</v>
      </c>
      <c r="D495" s="35">
        <v>14138</v>
      </c>
      <c r="E495" s="91" t="s">
        <v>141</v>
      </c>
      <c r="F495" s="69">
        <v>202504140077871</v>
      </c>
      <c r="G495" s="70">
        <v>4139.87</v>
      </c>
      <c r="H495" s="2" t="s">
        <v>478</v>
      </c>
      <c r="I495" s="64" t="s">
        <v>428</v>
      </c>
      <c r="K495" s="81"/>
    </row>
    <row r="496" spans="1:11" ht="15.75" hidden="1" customHeight="1">
      <c r="A496" s="64"/>
      <c r="B496" s="29"/>
      <c r="C496" s="29"/>
      <c r="D496" s="29"/>
      <c r="E496" s="13" t="s">
        <v>143</v>
      </c>
      <c r="F496" s="13"/>
      <c r="G496" s="30">
        <v>0</v>
      </c>
      <c r="H496" s="2"/>
      <c r="K496" s="81"/>
    </row>
    <row r="497" spans="1:11" ht="15.75" hidden="1" customHeight="1">
      <c r="A497" s="64"/>
      <c r="B497" s="17">
        <v>45762</v>
      </c>
      <c r="C497" s="18">
        <v>1533</v>
      </c>
      <c r="D497" s="18">
        <v>99008</v>
      </c>
      <c r="E497" s="89" t="s">
        <v>29</v>
      </c>
      <c r="F497" s="20">
        <v>234844</v>
      </c>
      <c r="G497" s="31">
        <v>252</v>
      </c>
      <c r="H497" s="2"/>
      <c r="K497" s="81"/>
    </row>
    <row r="498" spans="1:11" ht="15.75" hidden="1" customHeight="1">
      <c r="A498" s="64"/>
      <c r="B498" s="23"/>
      <c r="C498" s="23"/>
      <c r="D498" s="23"/>
      <c r="E498" s="24" t="s">
        <v>479</v>
      </c>
      <c r="F498" s="24"/>
      <c r="G498" s="25">
        <v>0</v>
      </c>
      <c r="H498" s="2"/>
      <c r="K498" s="81"/>
    </row>
    <row r="499" spans="1:11" ht="15.75" hidden="1" customHeight="1">
      <c r="A499" s="64"/>
      <c r="B499" s="11">
        <v>45762</v>
      </c>
      <c r="C499" s="12">
        <v>1533</v>
      </c>
      <c r="D499" s="12">
        <v>99008</v>
      </c>
      <c r="E499" s="90" t="s">
        <v>29</v>
      </c>
      <c r="F499" s="27">
        <v>815853</v>
      </c>
      <c r="G499" s="28">
        <v>322.81</v>
      </c>
      <c r="H499" s="2"/>
      <c r="K499" s="81"/>
    </row>
    <row r="500" spans="1:11" ht="15.75" hidden="1" customHeight="1">
      <c r="A500" s="64"/>
      <c r="B500" s="29"/>
      <c r="C500" s="29"/>
      <c r="D500" s="29"/>
      <c r="E500" s="13" t="s">
        <v>480</v>
      </c>
      <c r="F500" s="13"/>
      <c r="G500" s="30">
        <v>0</v>
      </c>
      <c r="H500" s="2"/>
      <c r="K500" s="81"/>
    </row>
    <row r="501" spans="1:11" ht="15.75" hidden="1" customHeight="1">
      <c r="A501" s="64"/>
      <c r="B501" s="17">
        <v>45762</v>
      </c>
      <c r="C501" s="18">
        <v>0</v>
      </c>
      <c r="D501" s="18">
        <v>13105</v>
      </c>
      <c r="E501" s="89" t="s">
        <v>34</v>
      </c>
      <c r="F501" s="20">
        <v>41502</v>
      </c>
      <c r="G501" s="31">
        <v>10.82</v>
      </c>
      <c r="H501" s="2"/>
      <c r="K501" s="81"/>
    </row>
    <row r="502" spans="1:11" ht="15.75" hidden="1" customHeight="1">
      <c r="A502" s="64"/>
      <c r="B502" s="23"/>
      <c r="C502" s="23"/>
      <c r="D502" s="23"/>
      <c r="E502" s="24" t="s">
        <v>108</v>
      </c>
      <c r="F502" s="24"/>
      <c r="G502" s="25">
        <v>0</v>
      </c>
      <c r="H502" s="2"/>
      <c r="K502" s="81"/>
    </row>
    <row r="503" spans="1:11" ht="15.75" hidden="1" customHeight="1">
      <c r="A503" s="64"/>
      <c r="B503" s="11">
        <v>45762</v>
      </c>
      <c r="C503" s="12">
        <v>0</v>
      </c>
      <c r="D503" s="12">
        <v>13105</v>
      </c>
      <c r="E503" s="90" t="s">
        <v>80</v>
      </c>
      <c r="F503" s="27">
        <v>41503</v>
      </c>
      <c r="G503" s="28">
        <v>2361.77</v>
      </c>
      <c r="H503" s="2"/>
      <c r="K503" s="81"/>
    </row>
    <row r="504" spans="1:11" ht="15.75" hidden="1" customHeight="1">
      <c r="A504" s="64"/>
      <c r="B504" s="29"/>
      <c r="C504" s="29"/>
      <c r="D504" s="29"/>
      <c r="E504" s="13" t="s">
        <v>81</v>
      </c>
      <c r="F504" s="13"/>
      <c r="G504" s="30">
        <v>0</v>
      </c>
      <c r="H504" s="2"/>
      <c r="K504" s="81"/>
    </row>
    <row r="505" spans="1:11" ht="15.75" hidden="1" customHeight="1">
      <c r="A505" s="64"/>
      <c r="B505" s="17">
        <v>45762</v>
      </c>
      <c r="C505" s="18">
        <v>0</v>
      </c>
      <c r="D505" s="18">
        <v>13105</v>
      </c>
      <c r="E505" s="89" t="s">
        <v>80</v>
      </c>
      <c r="F505" s="20">
        <v>41504</v>
      </c>
      <c r="G505" s="31">
        <v>634.91999999999996</v>
      </c>
      <c r="H505" s="2"/>
      <c r="K505" s="81"/>
    </row>
    <row r="506" spans="1:11" ht="15.75" hidden="1" customHeight="1">
      <c r="A506" s="64"/>
      <c r="B506" s="23"/>
      <c r="C506" s="23"/>
      <c r="D506" s="23"/>
      <c r="E506" s="24" t="s">
        <v>81</v>
      </c>
      <c r="F506" s="24"/>
      <c r="G506" s="25">
        <v>0</v>
      </c>
      <c r="H506" s="2"/>
      <c r="K506" s="81"/>
    </row>
    <row r="507" spans="1:11" ht="15.75" hidden="1" customHeight="1">
      <c r="A507" s="64"/>
      <c r="B507" s="11">
        <v>45762</v>
      </c>
      <c r="C507" s="12">
        <v>0</v>
      </c>
      <c r="D507" s="12">
        <v>13105</v>
      </c>
      <c r="E507" s="90" t="s">
        <v>80</v>
      </c>
      <c r="F507" s="27">
        <v>41505</v>
      </c>
      <c r="G507" s="28">
        <v>995.85</v>
      </c>
      <c r="H507" s="2"/>
      <c r="K507" s="81"/>
    </row>
    <row r="508" spans="1:11" ht="15.75" hidden="1" customHeight="1">
      <c r="A508" s="64"/>
      <c r="B508" s="29"/>
      <c r="C508" s="29"/>
      <c r="D508" s="29"/>
      <c r="E508" s="13" t="s">
        <v>81</v>
      </c>
      <c r="F508" s="13"/>
      <c r="G508" s="30">
        <v>0</v>
      </c>
      <c r="H508" s="2"/>
      <c r="K508" s="81"/>
    </row>
    <row r="509" spans="1:11" ht="15.75" hidden="1" customHeight="1">
      <c r="A509" s="64"/>
      <c r="B509" s="17">
        <v>45762</v>
      </c>
      <c r="C509" s="18">
        <v>0</v>
      </c>
      <c r="D509" s="18">
        <v>0</v>
      </c>
      <c r="E509" s="89" t="s">
        <v>59</v>
      </c>
      <c r="F509" s="20">
        <v>9903</v>
      </c>
      <c r="G509" s="31">
        <v>4024.28</v>
      </c>
      <c r="H509" s="2"/>
      <c r="K509" s="81"/>
    </row>
    <row r="510" spans="1:11" ht="15.75" hidden="1" customHeight="1">
      <c r="A510" s="64"/>
      <c r="B510" s="23"/>
      <c r="C510" s="23"/>
      <c r="D510" s="23"/>
      <c r="E510" s="24" t="s">
        <v>53</v>
      </c>
      <c r="F510" s="24"/>
      <c r="G510" s="25">
        <v>0</v>
      </c>
      <c r="H510" s="2"/>
      <c r="K510" s="81"/>
    </row>
    <row r="511" spans="1:11" ht="15.75" hidden="1" customHeight="1">
      <c r="A511" s="64"/>
      <c r="B511" s="11">
        <v>45763</v>
      </c>
      <c r="C511" s="12">
        <v>0</v>
      </c>
      <c r="D511" s="12">
        <v>14397</v>
      </c>
      <c r="E511" s="90" t="s">
        <v>57</v>
      </c>
      <c r="F511" s="27">
        <v>160806186038962</v>
      </c>
      <c r="G511" s="15">
        <v>71.59</v>
      </c>
      <c r="H511" s="2"/>
      <c r="K511" s="81"/>
    </row>
    <row r="512" spans="1:11" ht="15.75" hidden="1" customHeight="1">
      <c r="A512" s="64"/>
      <c r="B512" s="29"/>
      <c r="C512" s="29"/>
      <c r="D512" s="29"/>
      <c r="E512" s="13" t="s">
        <v>481</v>
      </c>
      <c r="F512" s="13"/>
      <c r="G512" s="30">
        <v>0</v>
      </c>
      <c r="H512" s="2"/>
      <c r="K512" s="81"/>
    </row>
    <row r="513" spans="1:11" ht="15.75" hidden="1" customHeight="1">
      <c r="A513" s="64"/>
      <c r="B513" s="17">
        <v>45763</v>
      </c>
      <c r="C513" s="18">
        <v>0</v>
      </c>
      <c r="D513" s="18">
        <v>14397</v>
      </c>
      <c r="E513" s="89" t="s">
        <v>57</v>
      </c>
      <c r="F513" s="20">
        <v>160824099821832</v>
      </c>
      <c r="G513" s="21">
        <v>964.55</v>
      </c>
      <c r="H513" s="2"/>
      <c r="K513" s="81"/>
    </row>
    <row r="514" spans="1:11" ht="15.75" hidden="1" customHeight="1">
      <c r="A514" s="64"/>
      <c r="B514" s="23"/>
      <c r="C514" s="23"/>
      <c r="D514" s="23"/>
      <c r="E514" s="24" t="s">
        <v>482</v>
      </c>
      <c r="F514" s="24"/>
      <c r="G514" s="25">
        <v>0</v>
      </c>
      <c r="H514" s="2"/>
      <c r="K514" s="81"/>
    </row>
    <row r="515" spans="1:11" ht="15.75" hidden="1" customHeight="1">
      <c r="A515" s="64"/>
      <c r="B515" s="11">
        <v>45763</v>
      </c>
      <c r="C515" s="12">
        <v>0</v>
      </c>
      <c r="D515" s="12">
        <v>14397</v>
      </c>
      <c r="E515" s="90" t="s">
        <v>57</v>
      </c>
      <c r="F515" s="27">
        <v>161449017414812</v>
      </c>
      <c r="G515" s="15">
        <v>7000</v>
      </c>
      <c r="H515" s="2"/>
      <c r="K515" s="81"/>
    </row>
    <row r="516" spans="1:11" ht="15.75" hidden="1" customHeight="1">
      <c r="A516" s="64"/>
      <c r="B516" s="29"/>
      <c r="C516" s="29"/>
      <c r="D516" s="29"/>
      <c r="E516" s="13" t="s">
        <v>483</v>
      </c>
      <c r="F516" s="13"/>
      <c r="G516" s="30">
        <v>0</v>
      </c>
      <c r="H516" s="2"/>
      <c r="K516" s="81"/>
    </row>
    <row r="517" spans="1:11" ht="15.75" hidden="1" customHeight="1">
      <c r="A517" s="64"/>
      <c r="B517" s="17">
        <v>45763</v>
      </c>
      <c r="C517" s="18">
        <v>0</v>
      </c>
      <c r="D517" s="18">
        <v>14397</v>
      </c>
      <c r="E517" s="89" t="s">
        <v>57</v>
      </c>
      <c r="F517" s="20">
        <v>448084482511631</v>
      </c>
      <c r="G517" s="21">
        <v>13858</v>
      </c>
      <c r="H517" s="2"/>
      <c r="K517" s="81"/>
    </row>
    <row r="518" spans="1:11" ht="15.75" hidden="1" customHeight="1">
      <c r="A518" s="64"/>
      <c r="B518" s="23"/>
      <c r="C518" s="23"/>
      <c r="D518" s="23"/>
      <c r="E518" s="24" t="s">
        <v>484</v>
      </c>
      <c r="F518" s="24"/>
      <c r="G518" s="25">
        <v>0</v>
      </c>
      <c r="H518" s="2"/>
      <c r="K518" s="81"/>
    </row>
    <row r="519" spans="1:11" ht="15.75" hidden="1" customHeight="1">
      <c r="A519" s="64"/>
      <c r="B519" s="11">
        <v>45763</v>
      </c>
      <c r="C519" s="12">
        <v>0</v>
      </c>
      <c r="D519" s="12">
        <v>13105</v>
      </c>
      <c r="E519" s="90" t="s">
        <v>31</v>
      </c>
      <c r="F519" s="27">
        <v>41601</v>
      </c>
      <c r="G519" s="28">
        <v>376.19</v>
      </c>
      <c r="H519" s="2"/>
      <c r="K519" s="81"/>
    </row>
    <row r="520" spans="1:11" ht="15.75" hidden="1" customHeight="1">
      <c r="A520" s="64"/>
      <c r="B520" s="29"/>
      <c r="C520" s="29"/>
      <c r="D520" s="29"/>
      <c r="E520" s="13" t="s">
        <v>45</v>
      </c>
      <c r="F520" s="13"/>
      <c r="G520" s="30">
        <v>0</v>
      </c>
      <c r="H520" s="2"/>
      <c r="K520" s="81"/>
    </row>
    <row r="521" spans="1:11" ht="15.75" hidden="1" customHeight="1">
      <c r="A521" s="64"/>
      <c r="B521" s="17">
        <v>45763</v>
      </c>
      <c r="C521" s="18">
        <v>0</v>
      </c>
      <c r="D521" s="18">
        <v>13105</v>
      </c>
      <c r="E521" s="89" t="s">
        <v>31</v>
      </c>
      <c r="F521" s="20">
        <v>41602</v>
      </c>
      <c r="G521" s="31">
        <v>436.5</v>
      </c>
      <c r="H521" s="2"/>
      <c r="K521" s="81"/>
    </row>
    <row r="522" spans="1:11" ht="15.75" hidden="1" customHeight="1">
      <c r="A522" s="64"/>
      <c r="B522" s="23"/>
      <c r="C522" s="23"/>
      <c r="D522" s="23"/>
      <c r="E522" s="24" t="s">
        <v>45</v>
      </c>
      <c r="F522" s="24"/>
      <c r="G522" s="25">
        <v>0</v>
      </c>
      <c r="H522" s="2"/>
      <c r="K522" s="81"/>
    </row>
    <row r="523" spans="1:11" ht="15.75" hidden="1" customHeight="1">
      <c r="A523" s="64"/>
      <c r="B523" s="11">
        <v>45763</v>
      </c>
      <c r="C523" s="12">
        <v>0</v>
      </c>
      <c r="D523" s="12">
        <v>13105</v>
      </c>
      <c r="E523" s="90" t="s">
        <v>31</v>
      </c>
      <c r="F523" s="27">
        <v>41603</v>
      </c>
      <c r="G523" s="28">
        <v>162.44999999999999</v>
      </c>
      <c r="H523" s="2"/>
      <c r="K523" s="81"/>
    </row>
    <row r="524" spans="1:11" ht="15.75" hidden="1" customHeight="1">
      <c r="A524" s="64"/>
      <c r="B524" s="29"/>
      <c r="C524" s="29"/>
      <c r="D524" s="29"/>
      <c r="E524" s="13" t="s">
        <v>46</v>
      </c>
      <c r="F524" s="13"/>
      <c r="G524" s="30">
        <v>0</v>
      </c>
      <c r="H524" s="2"/>
      <c r="K524" s="81"/>
    </row>
    <row r="525" spans="1:11" ht="15.75" hidden="1" customHeight="1">
      <c r="A525" s="64"/>
      <c r="B525" s="17">
        <v>45763</v>
      </c>
      <c r="C525" s="18">
        <v>0</v>
      </c>
      <c r="D525" s="18">
        <v>13105</v>
      </c>
      <c r="E525" s="89" t="s">
        <v>31</v>
      </c>
      <c r="F525" s="20">
        <v>41604</v>
      </c>
      <c r="G525" s="31">
        <v>1517.24</v>
      </c>
      <c r="H525" s="2"/>
      <c r="K525" s="81"/>
    </row>
    <row r="526" spans="1:11" ht="15.75" hidden="1" customHeight="1">
      <c r="A526" s="64"/>
      <c r="B526" s="23"/>
      <c r="C526" s="23"/>
      <c r="D526" s="23"/>
      <c r="E526" s="24" t="s">
        <v>109</v>
      </c>
      <c r="F526" s="24"/>
      <c r="G526" s="25">
        <v>0</v>
      </c>
      <c r="H526" s="2"/>
      <c r="K526" s="81"/>
    </row>
    <row r="527" spans="1:11" ht="15.75" hidden="1" customHeight="1">
      <c r="A527" s="64"/>
      <c r="B527" s="11">
        <v>45763</v>
      </c>
      <c r="C527" s="12">
        <v>0</v>
      </c>
      <c r="D527" s="12">
        <v>13105</v>
      </c>
      <c r="E527" s="90" t="s">
        <v>31</v>
      </c>
      <c r="F527" s="27">
        <v>41605</v>
      </c>
      <c r="G527" s="28">
        <v>402.47</v>
      </c>
      <c r="H527" s="2"/>
      <c r="K527" s="81"/>
    </row>
    <row r="528" spans="1:11" ht="15.75" hidden="1" customHeight="1">
      <c r="A528" s="64"/>
      <c r="B528" s="29"/>
      <c r="C528" s="29"/>
      <c r="D528" s="29"/>
      <c r="E528" s="13" t="s">
        <v>109</v>
      </c>
      <c r="F528" s="13"/>
      <c r="G528" s="30">
        <v>0</v>
      </c>
      <c r="H528" s="2"/>
      <c r="K528" s="81"/>
    </row>
    <row r="529" spans="1:11" ht="15.75" hidden="1" customHeight="1">
      <c r="A529" s="64"/>
      <c r="B529" s="17">
        <v>45763</v>
      </c>
      <c r="C529" s="18">
        <v>0</v>
      </c>
      <c r="D529" s="18">
        <v>13105</v>
      </c>
      <c r="E529" s="89" t="s">
        <v>370</v>
      </c>
      <c r="F529" s="20">
        <v>41606</v>
      </c>
      <c r="G529" s="31">
        <v>22235.58</v>
      </c>
      <c r="H529" s="2"/>
      <c r="K529" s="81"/>
    </row>
    <row r="530" spans="1:11" ht="15.75" hidden="1" customHeight="1">
      <c r="A530" s="64"/>
      <c r="B530" s="23"/>
      <c r="C530" s="23"/>
      <c r="D530" s="23"/>
      <c r="E530" s="24" t="s">
        <v>371</v>
      </c>
      <c r="F530" s="24"/>
      <c r="G530" s="25">
        <v>0</v>
      </c>
      <c r="H530" s="2"/>
      <c r="K530" s="81"/>
    </row>
    <row r="531" spans="1:11" ht="15.75" hidden="1" customHeight="1">
      <c r="A531" s="64"/>
      <c r="B531" s="11">
        <v>45763</v>
      </c>
      <c r="C531" s="12">
        <v>0</v>
      </c>
      <c r="D531" s="12">
        <v>0</v>
      </c>
      <c r="E531" s="90" t="s">
        <v>52</v>
      </c>
      <c r="F531" s="27">
        <v>9903</v>
      </c>
      <c r="G531" s="15">
        <v>3236.29</v>
      </c>
      <c r="H531" s="2"/>
      <c r="K531" s="81"/>
    </row>
    <row r="532" spans="1:11" ht="15.75" hidden="1" customHeight="1">
      <c r="A532" s="64"/>
      <c r="B532" s="29"/>
      <c r="C532" s="29"/>
      <c r="D532" s="29"/>
      <c r="E532" s="13" t="s">
        <v>53</v>
      </c>
      <c r="F532" s="13"/>
      <c r="G532" s="30">
        <v>0</v>
      </c>
      <c r="H532" s="2"/>
      <c r="K532" s="81"/>
    </row>
    <row r="533" spans="1:11" ht="15.75" hidden="1" customHeight="1">
      <c r="A533" s="64"/>
      <c r="B533" s="17">
        <v>45764</v>
      </c>
      <c r="C533" s="18">
        <v>0</v>
      </c>
      <c r="D533" s="18">
        <v>14397</v>
      </c>
      <c r="E533" s="89" t="s">
        <v>57</v>
      </c>
      <c r="F533" s="20">
        <v>171023088430442</v>
      </c>
      <c r="G533" s="21">
        <v>564.05999999999995</v>
      </c>
      <c r="H533" s="2"/>
      <c r="K533" s="81"/>
    </row>
    <row r="534" spans="1:11" ht="15.75" hidden="1" customHeight="1">
      <c r="A534" s="64"/>
      <c r="B534" s="23"/>
      <c r="C534" s="23"/>
      <c r="D534" s="23"/>
      <c r="E534" s="24" t="s">
        <v>485</v>
      </c>
      <c r="F534" s="24"/>
      <c r="G534" s="25">
        <v>0</v>
      </c>
      <c r="H534" s="2"/>
      <c r="K534" s="81"/>
    </row>
    <row r="535" spans="1:11" ht="15.75" hidden="1" customHeight="1">
      <c r="A535" s="64"/>
      <c r="B535" s="11">
        <v>45764</v>
      </c>
      <c r="C535" s="12">
        <v>0</v>
      </c>
      <c r="D535" s="12">
        <v>14397</v>
      </c>
      <c r="E535" s="90" t="s">
        <v>57</v>
      </c>
      <c r="F535" s="27">
        <v>171732598269412</v>
      </c>
      <c r="G535" s="15">
        <v>3000</v>
      </c>
      <c r="H535" s="2"/>
      <c r="K535" s="81"/>
    </row>
    <row r="536" spans="1:11" ht="15.75" hidden="1" customHeight="1">
      <c r="A536" s="64"/>
      <c r="B536" s="29"/>
      <c r="C536" s="29"/>
      <c r="D536" s="29"/>
      <c r="E536" s="13" t="s">
        <v>486</v>
      </c>
      <c r="F536" s="13"/>
      <c r="G536" s="30">
        <v>0</v>
      </c>
      <c r="H536" s="2"/>
      <c r="K536" s="81"/>
    </row>
    <row r="537" spans="1:11" ht="15.75" customHeight="1">
      <c r="A537" s="33" t="s">
        <v>140</v>
      </c>
      <c r="B537" s="41">
        <v>45764</v>
      </c>
      <c r="C537" s="42">
        <v>0</v>
      </c>
      <c r="D537" s="42">
        <v>14138</v>
      </c>
      <c r="E537" s="92" t="s">
        <v>141</v>
      </c>
      <c r="F537" s="74">
        <v>202504160000439</v>
      </c>
      <c r="G537" s="75">
        <v>609.28</v>
      </c>
      <c r="H537" s="2">
        <v>3105</v>
      </c>
      <c r="I537" s="64" t="s">
        <v>419</v>
      </c>
      <c r="K537" s="81"/>
    </row>
    <row r="538" spans="1:11" ht="15.75" hidden="1" customHeight="1">
      <c r="A538" s="64"/>
      <c r="B538" s="23"/>
      <c r="C538" s="23"/>
      <c r="D538" s="23"/>
      <c r="E538" s="24" t="s">
        <v>143</v>
      </c>
      <c r="F538" s="24"/>
      <c r="G538" s="25">
        <v>0</v>
      </c>
      <c r="H538" s="2"/>
      <c r="K538" s="81"/>
    </row>
    <row r="539" spans="1:11" ht="15.75" customHeight="1">
      <c r="A539" s="33" t="s">
        <v>140</v>
      </c>
      <c r="B539" s="34">
        <v>45764</v>
      </c>
      <c r="C539" s="35">
        <v>0</v>
      </c>
      <c r="D539" s="35">
        <v>14138</v>
      </c>
      <c r="E539" s="91" t="s">
        <v>141</v>
      </c>
      <c r="F539" s="69">
        <v>202504160000440</v>
      </c>
      <c r="G539" s="70">
        <v>421.64</v>
      </c>
      <c r="H539" s="2">
        <v>3128</v>
      </c>
      <c r="I539" s="64" t="s">
        <v>425</v>
      </c>
      <c r="K539" s="81"/>
    </row>
    <row r="540" spans="1:11" ht="15.75" hidden="1" customHeight="1">
      <c r="A540" s="64"/>
      <c r="B540" s="29"/>
      <c r="C540" s="29"/>
      <c r="D540" s="29"/>
      <c r="E540" s="13" t="s">
        <v>143</v>
      </c>
      <c r="F540" s="13"/>
      <c r="G540" s="30">
        <v>0</v>
      </c>
      <c r="H540" s="2"/>
      <c r="K540" s="81"/>
    </row>
    <row r="541" spans="1:11" ht="15.75" customHeight="1">
      <c r="A541" s="33" t="s">
        <v>140</v>
      </c>
      <c r="B541" s="41">
        <v>45764</v>
      </c>
      <c r="C541" s="42">
        <v>0</v>
      </c>
      <c r="D541" s="42">
        <v>14138</v>
      </c>
      <c r="E541" s="92" t="s">
        <v>141</v>
      </c>
      <c r="F541" s="74">
        <v>202504160000452</v>
      </c>
      <c r="G541" s="75">
        <v>238</v>
      </c>
      <c r="H541" s="2">
        <v>2997</v>
      </c>
      <c r="I541" s="64" t="s">
        <v>419</v>
      </c>
      <c r="K541" s="81"/>
    </row>
    <row r="542" spans="1:11" ht="15.75" hidden="1" customHeight="1">
      <c r="A542" s="64"/>
      <c r="B542" s="23"/>
      <c r="C542" s="23"/>
      <c r="D542" s="23"/>
      <c r="E542" s="24" t="s">
        <v>143</v>
      </c>
      <c r="F542" s="24"/>
      <c r="G542" s="25">
        <v>0</v>
      </c>
      <c r="H542" s="2"/>
      <c r="K542" s="81"/>
    </row>
    <row r="543" spans="1:11" ht="15.75" customHeight="1">
      <c r="A543" s="33" t="s">
        <v>140</v>
      </c>
      <c r="B543" s="34">
        <v>45764</v>
      </c>
      <c r="C543" s="35">
        <v>0</v>
      </c>
      <c r="D543" s="35">
        <v>14138</v>
      </c>
      <c r="E543" s="91" t="s">
        <v>141</v>
      </c>
      <c r="F543" s="69">
        <v>202504160000458</v>
      </c>
      <c r="G543" s="70">
        <v>1668.08</v>
      </c>
      <c r="H543" s="2">
        <v>2469</v>
      </c>
      <c r="I543" s="64" t="s">
        <v>428</v>
      </c>
      <c r="K543" s="81"/>
    </row>
    <row r="544" spans="1:11" ht="15.75" hidden="1" customHeight="1">
      <c r="A544" s="64"/>
      <c r="B544" s="29"/>
      <c r="C544" s="29"/>
      <c r="D544" s="29"/>
      <c r="E544" s="13" t="s">
        <v>143</v>
      </c>
      <c r="F544" s="13"/>
      <c r="G544" s="30">
        <v>0</v>
      </c>
      <c r="H544" s="2"/>
      <c r="K544" s="81"/>
    </row>
    <row r="545" spans="1:11" ht="15.75" customHeight="1">
      <c r="A545" s="93" t="s">
        <v>423</v>
      </c>
      <c r="B545" s="94">
        <v>45764</v>
      </c>
      <c r="C545" s="95">
        <v>0</v>
      </c>
      <c r="D545" s="95">
        <v>14138</v>
      </c>
      <c r="E545" s="96" t="s">
        <v>141</v>
      </c>
      <c r="F545" s="97">
        <v>202504160000466</v>
      </c>
      <c r="G545" s="98">
        <v>13900</v>
      </c>
      <c r="H545" s="2" t="s">
        <v>487</v>
      </c>
      <c r="I545" s="64" t="s">
        <v>488</v>
      </c>
      <c r="K545" s="81"/>
    </row>
    <row r="546" spans="1:11" ht="15.75" hidden="1" customHeight="1">
      <c r="A546" s="64"/>
      <c r="B546" s="23"/>
      <c r="C546" s="23"/>
      <c r="D546" s="23"/>
      <c r="E546" s="24" t="s">
        <v>143</v>
      </c>
      <c r="F546" s="24"/>
      <c r="G546" s="25">
        <v>0</v>
      </c>
      <c r="H546" s="2"/>
      <c r="K546" s="81"/>
    </row>
    <row r="547" spans="1:11" ht="15.75" customHeight="1">
      <c r="A547" s="33" t="s">
        <v>140</v>
      </c>
      <c r="B547" s="34">
        <v>45764</v>
      </c>
      <c r="C547" s="35">
        <v>0</v>
      </c>
      <c r="D547" s="35">
        <v>14138</v>
      </c>
      <c r="E547" s="91" t="s">
        <v>141</v>
      </c>
      <c r="F547" s="69">
        <v>202504160000469</v>
      </c>
      <c r="G547" s="70">
        <v>609.28</v>
      </c>
      <c r="H547" s="2">
        <v>3103</v>
      </c>
      <c r="I547" s="64" t="s">
        <v>419</v>
      </c>
      <c r="K547" s="81"/>
    </row>
    <row r="548" spans="1:11" ht="15.75" hidden="1" customHeight="1">
      <c r="A548" s="64"/>
      <c r="B548" s="29"/>
      <c r="C548" s="29"/>
      <c r="D548" s="29"/>
      <c r="E548" s="13" t="s">
        <v>143</v>
      </c>
      <c r="F548" s="13"/>
      <c r="G548" s="30">
        <v>0</v>
      </c>
      <c r="H548" s="2"/>
      <c r="K548" s="81"/>
    </row>
    <row r="549" spans="1:11" ht="15.75" customHeight="1">
      <c r="A549" s="33" t="s">
        <v>140</v>
      </c>
      <c r="B549" s="41">
        <v>45764</v>
      </c>
      <c r="C549" s="42">
        <v>0</v>
      </c>
      <c r="D549" s="42">
        <v>14138</v>
      </c>
      <c r="E549" s="92" t="s">
        <v>141</v>
      </c>
      <c r="F549" s="74">
        <v>202504160000470</v>
      </c>
      <c r="G549" s="75">
        <v>221.51</v>
      </c>
      <c r="H549" s="2">
        <v>3149</v>
      </c>
      <c r="I549" s="64" t="s">
        <v>425</v>
      </c>
      <c r="K549" s="81"/>
    </row>
    <row r="550" spans="1:11" ht="15.75" hidden="1" customHeight="1">
      <c r="A550" s="64"/>
      <c r="B550" s="23"/>
      <c r="C550" s="23"/>
      <c r="D550" s="23"/>
      <c r="E550" s="24" t="s">
        <v>143</v>
      </c>
      <c r="F550" s="24"/>
      <c r="G550" s="25">
        <v>0</v>
      </c>
      <c r="H550" s="2"/>
      <c r="K550" s="81"/>
    </row>
    <row r="551" spans="1:11" ht="15.75" customHeight="1">
      <c r="A551" s="33" t="s">
        <v>140</v>
      </c>
      <c r="B551" s="34">
        <v>45764</v>
      </c>
      <c r="C551" s="35">
        <v>0</v>
      </c>
      <c r="D551" s="35">
        <v>14138</v>
      </c>
      <c r="E551" s="91" t="s">
        <v>141</v>
      </c>
      <c r="F551" s="69">
        <v>202504160000471</v>
      </c>
      <c r="G551" s="70">
        <v>81.34</v>
      </c>
      <c r="H551" s="2">
        <v>3147</v>
      </c>
      <c r="I551" s="64" t="s">
        <v>425</v>
      </c>
      <c r="K551" s="81"/>
    </row>
    <row r="552" spans="1:11" ht="15.75" hidden="1" customHeight="1">
      <c r="A552" s="64"/>
      <c r="B552" s="29"/>
      <c r="C552" s="29"/>
      <c r="D552" s="29"/>
      <c r="E552" s="13" t="s">
        <v>143</v>
      </c>
      <c r="F552" s="13"/>
      <c r="G552" s="30">
        <v>0</v>
      </c>
      <c r="H552" s="2"/>
      <c r="K552" s="81"/>
    </row>
    <row r="553" spans="1:11" ht="15.75" customHeight="1">
      <c r="A553" s="33" t="s">
        <v>140</v>
      </c>
      <c r="B553" s="41">
        <v>45764</v>
      </c>
      <c r="C553" s="42">
        <v>0</v>
      </c>
      <c r="D553" s="42">
        <v>14138</v>
      </c>
      <c r="E553" s="92" t="s">
        <v>141</v>
      </c>
      <c r="F553" s="74">
        <v>202504160000472</v>
      </c>
      <c r="G553" s="75">
        <v>609.28</v>
      </c>
      <c r="H553" s="2">
        <v>3104</v>
      </c>
      <c r="I553" s="64" t="s">
        <v>419</v>
      </c>
      <c r="K553" s="81"/>
    </row>
    <row r="554" spans="1:11" ht="15.75" hidden="1" customHeight="1">
      <c r="A554" s="64"/>
      <c r="B554" s="23"/>
      <c r="C554" s="23"/>
      <c r="D554" s="23"/>
      <c r="E554" s="24" t="s">
        <v>143</v>
      </c>
      <c r="F554" s="24"/>
      <c r="G554" s="25">
        <v>0</v>
      </c>
      <c r="H554" s="2"/>
      <c r="K554" s="81"/>
    </row>
    <row r="555" spans="1:11" ht="15.75" customHeight="1">
      <c r="A555" s="33" t="s">
        <v>140</v>
      </c>
      <c r="B555" s="34">
        <v>45764</v>
      </c>
      <c r="C555" s="35">
        <v>0</v>
      </c>
      <c r="D555" s="35">
        <v>14138</v>
      </c>
      <c r="E555" s="91" t="s">
        <v>141</v>
      </c>
      <c r="F555" s="69">
        <v>202504160006317</v>
      </c>
      <c r="G555" s="70">
        <v>609.28</v>
      </c>
      <c r="H555" s="2">
        <v>3418</v>
      </c>
      <c r="I555" s="64" t="s">
        <v>419</v>
      </c>
      <c r="K555" s="81"/>
    </row>
    <row r="556" spans="1:11" ht="15.75" hidden="1" customHeight="1">
      <c r="A556" s="64"/>
      <c r="B556" s="29"/>
      <c r="C556" s="29"/>
      <c r="D556" s="29"/>
      <c r="E556" s="13" t="s">
        <v>143</v>
      </c>
      <c r="F556" s="13"/>
      <c r="G556" s="30">
        <v>0</v>
      </c>
      <c r="H556" s="2"/>
      <c r="K556" s="81"/>
    </row>
    <row r="557" spans="1:11" ht="15.75" customHeight="1">
      <c r="A557" s="33" t="s">
        <v>140</v>
      </c>
      <c r="B557" s="41">
        <v>45764</v>
      </c>
      <c r="C557" s="42">
        <v>0</v>
      </c>
      <c r="D557" s="42">
        <v>14138</v>
      </c>
      <c r="E557" s="92" t="s">
        <v>141</v>
      </c>
      <c r="F557" s="74">
        <v>202504160006319</v>
      </c>
      <c r="G557" s="75">
        <v>609.28</v>
      </c>
      <c r="H557" s="2">
        <v>3326</v>
      </c>
      <c r="I557" s="64" t="s">
        <v>419</v>
      </c>
      <c r="K557" s="81"/>
    </row>
    <row r="558" spans="1:11" ht="15.75" hidden="1" customHeight="1">
      <c r="A558" s="64"/>
      <c r="B558" s="23"/>
      <c r="C558" s="23"/>
      <c r="D558" s="23"/>
      <c r="E558" s="24" t="s">
        <v>143</v>
      </c>
      <c r="F558" s="24"/>
      <c r="G558" s="25">
        <v>0</v>
      </c>
      <c r="H558" s="2"/>
      <c r="K558" s="81"/>
    </row>
    <row r="559" spans="1:11" ht="15.75" customHeight="1">
      <c r="A559" s="33" t="s">
        <v>140</v>
      </c>
      <c r="B559" s="34">
        <v>45764</v>
      </c>
      <c r="C559" s="35">
        <v>0</v>
      </c>
      <c r="D559" s="35">
        <v>14138</v>
      </c>
      <c r="E559" s="91" t="s">
        <v>141</v>
      </c>
      <c r="F559" s="69">
        <v>202504160018336</v>
      </c>
      <c r="G559" s="70">
        <v>190.59</v>
      </c>
      <c r="H559" s="2">
        <v>3368</v>
      </c>
      <c r="I559" s="64" t="s">
        <v>425</v>
      </c>
      <c r="K559" s="81"/>
    </row>
    <row r="560" spans="1:11" ht="15.75" hidden="1" customHeight="1">
      <c r="A560" s="64"/>
      <c r="B560" s="29"/>
      <c r="C560" s="29"/>
      <c r="D560" s="29"/>
      <c r="E560" s="13" t="s">
        <v>143</v>
      </c>
      <c r="F560" s="13"/>
      <c r="G560" s="30">
        <v>0</v>
      </c>
      <c r="H560" s="2"/>
      <c r="K560" s="81"/>
    </row>
    <row r="561" spans="1:11" ht="15.75" customHeight="1">
      <c r="A561" s="33" t="s">
        <v>140</v>
      </c>
      <c r="B561" s="41">
        <v>45764</v>
      </c>
      <c r="C561" s="42">
        <v>0</v>
      </c>
      <c r="D561" s="42">
        <v>14138</v>
      </c>
      <c r="E561" s="92" t="s">
        <v>141</v>
      </c>
      <c r="F561" s="74">
        <v>202504160018338</v>
      </c>
      <c r="G561" s="75">
        <v>1668.08</v>
      </c>
      <c r="H561" s="2">
        <v>3315</v>
      </c>
      <c r="I561" s="64" t="s">
        <v>428</v>
      </c>
      <c r="K561" s="81"/>
    </row>
    <row r="562" spans="1:11" ht="15.75" hidden="1" customHeight="1">
      <c r="A562" s="64"/>
      <c r="B562" s="23"/>
      <c r="C562" s="23"/>
      <c r="D562" s="23"/>
      <c r="E562" s="24" t="s">
        <v>143</v>
      </c>
      <c r="F562" s="24"/>
      <c r="G562" s="25">
        <v>0</v>
      </c>
      <c r="H562" s="2"/>
      <c r="K562" s="81"/>
    </row>
    <row r="563" spans="1:11" ht="15.75" customHeight="1">
      <c r="A563" s="33" t="s">
        <v>140</v>
      </c>
      <c r="B563" s="34">
        <v>45764</v>
      </c>
      <c r="C563" s="35">
        <v>0</v>
      </c>
      <c r="D563" s="35">
        <v>14138</v>
      </c>
      <c r="E563" s="91" t="s">
        <v>141</v>
      </c>
      <c r="F563" s="69">
        <v>202504160018339</v>
      </c>
      <c r="G563" s="70">
        <v>235.33</v>
      </c>
      <c r="H563" s="2">
        <v>3462</v>
      </c>
      <c r="I563" s="64" t="s">
        <v>425</v>
      </c>
      <c r="K563" s="81"/>
    </row>
    <row r="564" spans="1:11" ht="15.75" hidden="1" customHeight="1">
      <c r="A564" s="64"/>
      <c r="B564" s="29"/>
      <c r="C564" s="29"/>
      <c r="D564" s="29"/>
      <c r="E564" s="13" t="s">
        <v>143</v>
      </c>
      <c r="F564" s="13"/>
      <c r="G564" s="30">
        <v>0</v>
      </c>
      <c r="H564" s="2"/>
      <c r="K564" s="81"/>
    </row>
    <row r="565" spans="1:11" ht="15.75" customHeight="1">
      <c r="A565" s="33" t="s">
        <v>140</v>
      </c>
      <c r="B565" s="41">
        <v>45764</v>
      </c>
      <c r="C565" s="42">
        <v>0</v>
      </c>
      <c r="D565" s="42">
        <v>14138</v>
      </c>
      <c r="E565" s="92" t="s">
        <v>141</v>
      </c>
      <c r="F565" s="74">
        <v>202504160018342</v>
      </c>
      <c r="G565" s="75">
        <v>2521.66</v>
      </c>
      <c r="H565" s="2">
        <v>3344</v>
      </c>
      <c r="I565" s="64" t="s">
        <v>428</v>
      </c>
      <c r="K565" s="81"/>
    </row>
    <row r="566" spans="1:11" ht="15.75" hidden="1" customHeight="1">
      <c r="A566" s="64"/>
      <c r="B566" s="23"/>
      <c r="C566" s="23"/>
      <c r="D566" s="23"/>
      <c r="E566" s="24" t="s">
        <v>143</v>
      </c>
      <c r="F566" s="24"/>
      <c r="G566" s="25">
        <v>0</v>
      </c>
      <c r="H566" s="2"/>
      <c r="K566" s="81"/>
    </row>
    <row r="567" spans="1:11" ht="15.75" customHeight="1">
      <c r="A567" s="33" t="s">
        <v>140</v>
      </c>
      <c r="B567" s="34">
        <v>45764</v>
      </c>
      <c r="C567" s="35">
        <v>0</v>
      </c>
      <c r="D567" s="35">
        <v>14138</v>
      </c>
      <c r="E567" s="91" t="s">
        <v>141</v>
      </c>
      <c r="F567" s="69">
        <v>202504160018346</v>
      </c>
      <c r="G567" s="70">
        <v>1668.08</v>
      </c>
      <c r="H567" s="2">
        <v>3393</v>
      </c>
      <c r="I567" s="64" t="s">
        <v>489</v>
      </c>
      <c r="K567" s="81"/>
    </row>
    <row r="568" spans="1:11" ht="15.75" hidden="1" customHeight="1">
      <c r="A568" s="64"/>
      <c r="B568" s="29"/>
      <c r="C568" s="29"/>
      <c r="D568" s="29"/>
      <c r="E568" s="13" t="s">
        <v>143</v>
      </c>
      <c r="F568" s="13"/>
      <c r="G568" s="30">
        <v>0</v>
      </c>
      <c r="H568" s="2"/>
      <c r="K568" s="81"/>
    </row>
    <row r="569" spans="1:11" ht="15.75" customHeight="1">
      <c r="A569" s="33" t="s">
        <v>140</v>
      </c>
      <c r="B569" s="41">
        <v>45764</v>
      </c>
      <c r="C569" s="42">
        <v>0</v>
      </c>
      <c r="D569" s="42">
        <v>14138</v>
      </c>
      <c r="E569" s="92" t="s">
        <v>141</v>
      </c>
      <c r="F569" s="74">
        <v>202504160018348</v>
      </c>
      <c r="G569" s="75">
        <v>2695.49</v>
      </c>
      <c r="H569" s="2">
        <v>3424</v>
      </c>
      <c r="I569" s="64" t="s">
        <v>428</v>
      </c>
      <c r="K569" s="81"/>
    </row>
    <row r="570" spans="1:11" ht="15.75" hidden="1" customHeight="1">
      <c r="A570" s="64"/>
      <c r="B570" s="23"/>
      <c r="C570" s="23"/>
      <c r="D570" s="23"/>
      <c r="E570" s="24" t="s">
        <v>143</v>
      </c>
      <c r="F570" s="24"/>
      <c r="G570" s="25">
        <v>0</v>
      </c>
      <c r="H570" s="2"/>
      <c r="K570" s="81"/>
    </row>
    <row r="571" spans="1:11" ht="15.75" customHeight="1">
      <c r="A571" s="33" t="s">
        <v>140</v>
      </c>
      <c r="B571" s="34">
        <v>45764</v>
      </c>
      <c r="C571" s="35">
        <v>0</v>
      </c>
      <c r="D571" s="35">
        <v>14138</v>
      </c>
      <c r="E571" s="91" t="s">
        <v>141</v>
      </c>
      <c r="F571" s="69">
        <v>202504160018352</v>
      </c>
      <c r="G571" s="70">
        <v>609.28</v>
      </c>
      <c r="H571" s="2">
        <v>3325</v>
      </c>
      <c r="I571" s="64" t="s">
        <v>419</v>
      </c>
      <c r="K571" s="81"/>
    </row>
    <row r="572" spans="1:11" ht="15.75" hidden="1" customHeight="1">
      <c r="A572" s="64"/>
      <c r="B572" s="29"/>
      <c r="C572" s="29"/>
      <c r="D572" s="29"/>
      <c r="E572" s="13" t="s">
        <v>143</v>
      </c>
      <c r="F572" s="13"/>
      <c r="G572" s="30">
        <v>0</v>
      </c>
      <c r="H572" s="2"/>
      <c r="K572" s="81"/>
    </row>
    <row r="573" spans="1:11" ht="15.75" customHeight="1">
      <c r="A573" s="33" t="s">
        <v>140</v>
      </c>
      <c r="B573" s="41">
        <v>45764</v>
      </c>
      <c r="C573" s="42">
        <v>0</v>
      </c>
      <c r="D573" s="42">
        <v>14138</v>
      </c>
      <c r="E573" s="92" t="s">
        <v>141</v>
      </c>
      <c r="F573" s="74">
        <v>202504160018358</v>
      </c>
      <c r="G573" s="75">
        <v>294.17</v>
      </c>
      <c r="H573" s="2">
        <v>3443</v>
      </c>
      <c r="I573" s="64" t="s">
        <v>425</v>
      </c>
      <c r="K573" s="81"/>
    </row>
    <row r="574" spans="1:11" ht="15.75" hidden="1" customHeight="1">
      <c r="A574" s="64"/>
      <c r="B574" s="23"/>
      <c r="C574" s="23"/>
      <c r="D574" s="23"/>
      <c r="E574" s="24" t="s">
        <v>143</v>
      </c>
      <c r="F574" s="24"/>
      <c r="G574" s="25">
        <v>0</v>
      </c>
      <c r="H574" s="2"/>
      <c r="K574" s="81"/>
    </row>
    <row r="575" spans="1:11" ht="15.75" hidden="1" customHeight="1">
      <c r="A575" s="64"/>
      <c r="B575" s="11">
        <v>45764</v>
      </c>
      <c r="C575" s="12">
        <v>0</v>
      </c>
      <c r="D575" s="12">
        <v>14397</v>
      </c>
      <c r="E575" s="90" t="s">
        <v>57</v>
      </c>
      <c r="F575" s="27">
        <v>448962953800981</v>
      </c>
      <c r="G575" s="15">
        <v>1427.57</v>
      </c>
      <c r="H575" s="2"/>
      <c r="K575" s="81"/>
    </row>
    <row r="576" spans="1:11" ht="15.75" hidden="1" customHeight="1">
      <c r="A576" s="64"/>
      <c r="B576" s="29"/>
      <c r="C576" s="29"/>
      <c r="D576" s="29"/>
      <c r="E576" s="13" t="s">
        <v>490</v>
      </c>
      <c r="F576" s="13"/>
      <c r="G576" s="30">
        <v>0</v>
      </c>
      <c r="H576" s="2"/>
      <c r="K576" s="81"/>
    </row>
    <row r="577" spans="1:11" ht="15.75" hidden="1" customHeight="1">
      <c r="A577" s="64"/>
      <c r="B577" s="17">
        <v>45764</v>
      </c>
      <c r="C577" s="18">
        <v>0</v>
      </c>
      <c r="D577" s="18">
        <v>14397</v>
      </c>
      <c r="E577" s="89" t="s">
        <v>57</v>
      </c>
      <c r="F577" s="20">
        <v>448979002130391</v>
      </c>
      <c r="G577" s="21">
        <v>39.69</v>
      </c>
      <c r="H577" s="2"/>
      <c r="K577" s="81"/>
    </row>
    <row r="578" spans="1:11" ht="15.75" hidden="1" customHeight="1">
      <c r="A578" s="64"/>
      <c r="B578" s="23"/>
      <c r="C578" s="23"/>
      <c r="D578" s="23"/>
      <c r="E578" s="24" t="s">
        <v>491</v>
      </c>
      <c r="F578" s="24"/>
      <c r="G578" s="25">
        <v>0</v>
      </c>
      <c r="H578" s="2"/>
      <c r="K578" s="81"/>
    </row>
    <row r="579" spans="1:11" ht="15.75" hidden="1" customHeight="1">
      <c r="A579" s="64"/>
      <c r="B579" s="11">
        <v>45764</v>
      </c>
      <c r="C579" s="12">
        <v>1533</v>
      </c>
      <c r="D579" s="12">
        <v>99015</v>
      </c>
      <c r="E579" s="90" t="s">
        <v>195</v>
      </c>
      <c r="F579" s="27">
        <v>551845000113366</v>
      </c>
      <c r="G579" s="28">
        <v>5000</v>
      </c>
      <c r="H579" s="2"/>
      <c r="K579" s="81"/>
    </row>
    <row r="580" spans="1:11" ht="15.75" hidden="1" customHeight="1">
      <c r="A580" s="64"/>
      <c r="B580" s="29"/>
      <c r="C580" s="29"/>
      <c r="D580" s="29"/>
      <c r="E580" s="13" t="s">
        <v>492</v>
      </c>
      <c r="F580" s="13"/>
      <c r="G580" s="30">
        <v>0</v>
      </c>
      <c r="H580" s="2"/>
      <c r="K580" s="81"/>
    </row>
    <row r="581" spans="1:11" ht="15.75" hidden="1" customHeight="1">
      <c r="A581" s="64"/>
      <c r="B581" s="17">
        <v>45764</v>
      </c>
      <c r="C581" s="18">
        <v>0</v>
      </c>
      <c r="D581" s="18">
        <v>13105</v>
      </c>
      <c r="E581" s="89" t="s">
        <v>123</v>
      </c>
      <c r="F581" s="20">
        <v>41701</v>
      </c>
      <c r="G581" s="31">
        <v>123.45</v>
      </c>
      <c r="H581" s="2"/>
      <c r="K581" s="81"/>
    </row>
    <row r="582" spans="1:11" ht="15.75" hidden="1" customHeight="1">
      <c r="A582" s="64"/>
      <c r="B582" s="23"/>
      <c r="C582" s="23"/>
      <c r="D582" s="23"/>
      <c r="E582" s="24" t="s">
        <v>124</v>
      </c>
      <c r="F582" s="24"/>
      <c r="G582" s="25">
        <v>0</v>
      </c>
      <c r="H582" s="2"/>
      <c r="K582" s="81"/>
    </row>
    <row r="583" spans="1:11" ht="15.75" hidden="1" customHeight="1">
      <c r="A583" s="64"/>
      <c r="B583" s="11">
        <v>45764</v>
      </c>
      <c r="C583" s="12">
        <v>0</v>
      </c>
      <c r="D583" s="12">
        <v>13105</v>
      </c>
      <c r="E583" s="90" t="s">
        <v>31</v>
      </c>
      <c r="F583" s="27">
        <v>41702</v>
      </c>
      <c r="G583" s="28">
        <v>356.77</v>
      </c>
      <c r="H583" s="2"/>
      <c r="K583" s="81"/>
    </row>
    <row r="584" spans="1:11" ht="15.75" hidden="1" customHeight="1">
      <c r="A584" s="64"/>
      <c r="B584" s="29"/>
      <c r="C584" s="29"/>
      <c r="D584" s="29"/>
      <c r="E584" s="13" t="s">
        <v>110</v>
      </c>
      <c r="F584" s="13"/>
      <c r="G584" s="30">
        <v>0</v>
      </c>
      <c r="H584" s="2"/>
      <c r="K584" s="81"/>
    </row>
    <row r="585" spans="1:11" ht="15.75" hidden="1" customHeight="1">
      <c r="A585" s="64"/>
      <c r="B585" s="17">
        <v>45764</v>
      </c>
      <c r="C585" s="18">
        <v>0</v>
      </c>
      <c r="D585" s="18">
        <v>13105</v>
      </c>
      <c r="E585" s="89" t="s">
        <v>31</v>
      </c>
      <c r="F585" s="20">
        <v>41703</v>
      </c>
      <c r="G585" s="31">
        <v>282.62</v>
      </c>
      <c r="H585" s="2"/>
      <c r="K585" s="81"/>
    </row>
    <row r="586" spans="1:11" ht="15.75" hidden="1" customHeight="1">
      <c r="A586" s="64"/>
      <c r="B586" s="23"/>
      <c r="C586" s="23"/>
      <c r="D586" s="23"/>
      <c r="E586" s="24" t="s">
        <v>247</v>
      </c>
      <c r="F586" s="24"/>
      <c r="G586" s="25">
        <v>0</v>
      </c>
      <c r="H586" s="2"/>
      <c r="K586" s="81"/>
    </row>
    <row r="587" spans="1:11" ht="15.75" hidden="1" customHeight="1">
      <c r="A587" s="64"/>
      <c r="B587" s="11">
        <v>45764</v>
      </c>
      <c r="C587" s="12">
        <v>0</v>
      </c>
      <c r="D587" s="12">
        <v>13105</v>
      </c>
      <c r="E587" s="90" t="s">
        <v>31</v>
      </c>
      <c r="F587" s="27">
        <v>41704</v>
      </c>
      <c r="G587" s="28">
        <v>215.9</v>
      </c>
      <c r="H587" s="2"/>
      <c r="K587" s="81"/>
    </row>
    <row r="588" spans="1:11" ht="15.75" hidden="1" customHeight="1">
      <c r="A588" s="64"/>
      <c r="B588" s="29"/>
      <c r="C588" s="29"/>
      <c r="D588" s="29"/>
      <c r="E588" s="13" t="s">
        <v>45</v>
      </c>
      <c r="F588" s="13"/>
      <c r="G588" s="30">
        <v>0</v>
      </c>
      <c r="H588" s="2"/>
      <c r="K588" s="81"/>
    </row>
    <row r="589" spans="1:11" ht="15.75" hidden="1" customHeight="1">
      <c r="A589" s="64"/>
      <c r="B589" s="17">
        <v>45764</v>
      </c>
      <c r="C589" s="18">
        <v>0</v>
      </c>
      <c r="D589" s="18">
        <v>13105</v>
      </c>
      <c r="E589" s="89" t="s">
        <v>31</v>
      </c>
      <c r="F589" s="20">
        <v>41705</v>
      </c>
      <c r="G589" s="31">
        <v>270.58999999999997</v>
      </c>
      <c r="H589" s="2"/>
      <c r="K589" s="81"/>
    </row>
    <row r="590" spans="1:11" ht="15.75" hidden="1" customHeight="1">
      <c r="A590" s="64"/>
      <c r="B590" s="23"/>
      <c r="C590" s="23"/>
      <c r="D590" s="23"/>
      <c r="E590" s="24" t="s">
        <v>110</v>
      </c>
      <c r="F590" s="24"/>
      <c r="G590" s="25">
        <v>0</v>
      </c>
      <c r="H590" s="2"/>
      <c r="K590" s="81"/>
    </row>
    <row r="591" spans="1:11" ht="15.75" hidden="1" customHeight="1">
      <c r="A591" s="64"/>
      <c r="B591" s="11">
        <v>45764</v>
      </c>
      <c r="C591" s="12">
        <v>0</v>
      </c>
      <c r="D591" s="12">
        <v>13105</v>
      </c>
      <c r="E591" s="90" t="s">
        <v>31</v>
      </c>
      <c r="F591" s="27">
        <v>41706</v>
      </c>
      <c r="G591" s="28">
        <v>458.11</v>
      </c>
      <c r="H591" s="2"/>
      <c r="K591" s="81"/>
    </row>
    <row r="592" spans="1:11" ht="15.75" hidden="1" customHeight="1">
      <c r="A592" s="64"/>
      <c r="B592" s="29"/>
      <c r="C592" s="29"/>
      <c r="D592" s="29"/>
      <c r="E592" s="13" t="s">
        <v>396</v>
      </c>
      <c r="F592" s="13"/>
      <c r="G592" s="30">
        <v>0</v>
      </c>
      <c r="H592" s="2"/>
      <c r="K592" s="81"/>
    </row>
    <row r="593" spans="1:11" ht="15.75" hidden="1" customHeight="1">
      <c r="A593" s="64"/>
      <c r="B593" s="17">
        <v>45764</v>
      </c>
      <c r="C593" s="18">
        <v>0</v>
      </c>
      <c r="D593" s="18">
        <v>13105</v>
      </c>
      <c r="E593" s="89" t="s">
        <v>31</v>
      </c>
      <c r="F593" s="20">
        <v>41707</v>
      </c>
      <c r="G593" s="31">
        <v>530.94000000000005</v>
      </c>
      <c r="H593" s="2"/>
      <c r="K593" s="81"/>
    </row>
    <row r="594" spans="1:11" ht="15.75" hidden="1" customHeight="1">
      <c r="A594" s="64"/>
      <c r="B594" s="23"/>
      <c r="C594" s="23"/>
      <c r="D594" s="23"/>
      <c r="E594" s="24" t="s">
        <v>165</v>
      </c>
      <c r="F594" s="24"/>
      <c r="G594" s="25">
        <v>0</v>
      </c>
      <c r="H594" s="2"/>
      <c r="K594" s="81"/>
    </row>
    <row r="595" spans="1:11" ht="15.75" hidden="1" customHeight="1">
      <c r="A595" s="64"/>
      <c r="B595" s="11">
        <v>45764</v>
      </c>
      <c r="C595" s="12">
        <v>0</v>
      </c>
      <c r="D595" s="12">
        <v>13105</v>
      </c>
      <c r="E595" s="90" t="s">
        <v>31</v>
      </c>
      <c r="F595" s="27">
        <v>41708</v>
      </c>
      <c r="G595" s="28">
        <v>105.56</v>
      </c>
      <c r="H595" s="2"/>
      <c r="K595" s="81"/>
    </row>
    <row r="596" spans="1:11" ht="15.75" hidden="1" customHeight="1">
      <c r="A596" s="64"/>
      <c r="B596" s="29"/>
      <c r="C596" s="29"/>
      <c r="D596" s="29"/>
      <c r="E596" s="13" t="s">
        <v>46</v>
      </c>
      <c r="F596" s="13"/>
      <c r="G596" s="30">
        <v>0</v>
      </c>
      <c r="H596" s="2"/>
      <c r="K596" s="81"/>
    </row>
    <row r="597" spans="1:11" ht="15.75" hidden="1" customHeight="1">
      <c r="A597" s="64"/>
      <c r="B597" s="17">
        <v>45764</v>
      </c>
      <c r="C597" s="18">
        <v>0</v>
      </c>
      <c r="D597" s="18">
        <v>13105</v>
      </c>
      <c r="E597" s="89" t="s">
        <v>31</v>
      </c>
      <c r="F597" s="20">
        <v>41709</v>
      </c>
      <c r="G597" s="31">
        <v>42.9</v>
      </c>
      <c r="H597" s="2"/>
      <c r="K597" s="81"/>
    </row>
    <row r="598" spans="1:11" ht="15.75" hidden="1" customHeight="1">
      <c r="A598" s="64"/>
      <c r="B598" s="23"/>
      <c r="C598" s="23"/>
      <c r="D598" s="23"/>
      <c r="E598" s="24" t="s">
        <v>46</v>
      </c>
      <c r="F598" s="24"/>
      <c r="G598" s="25">
        <v>0</v>
      </c>
      <c r="H598" s="2"/>
      <c r="K598" s="81"/>
    </row>
    <row r="599" spans="1:11" ht="15.75" hidden="1" customHeight="1">
      <c r="A599" s="64"/>
      <c r="B599" s="11">
        <v>45764</v>
      </c>
      <c r="C599" s="12">
        <v>0</v>
      </c>
      <c r="D599" s="12">
        <v>13105</v>
      </c>
      <c r="E599" s="90" t="s">
        <v>31</v>
      </c>
      <c r="F599" s="27">
        <v>41710</v>
      </c>
      <c r="G599" s="28">
        <v>126.72</v>
      </c>
      <c r="H599" s="2"/>
      <c r="K599" s="81"/>
    </row>
    <row r="600" spans="1:11" ht="15.75" hidden="1" customHeight="1">
      <c r="A600" s="64"/>
      <c r="B600" s="29"/>
      <c r="C600" s="29"/>
      <c r="D600" s="29"/>
      <c r="E600" s="13" t="s">
        <v>46</v>
      </c>
      <c r="F600" s="13"/>
      <c r="G600" s="30">
        <v>0</v>
      </c>
      <c r="H600" s="2"/>
      <c r="K600" s="81"/>
    </row>
    <row r="601" spans="1:11" ht="15.75" hidden="1" customHeight="1">
      <c r="A601" s="64"/>
      <c r="B601" s="17">
        <v>45764</v>
      </c>
      <c r="C601" s="18">
        <v>0</v>
      </c>
      <c r="D601" s="18">
        <v>13105</v>
      </c>
      <c r="E601" s="89" t="s">
        <v>31</v>
      </c>
      <c r="F601" s="20">
        <v>41711</v>
      </c>
      <c r="G601" s="31">
        <v>154.84</v>
      </c>
      <c r="H601" s="2"/>
      <c r="K601" s="81"/>
    </row>
    <row r="602" spans="1:11" ht="15.75" hidden="1" customHeight="1">
      <c r="A602" s="64"/>
      <c r="B602" s="23"/>
      <c r="C602" s="23"/>
      <c r="D602" s="23"/>
      <c r="E602" s="24" t="s">
        <v>111</v>
      </c>
      <c r="F602" s="24"/>
      <c r="G602" s="25">
        <v>0</v>
      </c>
      <c r="H602" s="2"/>
      <c r="K602" s="81"/>
    </row>
    <row r="603" spans="1:11" ht="15.75" hidden="1" customHeight="1">
      <c r="A603" s="64"/>
      <c r="B603" s="11">
        <v>45764</v>
      </c>
      <c r="C603" s="12">
        <v>0</v>
      </c>
      <c r="D603" s="12">
        <v>13105</v>
      </c>
      <c r="E603" s="90" t="s">
        <v>31</v>
      </c>
      <c r="F603" s="27">
        <v>41712</v>
      </c>
      <c r="G603" s="28">
        <v>243.55</v>
      </c>
      <c r="H603" s="2"/>
      <c r="K603" s="81"/>
    </row>
    <row r="604" spans="1:11" ht="15.75" hidden="1" customHeight="1">
      <c r="A604" s="64"/>
      <c r="B604" s="29"/>
      <c r="C604" s="29"/>
      <c r="D604" s="29"/>
      <c r="E604" s="13" t="s">
        <v>111</v>
      </c>
      <c r="F604" s="13"/>
      <c r="G604" s="30">
        <v>0</v>
      </c>
      <c r="H604" s="2"/>
      <c r="K604" s="81"/>
    </row>
    <row r="605" spans="1:11" ht="15.75" hidden="1" customHeight="1">
      <c r="A605" s="64"/>
      <c r="B605" s="17">
        <v>45764</v>
      </c>
      <c r="C605" s="18">
        <v>0</v>
      </c>
      <c r="D605" s="18">
        <v>13105</v>
      </c>
      <c r="E605" s="89" t="s">
        <v>31</v>
      </c>
      <c r="F605" s="20">
        <v>41713</v>
      </c>
      <c r="G605" s="31">
        <v>282.58</v>
      </c>
      <c r="H605" s="2"/>
      <c r="K605" s="81"/>
    </row>
    <row r="606" spans="1:11" ht="15.75" hidden="1" customHeight="1">
      <c r="A606" s="64"/>
      <c r="B606" s="23"/>
      <c r="C606" s="23"/>
      <c r="D606" s="23"/>
      <c r="E606" s="24" t="s">
        <v>41</v>
      </c>
      <c r="F606" s="24"/>
      <c r="G606" s="25">
        <v>0</v>
      </c>
      <c r="H606" s="2"/>
      <c r="K606" s="81"/>
    </row>
    <row r="607" spans="1:11" ht="15.75" hidden="1" customHeight="1">
      <c r="A607" s="64"/>
      <c r="B607" s="11">
        <v>45764</v>
      </c>
      <c r="C607" s="12">
        <v>0</v>
      </c>
      <c r="D607" s="12">
        <v>13105</v>
      </c>
      <c r="E607" s="90" t="s">
        <v>31</v>
      </c>
      <c r="F607" s="27">
        <v>41714</v>
      </c>
      <c r="G607" s="28">
        <v>591</v>
      </c>
      <c r="H607" s="2"/>
      <c r="K607" s="81"/>
    </row>
    <row r="608" spans="1:11" ht="15.75" hidden="1" customHeight="1">
      <c r="A608" s="64"/>
      <c r="B608" s="29"/>
      <c r="C608" s="29"/>
      <c r="D608" s="29"/>
      <c r="E608" s="13" t="s">
        <v>41</v>
      </c>
      <c r="F608" s="13"/>
      <c r="G608" s="30">
        <v>0</v>
      </c>
      <c r="H608" s="2"/>
      <c r="K608" s="81"/>
    </row>
    <row r="609" spans="1:11" ht="15.75" hidden="1" customHeight="1">
      <c r="A609" s="64"/>
      <c r="B609" s="17">
        <v>45764</v>
      </c>
      <c r="C609" s="18">
        <v>0</v>
      </c>
      <c r="D609" s="18">
        <v>13105</v>
      </c>
      <c r="E609" s="89" t="s">
        <v>31</v>
      </c>
      <c r="F609" s="20">
        <v>41715</v>
      </c>
      <c r="G609" s="31">
        <v>1292.5</v>
      </c>
      <c r="H609" s="2"/>
      <c r="K609" s="81"/>
    </row>
    <row r="610" spans="1:11" ht="15.75" hidden="1" customHeight="1">
      <c r="A610" s="64"/>
      <c r="B610" s="23"/>
      <c r="C610" s="23"/>
      <c r="D610" s="23"/>
      <c r="E610" s="24" t="s">
        <v>71</v>
      </c>
      <c r="F610" s="24"/>
      <c r="G610" s="25">
        <v>0</v>
      </c>
      <c r="H610" s="2"/>
      <c r="K610" s="81"/>
    </row>
    <row r="611" spans="1:11" ht="15.75" hidden="1" customHeight="1">
      <c r="A611" s="64"/>
      <c r="B611" s="11">
        <v>45764</v>
      </c>
      <c r="C611" s="12">
        <v>0</v>
      </c>
      <c r="D611" s="12">
        <v>13105</v>
      </c>
      <c r="E611" s="90" t="s">
        <v>31</v>
      </c>
      <c r="F611" s="27">
        <v>41716</v>
      </c>
      <c r="G611" s="28">
        <v>986.57</v>
      </c>
      <c r="H611" s="2"/>
      <c r="K611" s="81"/>
    </row>
    <row r="612" spans="1:11" ht="15.75" hidden="1" customHeight="1">
      <c r="A612" s="64"/>
      <c r="B612" s="29"/>
      <c r="C612" s="29"/>
      <c r="D612" s="29"/>
      <c r="E612" s="13" t="s">
        <v>362</v>
      </c>
      <c r="F612" s="13"/>
      <c r="G612" s="30">
        <v>0</v>
      </c>
      <c r="H612" s="2"/>
      <c r="K612" s="81"/>
    </row>
    <row r="613" spans="1:11" ht="15.75" hidden="1" customHeight="1">
      <c r="A613" s="64"/>
      <c r="B613" s="17">
        <v>45764</v>
      </c>
      <c r="C613" s="18">
        <v>0</v>
      </c>
      <c r="D613" s="18">
        <v>13105</v>
      </c>
      <c r="E613" s="89" t="s">
        <v>31</v>
      </c>
      <c r="F613" s="20">
        <v>41717</v>
      </c>
      <c r="G613" s="31">
        <v>1320</v>
      </c>
      <c r="H613" s="2"/>
      <c r="K613" s="81"/>
    </row>
    <row r="614" spans="1:11" ht="15.75" hidden="1" customHeight="1">
      <c r="A614" s="64"/>
      <c r="B614" s="23"/>
      <c r="C614" s="23"/>
      <c r="D614" s="23"/>
      <c r="E614" s="24" t="s">
        <v>347</v>
      </c>
      <c r="F614" s="24"/>
      <c r="G614" s="25">
        <v>0</v>
      </c>
      <c r="H614" s="2"/>
      <c r="K614" s="81"/>
    </row>
    <row r="615" spans="1:11" ht="15.75" hidden="1" customHeight="1">
      <c r="A615" s="64"/>
      <c r="B615" s="11">
        <v>45764</v>
      </c>
      <c r="C615" s="12">
        <v>0</v>
      </c>
      <c r="D615" s="12">
        <v>13105</v>
      </c>
      <c r="E615" s="90" t="s">
        <v>31</v>
      </c>
      <c r="F615" s="27">
        <v>41718</v>
      </c>
      <c r="G615" s="28">
        <v>1733.83</v>
      </c>
      <c r="H615" s="2"/>
      <c r="K615" s="81"/>
    </row>
    <row r="616" spans="1:11" ht="15.75" hidden="1" customHeight="1">
      <c r="A616" s="64"/>
      <c r="B616" s="29"/>
      <c r="C616" s="29"/>
      <c r="D616" s="29"/>
      <c r="E616" s="13" t="s">
        <v>122</v>
      </c>
      <c r="F616" s="13"/>
      <c r="G616" s="30">
        <v>0</v>
      </c>
      <c r="H616" s="2"/>
      <c r="K616" s="81"/>
    </row>
    <row r="617" spans="1:11" ht="15.75" hidden="1" customHeight="1">
      <c r="A617" s="64"/>
      <c r="B617" s="17">
        <v>45764</v>
      </c>
      <c r="C617" s="18">
        <v>0</v>
      </c>
      <c r="D617" s="18">
        <v>13105</v>
      </c>
      <c r="E617" s="89" t="s">
        <v>31</v>
      </c>
      <c r="F617" s="20">
        <v>41719</v>
      </c>
      <c r="G617" s="31">
        <v>1274.74</v>
      </c>
      <c r="H617" s="2"/>
      <c r="K617" s="81"/>
    </row>
    <row r="618" spans="1:11" ht="15.75" hidden="1" customHeight="1">
      <c r="A618" s="64"/>
      <c r="B618" s="23"/>
      <c r="C618" s="23"/>
      <c r="D618" s="23"/>
      <c r="E618" s="24" t="s">
        <v>438</v>
      </c>
      <c r="F618" s="24"/>
      <c r="G618" s="25">
        <v>0</v>
      </c>
      <c r="H618" s="2"/>
      <c r="K618" s="81"/>
    </row>
    <row r="619" spans="1:11" ht="15.75" hidden="1" customHeight="1">
      <c r="A619" s="64"/>
      <c r="B619" s="11">
        <v>45764</v>
      </c>
      <c r="C619" s="12">
        <v>0</v>
      </c>
      <c r="D619" s="12">
        <v>13105</v>
      </c>
      <c r="E619" s="90" t="s">
        <v>31</v>
      </c>
      <c r="F619" s="27">
        <v>41720</v>
      </c>
      <c r="G619" s="28">
        <v>4890</v>
      </c>
      <c r="H619" s="2"/>
      <c r="K619" s="81"/>
    </row>
    <row r="620" spans="1:11" ht="15.75" hidden="1" customHeight="1">
      <c r="A620" s="64"/>
      <c r="B620" s="29"/>
      <c r="C620" s="29"/>
      <c r="D620" s="29"/>
      <c r="E620" s="13" t="s">
        <v>32</v>
      </c>
      <c r="F620" s="13"/>
      <c r="G620" s="30">
        <v>0</v>
      </c>
      <c r="H620" s="2"/>
      <c r="K620" s="81"/>
    </row>
    <row r="621" spans="1:11" ht="15.75" hidden="1" customHeight="1">
      <c r="A621" s="64"/>
      <c r="B621" s="17">
        <v>45764</v>
      </c>
      <c r="C621" s="18">
        <v>0</v>
      </c>
      <c r="D621" s="18">
        <v>13105</v>
      </c>
      <c r="E621" s="89" t="s">
        <v>31</v>
      </c>
      <c r="F621" s="20">
        <v>41721</v>
      </c>
      <c r="G621" s="31">
        <v>1879.76</v>
      </c>
      <c r="H621" s="2"/>
      <c r="K621" s="81"/>
    </row>
    <row r="622" spans="1:11" ht="15.75" hidden="1" customHeight="1">
      <c r="A622" s="64"/>
      <c r="B622" s="23"/>
      <c r="C622" s="23"/>
      <c r="D622" s="23"/>
      <c r="E622" s="24" t="s">
        <v>65</v>
      </c>
      <c r="F622" s="24"/>
      <c r="G622" s="25">
        <v>0</v>
      </c>
      <c r="H622" s="2"/>
      <c r="K622" s="81"/>
    </row>
    <row r="623" spans="1:11" ht="15.75" hidden="1" customHeight="1">
      <c r="A623" s="64"/>
      <c r="B623" s="11">
        <v>45764</v>
      </c>
      <c r="C623" s="12">
        <v>0</v>
      </c>
      <c r="D623" s="12">
        <v>13105</v>
      </c>
      <c r="E623" s="90" t="s">
        <v>31</v>
      </c>
      <c r="F623" s="27">
        <v>41722</v>
      </c>
      <c r="G623" s="28">
        <v>4890</v>
      </c>
      <c r="H623" s="2"/>
      <c r="K623" s="81"/>
    </row>
    <row r="624" spans="1:11" ht="15.75" hidden="1" customHeight="1">
      <c r="A624" s="64"/>
      <c r="B624" s="29"/>
      <c r="C624" s="29"/>
      <c r="D624" s="29"/>
      <c r="E624" s="13" t="s">
        <v>66</v>
      </c>
      <c r="F624" s="13"/>
      <c r="G624" s="30">
        <v>0</v>
      </c>
      <c r="H624" s="2"/>
      <c r="K624" s="81"/>
    </row>
    <row r="625" spans="1:11" ht="15.75" hidden="1" customHeight="1">
      <c r="A625" s="64"/>
      <c r="B625" s="17">
        <v>45764</v>
      </c>
      <c r="C625" s="18">
        <v>0</v>
      </c>
      <c r="D625" s="18">
        <v>13105</v>
      </c>
      <c r="E625" s="89" t="s">
        <v>31</v>
      </c>
      <c r="F625" s="20">
        <v>41723</v>
      </c>
      <c r="G625" s="31">
        <v>3652.5</v>
      </c>
      <c r="H625" s="2"/>
      <c r="K625" s="81"/>
    </row>
    <row r="626" spans="1:11" ht="15.75" hidden="1" customHeight="1">
      <c r="A626" s="64"/>
      <c r="B626" s="23"/>
      <c r="C626" s="23"/>
      <c r="D626" s="23"/>
      <c r="E626" s="24" t="s">
        <v>32</v>
      </c>
      <c r="F626" s="24"/>
      <c r="G626" s="25">
        <v>0</v>
      </c>
      <c r="H626" s="2"/>
      <c r="K626" s="81"/>
    </row>
    <row r="627" spans="1:11" ht="15.75" hidden="1" customHeight="1">
      <c r="A627" s="64"/>
      <c r="B627" s="11">
        <v>45764</v>
      </c>
      <c r="C627" s="12">
        <v>0</v>
      </c>
      <c r="D627" s="12">
        <v>13105</v>
      </c>
      <c r="E627" s="90" t="s">
        <v>31</v>
      </c>
      <c r="F627" s="27">
        <v>41724</v>
      </c>
      <c r="G627" s="28">
        <v>1814.5</v>
      </c>
      <c r="H627" s="2"/>
      <c r="K627" s="81"/>
    </row>
    <row r="628" spans="1:11" ht="15.75" hidden="1" customHeight="1">
      <c r="A628" s="64"/>
      <c r="B628" s="29"/>
      <c r="C628" s="29"/>
      <c r="D628" s="29"/>
      <c r="E628" s="13" t="s">
        <v>66</v>
      </c>
      <c r="F628" s="13"/>
      <c r="G628" s="30">
        <v>0</v>
      </c>
      <c r="H628" s="2"/>
      <c r="K628" s="81"/>
    </row>
    <row r="629" spans="1:11" ht="15.75" hidden="1" customHeight="1">
      <c r="A629" s="64"/>
      <c r="B629" s="17">
        <v>45764</v>
      </c>
      <c r="C629" s="18">
        <v>0</v>
      </c>
      <c r="D629" s="18">
        <v>13105</v>
      </c>
      <c r="E629" s="89" t="s">
        <v>31</v>
      </c>
      <c r="F629" s="20">
        <v>41725</v>
      </c>
      <c r="G629" s="31">
        <v>1482.09</v>
      </c>
      <c r="H629" s="2"/>
      <c r="K629" s="81"/>
    </row>
    <row r="630" spans="1:11" ht="15.75" hidden="1" customHeight="1">
      <c r="A630" s="64"/>
      <c r="B630" s="23"/>
      <c r="C630" s="23"/>
      <c r="D630" s="23"/>
      <c r="E630" s="24" t="s">
        <v>66</v>
      </c>
      <c r="F630" s="24"/>
      <c r="G630" s="25">
        <v>0</v>
      </c>
      <c r="H630" s="2"/>
      <c r="K630" s="81"/>
    </row>
    <row r="631" spans="1:11" ht="15.75" hidden="1" customHeight="1">
      <c r="A631" s="64"/>
      <c r="B631" s="11">
        <v>45764</v>
      </c>
      <c r="C631" s="12">
        <v>0</v>
      </c>
      <c r="D631" s="12">
        <v>0</v>
      </c>
      <c r="E631" s="90" t="s">
        <v>59</v>
      </c>
      <c r="F631" s="27">
        <v>9903</v>
      </c>
      <c r="G631" s="28">
        <v>488.95</v>
      </c>
      <c r="H631" s="2"/>
      <c r="K631" s="81"/>
    </row>
    <row r="632" spans="1:11" ht="15.75" hidden="1" customHeight="1">
      <c r="A632" s="64"/>
      <c r="B632" s="29"/>
      <c r="C632" s="29"/>
      <c r="D632" s="29"/>
      <c r="E632" s="13" t="s">
        <v>53</v>
      </c>
      <c r="F632" s="13"/>
      <c r="G632" s="30">
        <v>0</v>
      </c>
      <c r="H632" s="2"/>
      <c r="K632" s="81"/>
    </row>
    <row r="633" spans="1:11" ht="15.75" hidden="1" customHeight="1">
      <c r="A633" s="64"/>
      <c r="B633" s="17">
        <v>45769</v>
      </c>
      <c r="C633" s="18">
        <v>5072</v>
      </c>
      <c r="D633" s="18">
        <v>99021</v>
      </c>
      <c r="E633" s="89" t="s">
        <v>27</v>
      </c>
      <c r="F633" s="20">
        <v>615072000004700</v>
      </c>
      <c r="G633" s="21">
        <v>195.91</v>
      </c>
      <c r="H633" s="2"/>
      <c r="K633" s="81"/>
    </row>
    <row r="634" spans="1:11" ht="15.75" hidden="1" customHeight="1">
      <c r="A634" s="64"/>
      <c r="B634" s="23"/>
      <c r="C634" s="23"/>
      <c r="D634" s="23"/>
      <c r="E634" s="24" t="s">
        <v>493</v>
      </c>
      <c r="F634" s="24"/>
      <c r="G634" s="25">
        <v>0</v>
      </c>
      <c r="H634" s="2"/>
      <c r="K634" s="81"/>
    </row>
    <row r="635" spans="1:11" ht="15.75" hidden="1" customHeight="1">
      <c r="A635" s="64"/>
      <c r="B635" s="11">
        <v>45769</v>
      </c>
      <c r="C635" s="12">
        <v>0</v>
      </c>
      <c r="D635" s="12">
        <v>14175</v>
      </c>
      <c r="E635" s="90" t="s">
        <v>62</v>
      </c>
      <c r="F635" s="27">
        <v>378381938</v>
      </c>
      <c r="G635" s="15">
        <v>18000</v>
      </c>
      <c r="H635" s="2"/>
      <c r="K635" s="81"/>
    </row>
    <row r="636" spans="1:11" ht="15.75" hidden="1" customHeight="1">
      <c r="A636" s="64"/>
      <c r="B636" s="29"/>
      <c r="C636" s="29"/>
      <c r="D636" s="29"/>
      <c r="E636" s="13" t="s">
        <v>97</v>
      </c>
      <c r="F636" s="13"/>
      <c r="G636" s="30">
        <v>0</v>
      </c>
      <c r="H636" s="2"/>
      <c r="K636" s="81"/>
    </row>
    <row r="637" spans="1:11" ht="15.75" hidden="1" customHeight="1">
      <c r="A637" s="64"/>
      <c r="B637" s="17">
        <v>45769</v>
      </c>
      <c r="C637" s="18">
        <v>0</v>
      </c>
      <c r="D637" s="18">
        <v>14397</v>
      </c>
      <c r="E637" s="89" t="s">
        <v>57</v>
      </c>
      <c r="F637" s="20">
        <v>221309506282462</v>
      </c>
      <c r="G637" s="21">
        <v>45</v>
      </c>
      <c r="H637" s="2"/>
      <c r="K637" s="81"/>
    </row>
    <row r="638" spans="1:11" ht="15.75" hidden="1" customHeight="1">
      <c r="A638" s="64"/>
      <c r="B638" s="23"/>
      <c r="C638" s="23"/>
      <c r="D638" s="23"/>
      <c r="E638" s="24" t="s">
        <v>494</v>
      </c>
      <c r="F638" s="24"/>
      <c r="G638" s="25">
        <v>0</v>
      </c>
      <c r="H638" s="2"/>
      <c r="K638" s="81"/>
    </row>
    <row r="639" spans="1:11" ht="15.75" hidden="1" customHeight="1">
      <c r="A639" s="64"/>
      <c r="B639" s="11">
        <v>45769</v>
      </c>
      <c r="C639" s="12">
        <v>0</v>
      </c>
      <c r="D639" s="12">
        <v>14397</v>
      </c>
      <c r="E639" s="90" t="s">
        <v>57</v>
      </c>
      <c r="F639" s="27">
        <v>453490362579421</v>
      </c>
      <c r="G639" s="15">
        <v>682.74</v>
      </c>
      <c r="H639" s="2"/>
      <c r="K639" s="81"/>
    </row>
    <row r="640" spans="1:11" ht="15.75" hidden="1" customHeight="1">
      <c r="A640" s="64"/>
      <c r="B640" s="29"/>
      <c r="C640" s="29"/>
      <c r="D640" s="29"/>
      <c r="E640" s="13" t="s">
        <v>495</v>
      </c>
      <c r="F640" s="13"/>
      <c r="G640" s="30">
        <v>0</v>
      </c>
      <c r="H640" s="2"/>
      <c r="K640" s="81"/>
    </row>
    <row r="641" spans="1:11" ht="15.75" hidden="1" customHeight="1">
      <c r="A641" s="64"/>
      <c r="B641" s="17">
        <v>45769</v>
      </c>
      <c r="C641" s="18">
        <v>1533</v>
      </c>
      <c r="D641" s="18">
        <v>99008</v>
      </c>
      <c r="E641" s="89" t="s">
        <v>29</v>
      </c>
      <c r="F641" s="20">
        <v>827090</v>
      </c>
      <c r="G641" s="31">
        <v>174.53</v>
      </c>
      <c r="H641" s="2"/>
      <c r="K641" s="81"/>
    </row>
    <row r="642" spans="1:11" ht="15.75" hidden="1" customHeight="1">
      <c r="A642" s="64"/>
      <c r="B642" s="23"/>
      <c r="C642" s="23"/>
      <c r="D642" s="23"/>
      <c r="E642" s="24" t="s">
        <v>496</v>
      </c>
      <c r="F642" s="24"/>
      <c r="G642" s="25">
        <v>0</v>
      </c>
      <c r="H642" s="2"/>
      <c r="K642" s="81"/>
    </row>
    <row r="643" spans="1:11" ht="15.75" hidden="1" customHeight="1">
      <c r="A643" s="64"/>
      <c r="B643" s="11">
        <v>45769</v>
      </c>
      <c r="C643" s="12">
        <v>1533</v>
      </c>
      <c r="D643" s="12">
        <v>99008</v>
      </c>
      <c r="E643" s="90" t="s">
        <v>29</v>
      </c>
      <c r="F643" s="27">
        <v>890428</v>
      </c>
      <c r="G643" s="28">
        <v>205.76</v>
      </c>
      <c r="H643" s="2"/>
      <c r="K643" s="81"/>
    </row>
    <row r="644" spans="1:11" ht="15.75" hidden="1" customHeight="1">
      <c r="A644" s="64"/>
      <c r="B644" s="29"/>
      <c r="C644" s="29"/>
      <c r="D644" s="29"/>
      <c r="E644" s="13" t="s">
        <v>497</v>
      </c>
      <c r="F644" s="13"/>
      <c r="G644" s="30">
        <v>0</v>
      </c>
      <c r="H644" s="2"/>
      <c r="K644" s="81"/>
    </row>
    <row r="645" spans="1:11" ht="15.75" hidden="1" customHeight="1">
      <c r="A645" s="64"/>
      <c r="B645" s="17">
        <v>45769</v>
      </c>
      <c r="C645" s="18">
        <v>0</v>
      </c>
      <c r="D645" s="18">
        <v>13105</v>
      </c>
      <c r="E645" s="89" t="s">
        <v>31</v>
      </c>
      <c r="F645" s="20">
        <v>42202</v>
      </c>
      <c r="G645" s="31">
        <v>189.9</v>
      </c>
      <c r="H645" s="2"/>
      <c r="K645" s="81"/>
    </row>
    <row r="646" spans="1:11" ht="15.75" hidden="1" customHeight="1">
      <c r="A646" s="64"/>
      <c r="B646" s="23"/>
      <c r="C646" s="23"/>
      <c r="D646" s="23"/>
      <c r="E646" s="24" t="s">
        <v>266</v>
      </c>
      <c r="F646" s="24"/>
      <c r="G646" s="25">
        <v>0</v>
      </c>
      <c r="H646" s="2"/>
      <c r="K646" s="81"/>
    </row>
    <row r="647" spans="1:11" ht="15.75" hidden="1" customHeight="1">
      <c r="A647" s="64"/>
      <c r="B647" s="11">
        <v>45769</v>
      </c>
      <c r="C647" s="12">
        <v>0</v>
      </c>
      <c r="D647" s="12">
        <v>13105</v>
      </c>
      <c r="E647" s="90" t="s">
        <v>34</v>
      </c>
      <c r="F647" s="27">
        <v>42203</v>
      </c>
      <c r="G647" s="28">
        <v>978.15</v>
      </c>
      <c r="H647" s="2"/>
      <c r="K647" s="81"/>
    </row>
    <row r="648" spans="1:11" ht="15.75" hidden="1" customHeight="1">
      <c r="A648" s="64"/>
      <c r="B648" s="29"/>
      <c r="C648" s="29"/>
      <c r="D648" s="29"/>
      <c r="E648" s="13" t="s">
        <v>207</v>
      </c>
      <c r="F648" s="13"/>
      <c r="G648" s="30">
        <v>0</v>
      </c>
      <c r="H648" s="2"/>
      <c r="K648" s="81"/>
    </row>
    <row r="649" spans="1:11" ht="15.75" hidden="1" customHeight="1">
      <c r="A649" s="64"/>
      <c r="B649" s="17">
        <v>45769</v>
      </c>
      <c r="C649" s="18">
        <v>0</v>
      </c>
      <c r="D649" s="18">
        <v>13105</v>
      </c>
      <c r="E649" s="89" t="s">
        <v>31</v>
      </c>
      <c r="F649" s="20">
        <v>42204</v>
      </c>
      <c r="G649" s="31">
        <v>2680</v>
      </c>
      <c r="H649" s="2"/>
      <c r="K649" s="81"/>
    </row>
    <row r="650" spans="1:11" ht="15.75" hidden="1" customHeight="1">
      <c r="A650" s="64"/>
      <c r="B650" s="23"/>
      <c r="C650" s="23"/>
      <c r="D650" s="23"/>
      <c r="E650" s="24" t="s">
        <v>66</v>
      </c>
      <c r="F650" s="24"/>
      <c r="G650" s="25">
        <v>0</v>
      </c>
      <c r="H650" s="2"/>
      <c r="K650" s="81"/>
    </row>
    <row r="651" spans="1:11" ht="15.75" hidden="1" customHeight="1">
      <c r="A651" s="64"/>
      <c r="B651" s="11">
        <v>45769</v>
      </c>
      <c r="C651" s="12">
        <v>0</v>
      </c>
      <c r="D651" s="12">
        <v>13105</v>
      </c>
      <c r="E651" s="90" t="s">
        <v>31</v>
      </c>
      <c r="F651" s="27">
        <v>42205</v>
      </c>
      <c r="G651" s="28">
        <v>1655.55</v>
      </c>
      <c r="H651" s="2"/>
      <c r="K651" s="81"/>
    </row>
    <row r="652" spans="1:11" ht="15.75" hidden="1" customHeight="1">
      <c r="A652" s="64"/>
      <c r="B652" s="29"/>
      <c r="C652" s="29"/>
      <c r="D652" s="29"/>
      <c r="E652" s="13" t="s">
        <v>65</v>
      </c>
      <c r="F652" s="13"/>
      <c r="G652" s="30">
        <v>0</v>
      </c>
      <c r="H652" s="2"/>
      <c r="K652" s="81"/>
    </row>
    <row r="653" spans="1:11" ht="15.75" hidden="1" customHeight="1">
      <c r="A653" s="64"/>
      <c r="B653" s="17">
        <v>45769</v>
      </c>
      <c r="C653" s="18">
        <v>0</v>
      </c>
      <c r="D653" s="18">
        <v>13105</v>
      </c>
      <c r="E653" s="89" t="s">
        <v>31</v>
      </c>
      <c r="F653" s="20">
        <v>42206</v>
      </c>
      <c r="G653" s="31">
        <v>3692.98</v>
      </c>
      <c r="H653" s="2"/>
      <c r="K653" s="81"/>
    </row>
    <row r="654" spans="1:11" ht="15.75" hidden="1" customHeight="1">
      <c r="A654" s="64"/>
      <c r="B654" s="23"/>
      <c r="C654" s="23"/>
      <c r="D654" s="23"/>
      <c r="E654" s="24" t="s">
        <v>139</v>
      </c>
      <c r="F654" s="24"/>
      <c r="G654" s="25">
        <v>0</v>
      </c>
      <c r="H654" s="2"/>
      <c r="K654" s="81"/>
    </row>
    <row r="655" spans="1:11" ht="15.75" hidden="1" customHeight="1">
      <c r="A655" s="64"/>
      <c r="B655" s="11">
        <v>45769</v>
      </c>
      <c r="C655" s="12">
        <v>0</v>
      </c>
      <c r="D655" s="12">
        <v>13105</v>
      </c>
      <c r="E655" s="90" t="s">
        <v>31</v>
      </c>
      <c r="F655" s="27">
        <v>42207</v>
      </c>
      <c r="G655" s="28">
        <v>684.21</v>
      </c>
      <c r="H655" s="2"/>
      <c r="K655" s="81"/>
    </row>
    <row r="656" spans="1:11" ht="15.75" hidden="1" customHeight="1">
      <c r="A656" s="64"/>
      <c r="B656" s="29"/>
      <c r="C656" s="29"/>
      <c r="D656" s="29"/>
      <c r="E656" s="13" t="s">
        <v>46</v>
      </c>
      <c r="F656" s="13"/>
      <c r="G656" s="30">
        <v>0</v>
      </c>
      <c r="H656" s="2"/>
      <c r="K656" s="81"/>
    </row>
    <row r="657" spans="1:11" ht="15.75" hidden="1" customHeight="1">
      <c r="A657" s="64"/>
      <c r="B657" s="17">
        <v>45769</v>
      </c>
      <c r="C657" s="18">
        <v>0</v>
      </c>
      <c r="D657" s="18">
        <v>13105</v>
      </c>
      <c r="E657" s="89" t="s">
        <v>31</v>
      </c>
      <c r="F657" s="20">
        <v>42208</v>
      </c>
      <c r="G657" s="31">
        <v>38.21</v>
      </c>
      <c r="H657" s="2"/>
      <c r="K657" s="81"/>
    </row>
    <row r="658" spans="1:11" ht="15.75" hidden="1" customHeight="1">
      <c r="A658" s="64"/>
      <c r="B658" s="23"/>
      <c r="C658" s="23"/>
      <c r="D658" s="23"/>
      <c r="E658" s="24" t="s">
        <v>46</v>
      </c>
      <c r="F658" s="24"/>
      <c r="G658" s="25">
        <v>0</v>
      </c>
      <c r="H658" s="2"/>
      <c r="K658" s="81"/>
    </row>
    <row r="659" spans="1:11" ht="15.75" hidden="1" customHeight="1">
      <c r="A659" s="64"/>
      <c r="B659" s="11">
        <v>45769</v>
      </c>
      <c r="C659" s="12">
        <v>0</v>
      </c>
      <c r="D659" s="12">
        <v>13105</v>
      </c>
      <c r="E659" s="90" t="s">
        <v>31</v>
      </c>
      <c r="F659" s="27">
        <v>42209</v>
      </c>
      <c r="G659" s="28">
        <v>435.11</v>
      </c>
      <c r="H659" s="2"/>
      <c r="K659" s="81"/>
    </row>
    <row r="660" spans="1:11" ht="15.75" hidden="1" customHeight="1">
      <c r="A660" s="64"/>
      <c r="B660" s="29"/>
      <c r="C660" s="29"/>
      <c r="D660" s="29"/>
      <c r="E660" s="13" t="s">
        <v>46</v>
      </c>
      <c r="F660" s="13"/>
      <c r="G660" s="30">
        <v>0</v>
      </c>
      <c r="H660" s="2"/>
      <c r="K660" s="81"/>
    </row>
    <row r="661" spans="1:11" ht="15.75" hidden="1" customHeight="1">
      <c r="A661" s="64"/>
      <c r="B661" s="17">
        <v>45769</v>
      </c>
      <c r="C661" s="18">
        <v>0</v>
      </c>
      <c r="D661" s="18">
        <v>13105</v>
      </c>
      <c r="E661" s="89" t="s">
        <v>31</v>
      </c>
      <c r="F661" s="20">
        <v>42210</v>
      </c>
      <c r="G661" s="31">
        <v>679.34</v>
      </c>
      <c r="H661" s="2"/>
      <c r="K661" s="81"/>
    </row>
    <row r="662" spans="1:11" ht="15.75" hidden="1" customHeight="1">
      <c r="A662" s="64"/>
      <c r="B662" s="23"/>
      <c r="C662" s="23"/>
      <c r="D662" s="23"/>
      <c r="E662" s="24" t="s">
        <v>498</v>
      </c>
      <c r="F662" s="24"/>
      <c r="G662" s="25">
        <v>0</v>
      </c>
      <c r="H662" s="2"/>
      <c r="K662" s="81"/>
    </row>
    <row r="663" spans="1:11" ht="15.75" hidden="1" customHeight="1">
      <c r="A663" s="64"/>
      <c r="B663" s="11">
        <v>45769</v>
      </c>
      <c r="C663" s="12">
        <v>0</v>
      </c>
      <c r="D663" s="12">
        <v>13105</v>
      </c>
      <c r="E663" s="90" t="s">
        <v>31</v>
      </c>
      <c r="F663" s="27">
        <v>42211</v>
      </c>
      <c r="G663" s="28">
        <v>159.80000000000001</v>
      </c>
      <c r="H663" s="2"/>
      <c r="K663" s="81"/>
    </row>
    <row r="664" spans="1:11" ht="15.75" hidden="1" customHeight="1">
      <c r="A664" s="64"/>
      <c r="B664" s="29"/>
      <c r="C664" s="29"/>
      <c r="D664" s="29"/>
      <c r="E664" s="13" t="s">
        <v>185</v>
      </c>
      <c r="F664" s="13"/>
      <c r="G664" s="30">
        <v>0</v>
      </c>
      <c r="H664" s="2"/>
      <c r="K664" s="81"/>
    </row>
    <row r="665" spans="1:11" ht="15.75" hidden="1" customHeight="1">
      <c r="A665" s="64"/>
      <c r="B665" s="17">
        <v>45769</v>
      </c>
      <c r="C665" s="18">
        <v>0</v>
      </c>
      <c r="D665" s="18">
        <v>13105</v>
      </c>
      <c r="E665" s="89" t="s">
        <v>31</v>
      </c>
      <c r="F665" s="20">
        <v>42212</v>
      </c>
      <c r="G665" s="31">
        <v>266.3</v>
      </c>
      <c r="H665" s="2"/>
      <c r="K665" s="81"/>
    </row>
    <row r="666" spans="1:11" ht="15.75" hidden="1" customHeight="1">
      <c r="A666" s="64"/>
      <c r="B666" s="23"/>
      <c r="C666" s="23"/>
      <c r="D666" s="23"/>
      <c r="E666" s="24" t="s">
        <v>340</v>
      </c>
      <c r="F666" s="24"/>
      <c r="G666" s="25">
        <v>0</v>
      </c>
      <c r="H666" s="2"/>
      <c r="K666" s="81"/>
    </row>
    <row r="667" spans="1:11" ht="15.75" hidden="1" customHeight="1">
      <c r="A667" s="64"/>
      <c r="B667" s="11">
        <v>45769</v>
      </c>
      <c r="C667" s="12">
        <v>0</v>
      </c>
      <c r="D667" s="12">
        <v>13105</v>
      </c>
      <c r="E667" s="90" t="s">
        <v>31</v>
      </c>
      <c r="F667" s="27">
        <v>42213</v>
      </c>
      <c r="G667" s="28">
        <v>849.6</v>
      </c>
      <c r="H667" s="2"/>
      <c r="K667" s="81"/>
    </row>
    <row r="668" spans="1:11" ht="15.75" hidden="1" customHeight="1">
      <c r="A668" s="64"/>
      <c r="B668" s="29"/>
      <c r="C668" s="29"/>
      <c r="D668" s="29"/>
      <c r="E668" s="13" t="s">
        <v>396</v>
      </c>
      <c r="F668" s="13"/>
      <c r="G668" s="30">
        <v>0</v>
      </c>
      <c r="H668" s="2"/>
      <c r="K668" s="81"/>
    </row>
    <row r="669" spans="1:11" ht="15.75" hidden="1" customHeight="1">
      <c r="A669" s="64"/>
      <c r="B669" s="17">
        <v>45769</v>
      </c>
      <c r="C669" s="18">
        <v>0</v>
      </c>
      <c r="D669" s="18">
        <v>13105</v>
      </c>
      <c r="E669" s="89" t="s">
        <v>31</v>
      </c>
      <c r="F669" s="20">
        <v>42214</v>
      </c>
      <c r="G669" s="31">
        <v>771</v>
      </c>
      <c r="H669" s="2"/>
      <c r="K669" s="81"/>
    </row>
    <row r="670" spans="1:11" ht="15.75" hidden="1" customHeight="1">
      <c r="A670" s="64"/>
      <c r="B670" s="23"/>
      <c r="C670" s="23"/>
      <c r="D670" s="23"/>
      <c r="E670" s="24" t="s">
        <v>200</v>
      </c>
      <c r="F670" s="24"/>
      <c r="G670" s="25">
        <v>0</v>
      </c>
      <c r="H670" s="2"/>
      <c r="K670" s="81"/>
    </row>
    <row r="671" spans="1:11" ht="15.75" hidden="1" customHeight="1">
      <c r="A671" s="64"/>
      <c r="B671" s="11">
        <v>45769</v>
      </c>
      <c r="C671" s="12">
        <v>0</v>
      </c>
      <c r="D671" s="12">
        <v>13105</v>
      </c>
      <c r="E671" s="90" t="s">
        <v>31</v>
      </c>
      <c r="F671" s="27">
        <v>42215</v>
      </c>
      <c r="G671" s="28">
        <v>390.66</v>
      </c>
      <c r="H671" s="2"/>
      <c r="K671" s="81"/>
    </row>
    <row r="672" spans="1:11" ht="15.75" hidden="1" customHeight="1">
      <c r="A672" s="64"/>
      <c r="B672" s="29"/>
      <c r="C672" s="29"/>
      <c r="D672" s="29"/>
      <c r="E672" s="13" t="s">
        <v>231</v>
      </c>
      <c r="F672" s="13"/>
      <c r="G672" s="30">
        <v>0</v>
      </c>
      <c r="H672" s="2"/>
      <c r="K672" s="81"/>
    </row>
    <row r="673" spans="1:11" ht="15.75" hidden="1" customHeight="1">
      <c r="A673" s="64"/>
      <c r="B673" s="17">
        <v>45769</v>
      </c>
      <c r="C673" s="18">
        <v>0</v>
      </c>
      <c r="D673" s="18">
        <v>13105</v>
      </c>
      <c r="E673" s="89" t="s">
        <v>31</v>
      </c>
      <c r="F673" s="20">
        <v>42216</v>
      </c>
      <c r="G673" s="31">
        <v>105.26</v>
      </c>
      <c r="H673" s="2"/>
      <c r="K673" s="81"/>
    </row>
    <row r="674" spans="1:11" ht="15.75" hidden="1" customHeight="1">
      <c r="A674" s="64"/>
      <c r="B674" s="23"/>
      <c r="C674" s="23"/>
      <c r="D674" s="23"/>
      <c r="E674" s="24" t="s">
        <v>125</v>
      </c>
      <c r="F674" s="24"/>
      <c r="G674" s="25">
        <v>0</v>
      </c>
      <c r="H674" s="2"/>
      <c r="K674" s="81"/>
    </row>
    <row r="675" spans="1:11" ht="15.75" hidden="1" customHeight="1">
      <c r="A675" s="64"/>
      <c r="B675" s="11">
        <v>45769</v>
      </c>
      <c r="C675" s="12">
        <v>0</v>
      </c>
      <c r="D675" s="12">
        <v>13105</v>
      </c>
      <c r="E675" s="90" t="s">
        <v>31</v>
      </c>
      <c r="F675" s="27">
        <v>42217</v>
      </c>
      <c r="G675" s="28">
        <v>113.24</v>
      </c>
      <c r="H675" s="2"/>
      <c r="K675" s="81"/>
    </row>
    <row r="676" spans="1:11" ht="15.75" hidden="1" customHeight="1">
      <c r="A676" s="64"/>
      <c r="B676" s="29"/>
      <c r="C676" s="29"/>
      <c r="D676" s="29"/>
      <c r="E676" s="13" t="s">
        <v>126</v>
      </c>
      <c r="F676" s="13"/>
      <c r="G676" s="30">
        <v>0</v>
      </c>
      <c r="H676" s="2"/>
      <c r="K676" s="81"/>
    </row>
    <row r="677" spans="1:11" ht="15.75" hidden="1" customHeight="1">
      <c r="A677" s="64"/>
      <c r="B677" s="17">
        <v>45769</v>
      </c>
      <c r="C677" s="18">
        <v>0</v>
      </c>
      <c r="D677" s="18">
        <v>13105</v>
      </c>
      <c r="E677" s="89" t="s">
        <v>80</v>
      </c>
      <c r="F677" s="20">
        <v>42218</v>
      </c>
      <c r="G677" s="31">
        <v>7006.79</v>
      </c>
      <c r="H677" s="2"/>
      <c r="K677" s="81"/>
    </row>
    <row r="678" spans="1:11" ht="15.75" hidden="1" customHeight="1">
      <c r="A678" s="64"/>
      <c r="B678" s="23"/>
      <c r="C678" s="23"/>
      <c r="D678" s="23"/>
      <c r="E678" s="24" t="s">
        <v>154</v>
      </c>
      <c r="F678" s="24"/>
      <c r="G678" s="25">
        <v>0</v>
      </c>
      <c r="H678" s="2"/>
      <c r="K678" s="81"/>
    </row>
    <row r="679" spans="1:11" ht="15.75" hidden="1" customHeight="1">
      <c r="A679" s="64"/>
      <c r="B679" s="11">
        <v>45769</v>
      </c>
      <c r="C679" s="12">
        <v>0</v>
      </c>
      <c r="D679" s="12">
        <v>13105</v>
      </c>
      <c r="E679" s="90" t="s">
        <v>118</v>
      </c>
      <c r="F679" s="27">
        <v>42219</v>
      </c>
      <c r="G679" s="28">
        <v>364.3</v>
      </c>
      <c r="H679" s="2"/>
      <c r="K679" s="81"/>
    </row>
    <row r="680" spans="1:11" ht="15.75" hidden="1" customHeight="1">
      <c r="A680" s="64"/>
      <c r="B680" s="29"/>
      <c r="C680" s="29"/>
      <c r="D680" s="29"/>
      <c r="E680" s="13" t="s">
        <v>499</v>
      </c>
      <c r="F680" s="13"/>
      <c r="G680" s="30">
        <v>0</v>
      </c>
      <c r="H680" s="2"/>
      <c r="K680" s="81"/>
    </row>
    <row r="681" spans="1:11" ht="15.75" hidden="1" customHeight="1">
      <c r="A681" s="64"/>
      <c r="B681" s="17">
        <v>45769</v>
      </c>
      <c r="C681" s="18">
        <v>0</v>
      </c>
      <c r="D681" s="18">
        <v>0</v>
      </c>
      <c r="E681" s="89" t="s">
        <v>52</v>
      </c>
      <c r="F681" s="20">
        <v>9903</v>
      </c>
      <c r="G681" s="21">
        <v>2517.04</v>
      </c>
      <c r="H681" s="2"/>
      <c r="K681" s="81"/>
    </row>
    <row r="682" spans="1:11" ht="15.75" hidden="1" customHeight="1">
      <c r="A682" s="64"/>
      <c r="B682" s="23"/>
      <c r="C682" s="23"/>
      <c r="D682" s="23"/>
      <c r="E682" s="24" t="s">
        <v>53</v>
      </c>
      <c r="F682" s="24"/>
      <c r="G682" s="25">
        <v>0</v>
      </c>
      <c r="H682" s="2"/>
      <c r="K682" s="81"/>
    </row>
    <row r="683" spans="1:11" ht="15.75" hidden="1" customHeight="1">
      <c r="A683" s="64"/>
      <c r="B683" s="11">
        <v>45770</v>
      </c>
      <c r="C683" s="12">
        <v>0</v>
      </c>
      <c r="D683" s="12">
        <v>14175</v>
      </c>
      <c r="E683" s="90" t="s">
        <v>62</v>
      </c>
      <c r="F683" s="27">
        <v>378508374</v>
      </c>
      <c r="G683" s="15">
        <v>6000</v>
      </c>
      <c r="H683" s="2"/>
      <c r="K683" s="81"/>
    </row>
    <row r="684" spans="1:11" ht="15.75" hidden="1" customHeight="1">
      <c r="A684" s="64"/>
      <c r="B684" s="29"/>
      <c r="C684" s="29"/>
      <c r="D684" s="29"/>
      <c r="E684" s="13" t="s">
        <v>97</v>
      </c>
      <c r="F684" s="13"/>
      <c r="G684" s="30">
        <v>0</v>
      </c>
      <c r="H684" s="2"/>
      <c r="K684" s="81"/>
    </row>
    <row r="685" spans="1:11" ht="15.75" hidden="1" customHeight="1">
      <c r="A685" s="64"/>
      <c r="B685" s="17">
        <v>45770</v>
      </c>
      <c r="C685" s="18">
        <v>0</v>
      </c>
      <c r="D685" s="18">
        <v>14397</v>
      </c>
      <c r="E685" s="89" t="s">
        <v>57</v>
      </c>
      <c r="F685" s="20">
        <v>454062034683981</v>
      </c>
      <c r="G685" s="21">
        <v>1115</v>
      </c>
      <c r="H685" s="2"/>
      <c r="K685" s="81"/>
    </row>
    <row r="686" spans="1:11" ht="15.75" hidden="1" customHeight="1">
      <c r="A686" s="64"/>
      <c r="B686" s="23"/>
      <c r="C686" s="23"/>
      <c r="D686" s="23"/>
      <c r="E686" s="24" t="s">
        <v>500</v>
      </c>
      <c r="F686" s="24"/>
      <c r="G686" s="25">
        <v>0</v>
      </c>
      <c r="H686" s="2"/>
      <c r="K686" s="81"/>
    </row>
    <row r="687" spans="1:11" ht="15.75" hidden="1" customHeight="1">
      <c r="A687" s="64"/>
      <c r="B687" s="11">
        <v>45770</v>
      </c>
      <c r="C687" s="12">
        <v>0</v>
      </c>
      <c r="D687" s="12">
        <v>14397</v>
      </c>
      <c r="E687" s="90" t="s">
        <v>57</v>
      </c>
      <c r="F687" s="27">
        <v>454169679856211</v>
      </c>
      <c r="G687" s="15">
        <v>115.75</v>
      </c>
      <c r="H687" s="2"/>
      <c r="K687" s="81"/>
    </row>
    <row r="688" spans="1:11" ht="15.75" hidden="1" customHeight="1">
      <c r="A688" s="64"/>
      <c r="B688" s="29"/>
      <c r="C688" s="29"/>
      <c r="D688" s="29"/>
      <c r="E688" s="13" t="s">
        <v>501</v>
      </c>
      <c r="F688" s="13"/>
      <c r="G688" s="30">
        <v>0</v>
      </c>
      <c r="H688" s="2"/>
      <c r="K688" s="81"/>
    </row>
    <row r="689" spans="1:11" ht="15.75" hidden="1" customHeight="1">
      <c r="A689" s="64"/>
      <c r="B689" s="17">
        <v>45770</v>
      </c>
      <c r="C689" s="18">
        <v>0</v>
      </c>
      <c r="D689" s="18">
        <v>13105</v>
      </c>
      <c r="E689" s="89" t="s">
        <v>31</v>
      </c>
      <c r="F689" s="20">
        <v>42301</v>
      </c>
      <c r="G689" s="31">
        <v>5956.99</v>
      </c>
      <c r="H689" s="2"/>
      <c r="K689" s="81"/>
    </row>
    <row r="690" spans="1:11" ht="15.75" hidden="1" customHeight="1">
      <c r="A690" s="64"/>
      <c r="B690" s="23"/>
      <c r="C690" s="23"/>
      <c r="D690" s="23"/>
      <c r="E690" s="24" t="s">
        <v>95</v>
      </c>
      <c r="F690" s="24"/>
      <c r="G690" s="25">
        <v>0</v>
      </c>
      <c r="H690" s="2"/>
      <c r="K690" s="81"/>
    </row>
    <row r="691" spans="1:11" ht="15.75" hidden="1" customHeight="1">
      <c r="A691" s="64"/>
      <c r="B691" s="11">
        <v>45770</v>
      </c>
      <c r="C691" s="12">
        <v>0</v>
      </c>
      <c r="D691" s="12">
        <v>13105</v>
      </c>
      <c r="E691" s="90" t="s">
        <v>31</v>
      </c>
      <c r="F691" s="27">
        <v>42302</v>
      </c>
      <c r="G691" s="28">
        <v>376.19</v>
      </c>
      <c r="H691" s="2"/>
      <c r="K691" s="81"/>
    </row>
    <row r="692" spans="1:11" ht="15.75" hidden="1" customHeight="1">
      <c r="A692" s="64"/>
      <c r="B692" s="29"/>
      <c r="C692" s="29"/>
      <c r="D692" s="29"/>
      <c r="E692" s="13" t="s">
        <v>45</v>
      </c>
      <c r="F692" s="13"/>
      <c r="G692" s="30">
        <v>0</v>
      </c>
      <c r="H692" s="2"/>
      <c r="K692" s="81"/>
    </row>
    <row r="693" spans="1:11" ht="15.75" hidden="1" customHeight="1">
      <c r="A693" s="64"/>
      <c r="B693" s="17">
        <v>45770</v>
      </c>
      <c r="C693" s="18">
        <v>0</v>
      </c>
      <c r="D693" s="18">
        <v>13105</v>
      </c>
      <c r="E693" s="89" t="s">
        <v>31</v>
      </c>
      <c r="F693" s="20">
        <v>42303</v>
      </c>
      <c r="G693" s="31">
        <v>436.5</v>
      </c>
      <c r="H693" s="2"/>
      <c r="K693" s="81"/>
    </row>
    <row r="694" spans="1:11" ht="15.75" hidden="1" customHeight="1">
      <c r="A694" s="64"/>
      <c r="B694" s="23"/>
      <c r="C694" s="23"/>
      <c r="D694" s="23"/>
      <c r="E694" s="24" t="s">
        <v>45</v>
      </c>
      <c r="F694" s="24"/>
      <c r="G694" s="25">
        <v>0</v>
      </c>
      <c r="H694" s="2"/>
      <c r="K694" s="81"/>
    </row>
    <row r="695" spans="1:11" ht="15.75" hidden="1" customHeight="1">
      <c r="A695" s="64"/>
      <c r="B695" s="11">
        <v>45770</v>
      </c>
      <c r="C695" s="12">
        <v>0</v>
      </c>
      <c r="D695" s="12">
        <v>13105</v>
      </c>
      <c r="E695" s="90" t="s">
        <v>31</v>
      </c>
      <c r="F695" s="27">
        <v>42304</v>
      </c>
      <c r="G695" s="28">
        <v>544.39</v>
      </c>
      <c r="H695" s="2"/>
      <c r="K695" s="81"/>
    </row>
    <row r="696" spans="1:11" ht="15.75" hidden="1" customHeight="1">
      <c r="A696" s="64"/>
      <c r="B696" s="29"/>
      <c r="C696" s="29"/>
      <c r="D696" s="29"/>
      <c r="E696" s="13" t="s">
        <v>78</v>
      </c>
      <c r="F696" s="13"/>
      <c r="G696" s="30">
        <v>0</v>
      </c>
      <c r="H696" s="2"/>
      <c r="K696" s="81"/>
    </row>
    <row r="697" spans="1:11" ht="15.75" hidden="1" customHeight="1">
      <c r="A697" s="64"/>
      <c r="B697" s="17">
        <v>45770</v>
      </c>
      <c r="C697" s="18">
        <v>0</v>
      </c>
      <c r="D697" s="18">
        <v>13105</v>
      </c>
      <c r="E697" s="89" t="s">
        <v>31</v>
      </c>
      <c r="F697" s="20">
        <v>42305</v>
      </c>
      <c r="G697" s="31">
        <v>177.08</v>
      </c>
      <c r="H697" s="2"/>
      <c r="K697" s="81"/>
    </row>
    <row r="698" spans="1:11" ht="15.75" hidden="1" customHeight="1">
      <c r="A698" s="64"/>
      <c r="B698" s="23"/>
      <c r="C698" s="23"/>
      <c r="D698" s="23"/>
      <c r="E698" s="24" t="s">
        <v>111</v>
      </c>
      <c r="F698" s="24"/>
      <c r="G698" s="25">
        <v>0</v>
      </c>
      <c r="H698" s="2"/>
      <c r="K698" s="81"/>
    </row>
    <row r="699" spans="1:11" ht="15.75" hidden="1" customHeight="1">
      <c r="A699" s="64"/>
      <c r="B699" s="11">
        <v>45770</v>
      </c>
      <c r="C699" s="12">
        <v>0</v>
      </c>
      <c r="D699" s="12">
        <v>0</v>
      </c>
      <c r="E699" s="90" t="s">
        <v>52</v>
      </c>
      <c r="F699" s="27">
        <v>9903</v>
      </c>
      <c r="G699" s="15">
        <v>260.39999999999998</v>
      </c>
      <c r="H699" s="2"/>
      <c r="K699" s="81"/>
    </row>
    <row r="700" spans="1:11" ht="15.75" hidden="1" customHeight="1">
      <c r="A700" s="64"/>
      <c r="B700" s="29"/>
      <c r="C700" s="29"/>
      <c r="D700" s="29"/>
      <c r="E700" s="13" t="s">
        <v>53</v>
      </c>
      <c r="F700" s="13"/>
      <c r="G700" s="30">
        <v>0</v>
      </c>
      <c r="H700" s="2"/>
      <c r="K700" s="81"/>
    </row>
    <row r="701" spans="1:11" ht="15.75" customHeight="1">
      <c r="A701" s="33" t="s">
        <v>140</v>
      </c>
      <c r="B701" s="41">
        <v>45771</v>
      </c>
      <c r="C701" s="42">
        <v>0</v>
      </c>
      <c r="D701" s="42">
        <v>14138</v>
      </c>
      <c r="E701" s="92" t="s">
        <v>141</v>
      </c>
      <c r="F701" s="74">
        <v>202504230013284</v>
      </c>
      <c r="G701" s="75">
        <v>1668.08</v>
      </c>
      <c r="H701" s="2">
        <v>3302</v>
      </c>
      <c r="I701" s="64" t="s">
        <v>489</v>
      </c>
      <c r="K701" s="81"/>
    </row>
    <row r="702" spans="1:11" ht="15.75" hidden="1" customHeight="1">
      <c r="A702" s="64"/>
      <c r="B702" s="23"/>
      <c r="C702" s="23"/>
      <c r="D702" s="23"/>
      <c r="E702" s="24" t="s">
        <v>143</v>
      </c>
      <c r="F702" s="24"/>
      <c r="G702" s="25">
        <v>0</v>
      </c>
      <c r="H702" s="2"/>
      <c r="K702" s="81"/>
    </row>
    <row r="703" spans="1:11" ht="15.75" customHeight="1">
      <c r="A703" s="33" t="s">
        <v>140</v>
      </c>
      <c r="B703" s="34">
        <v>45771</v>
      </c>
      <c r="C703" s="35">
        <v>0</v>
      </c>
      <c r="D703" s="35">
        <v>14138</v>
      </c>
      <c r="E703" s="91" t="s">
        <v>141</v>
      </c>
      <c r="F703" s="69">
        <v>202504230013288</v>
      </c>
      <c r="G703" s="70">
        <v>1668.08</v>
      </c>
      <c r="H703" s="2">
        <v>3380</v>
      </c>
      <c r="I703" s="64" t="s">
        <v>428</v>
      </c>
      <c r="K703" s="81"/>
    </row>
    <row r="704" spans="1:11" ht="15.75" hidden="1" customHeight="1">
      <c r="A704" s="64"/>
      <c r="B704" s="29"/>
      <c r="C704" s="29"/>
      <c r="D704" s="29"/>
      <c r="E704" s="13" t="s">
        <v>143</v>
      </c>
      <c r="F704" s="13"/>
      <c r="G704" s="30">
        <v>0</v>
      </c>
      <c r="H704" s="2"/>
      <c r="K704" s="81"/>
    </row>
    <row r="705" spans="1:11" ht="15.75" customHeight="1">
      <c r="A705" s="33" t="s">
        <v>140</v>
      </c>
      <c r="B705" s="41">
        <v>45771</v>
      </c>
      <c r="C705" s="42">
        <v>0</v>
      </c>
      <c r="D705" s="42">
        <v>14138</v>
      </c>
      <c r="E705" s="92" t="s">
        <v>141</v>
      </c>
      <c r="F705" s="74">
        <v>202504230013290</v>
      </c>
      <c r="G705" s="75">
        <v>5501.38</v>
      </c>
      <c r="H705" s="2">
        <v>3355</v>
      </c>
      <c r="I705" s="64" t="s">
        <v>428</v>
      </c>
      <c r="K705" s="81"/>
    </row>
    <row r="706" spans="1:11" ht="15.75" hidden="1" customHeight="1">
      <c r="A706" s="64"/>
      <c r="B706" s="23"/>
      <c r="C706" s="23"/>
      <c r="D706" s="23"/>
      <c r="E706" s="24" t="s">
        <v>143</v>
      </c>
      <c r="F706" s="24"/>
      <c r="G706" s="25">
        <v>0</v>
      </c>
      <c r="H706" s="2"/>
      <c r="K706" s="81"/>
    </row>
    <row r="707" spans="1:11" ht="15.75" customHeight="1">
      <c r="A707" s="33" t="s">
        <v>140</v>
      </c>
      <c r="B707" s="34">
        <v>45771</v>
      </c>
      <c r="C707" s="35">
        <v>0</v>
      </c>
      <c r="D707" s="35">
        <v>14138</v>
      </c>
      <c r="E707" s="91" t="s">
        <v>141</v>
      </c>
      <c r="F707" s="69">
        <v>202504230013292</v>
      </c>
      <c r="G707" s="70">
        <v>4349.37</v>
      </c>
      <c r="H707" s="2">
        <v>3454</v>
      </c>
      <c r="I707" s="64" t="s">
        <v>428</v>
      </c>
      <c r="K707" s="81"/>
    </row>
    <row r="708" spans="1:11" ht="15.75" hidden="1" customHeight="1">
      <c r="A708" s="64"/>
      <c r="B708" s="29"/>
      <c r="C708" s="29"/>
      <c r="D708" s="29"/>
      <c r="E708" s="13" t="s">
        <v>143</v>
      </c>
      <c r="F708" s="13"/>
      <c r="G708" s="30">
        <v>0</v>
      </c>
      <c r="H708" s="2"/>
      <c r="K708" s="81"/>
    </row>
    <row r="709" spans="1:11" ht="15.75" customHeight="1">
      <c r="A709" s="33" t="s">
        <v>140</v>
      </c>
      <c r="B709" s="41">
        <v>45771</v>
      </c>
      <c r="C709" s="42">
        <v>0</v>
      </c>
      <c r="D709" s="42">
        <v>14138</v>
      </c>
      <c r="E709" s="92" t="s">
        <v>141</v>
      </c>
      <c r="F709" s="74">
        <v>202504230013300</v>
      </c>
      <c r="G709" s="75">
        <v>1668.08</v>
      </c>
      <c r="H709" s="2">
        <v>3245</v>
      </c>
      <c r="I709" s="64" t="s">
        <v>428</v>
      </c>
      <c r="K709" s="81"/>
    </row>
    <row r="710" spans="1:11" ht="15.75" hidden="1" customHeight="1">
      <c r="A710" s="64"/>
      <c r="B710" s="23"/>
      <c r="C710" s="23"/>
      <c r="D710" s="23"/>
      <c r="E710" s="24" t="s">
        <v>143</v>
      </c>
      <c r="F710" s="24"/>
      <c r="G710" s="25">
        <v>0</v>
      </c>
      <c r="H710" s="2"/>
      <c r="K710" s="81"/>
    </row>
    <row r="711" spans="1:11" ht="15.75" customHeight="1">
      <c r="A711" s="33" t="s">
        <v>140</v>
      </c>
      <c r="B711" s="34">
        <v>45771</v>
      </c>
      <c r="C711" s="35">
        <v>0</v>
      </c>
      <c r="D711" s="35">
        <v>14138</v>
      </c>
      <c r="E711" s="91" t="s">
        <v>141</v>
      </c>
      <c r="F711" s="69">
        <v>202504230013302</v>
      </c>
      <c r="G711" s="70">
        <v>1451.96</v>
      </c>
      <c r="H711" s="2">
        <v>3276</v>
      </c>
      <c r="I711" s="64" t="s">
        <v>428</v>
      </c>
      <c r="K711" s="81"/>
    </row>
    <row r="712" spans="1:11" ht="15.75" hidden="1" customHeight="1">
      <c r="A712" s="64"/>
      <c r="B712" s="29"/>
      <c r="C712" s="29"/>
      <c r="D712" s="29"/>
      <c r="E712" s="13" t="s">
        <v>143</v>
      </c>
      <c r="F712" s="13"/>
      <c r="G712" s="30">
        <v>0</v>
      </c>
      <c r="H712" s="2"/>
      <c r="K712" s="81"/>
    </row>
    <row r="713" spans="1:11" ht="15.75" hidden="1" customHeight="1">
      <c r="A713" s="64"/>
      <c r="B713" s="17">
        <v>45771</v>
      </c>
      <c r="C713" s="18">
        <v>0</v>
      </c>
      <c r="D713" s="18">
        <v>14397</v>
      </c>
      <c r="E713" s="89" t="s">
        <v>57</v>
      </c>
      <c r="F713" s="20">
        <v>240837559389342</v>
      </c>
      <c r="G713" s="21">
        <v>3778.1</v>
      </c>
      <c r="H713" s="2"/>
      <c r="K713" s="81"/>
    </row>
    <row r="714" spans="1:11" ht="15.75" hidden="1" customHeight="1">
      <c r="A714" s="64"/>
      <c r="B714" s="23"/>
      <c r="C714" s="23"/>
      <c r="D714" s="23"/>
      <c r="E714" s="24" t="s">
        <v>502</v>
      </c>
      <c r="F714" s="24"/>
      <c r="G714" s="25">
        <v>0</v>
      </c>
      <c r="H714" s="2"/>
      <c r="K714" s="81"/>
    </row>
    <row r="715" spans="1:11" ht="15.75" hidden="1" customHeight="1">
      <c r="A715" s="64"/>
      <c r="B715" s="11">
        <v>45771</v>
      </c>
      <c r="C715" s="12">
        <v>0</v>
      </c>
      <c r="D715" s="12">
        <v>14397</v>
      </c>
      <c r="E715" s="90" t="s">
        <v>57</v>
      </c>
      <c r="F715" s="27">
        <v>241135469531872</v>
      </c>
      <c r="G715" s="15">
        <v>150</v>
      </c>
      <c r="H715" s="2"/>
      <c r="K715" s="81"/>
    </row>
    <row r="716" spans="1:11" ht="15.75" hidden="1" customHeight="1">
      <c r="A716" s="64"/>
      <c r="B716" s="29"/>
      <c r="C716" s="29"/>
      <c r="D716" s="29"/>
      <c r="E716" s="13" t="s">
        <v>503</v>
      </c>
      <c r="F716" s="13"/>
      <c r="G716" s="30">
        <v>0</v>
      </c>
      <c r="H716" s="2"/>
      <c r="K716" s="81"/>
    </row>
    <row r="717" spans="1:11" ht="27" hidden="1" customHeight="1">
      <c r="A717" s="64"/>
      <c r="B717" s="17">
        <v>45771</v>
      </c>
      <c r="C717" s="18">
        <v>0</v>
      </c>
      <c r="D717" s="18">
        <v>14397</v>
      </c>
      <c r="E717" s="89" t="s">
        <v>57</v>
      </c>
      <c r="F717" s="20">
        <v>241343327688732</v>
      </c>
      <c r="G717" s="21">
        <v>19.25</v>
      </c>
      <c r="H717" s="2"/>
      <c r="K717" s="81"/>
    </row>
    <row r="718" spans="1:11" ht="15" hidden="1" customHeight="1">
      <c r="A718" s="64"/>
      <c r="B718" s="23"/>
      <c r="C718" s="23"/>
      <c r="D718" s="23"/>
      <c r="E718" s="24" t="s">
        <v>504</v>
      </c>
      <c r="F718" s="24"/>
      <c r="G718" s="25">
        <v>0</v>
      </c>
      <c r="H718" s="2"/>
      <c r="K718" s="81"/>
    </row>
    <row r="719" spans="1:11" ht="19.5" hidden="1" customHeight="1">
      <c r="A719" s="64"/>
      <c r="B719" s="11">
        <v>45771</v>
      </c>
      <c r="C719" s="12">
        <v>0</v>
      </c>
      <c r="D719" s="12">
        <v>14397</v>
      </c>
      <c r="E719" s="90" t="s">
        <v>57</v>
      </c>
      <c r="F719" s="27">
        <v>455102181408401</v>
      </c>
      <c r="G719" s="15">
        <v>174.69</v>
      </c>
      <c r="H719" s="2"/>
      <c r="K719" s="81"/>
    </row>
    <row r="720" spans="1:11" ht="15.75" hidden="1" customHeight="1">
      <c r="A720" s="64"/>
      <c r="B720" s="29"/>
      <c r="C720" s="29"/>
      <c r="D720" s="29"/>
      <c r="E720" s="13" t="s">
        <v>505</v>
      </c>
      <c r="F720" s="13"/>
      <c r="G720" s="30">
        <v>0</v>
      </c>
      <c r="H720" s="2"/>
      <c r="K720" s="81"/>
    </row>
    <row r="721" spans="1:11" ht="15.75" hidden="1" customHeight="1">
      <c r="A721" s="64"/>
      <c r="B721" s="17">
        <v>45771</v>
      </c>
      <c r="C721" s="18">
        <v>1533</v>
      </c>
      <c r="D721" s="18">
        <v>99008</v>
      </c>
      <c r="E721" s="89" t="s">
        <v>29</v>
      </c>
      <c r="F721" s="20">
        <v>618156</v>
      </c>
      <c r="G721" s="31">
        <v>185.31</v>
      </c>
      <c r="H721" s="2"/>
      <c r="K721" s="81"/>
    </row>
    <row r="722" spans="1:11" ht="15.75" hidden="1" customHeight="1">
      <c r="A722" s="64"/>
      <c r="B722" s="23"/>
      <c r="C722" s="23"/>
      <c r="D722" s="23"/>
      <c r="E722" s="24" t="s">
        <v>506</v>
      </c>
      <c r="F722" s="24"/>
      <c r="G722" s="25">
        <v>0</v>
      </c>
      <c r="H722" s="2"/>
      <c r="K722" s="81"/>
    </row>
    <row r="723" spans="1:11" ht="15.75" hidden="1" customHeight="1">
      <c r="A723" s="64"/>
      <c r="B723" s="11">
        <v>45771</v>
      </c>
      <c r="C723" s="12">
        <v>0</v>
      </c>
      <c r="D723" s="12">
        <v>13105</v>
      </c>
      <c r="E723" s="90" t="s">
        <v>31</v>
      </c>
      <c r="F723" s="27">
        <v>42401</v>
      </c>
      <c r="G723" s="28">
        <v>666.6</v>
      </c>
      <c r="H723" s="2"/>
      <c r="K723" s="81"/>
    </row>
    <row r="724" spans="1:11" ht="15.75" hidden="1" customHeight="1">
      <c r="A724" s="64"/>
      <c r="B724" s="29"/>
      <c r="C724" s="29"/>
      <c r="D724" s="29"/>
      <c r="E724" s="13" t="s">
        <v>36</v>
      </c>
      <c r="F724" s="13"/>
      <c r="G724" s="30">
        <v>0</v>
      </c>
      <c r="H724" s="2"/>
      <c r="K724" s="81"/>
    </row>
    <row r="725" spans="1:11" ht="15.75" hidden="1" customHeight="1">
      <c r="A725" s="64"/>
      <c r="B725" s="17">
        <v>45771</v>
      </c>
      <c r="C725" s="18">
        <v>0</v>
      </c>
      <c r="D725" s="18">
        <v>13105</v>
      </c>
      <c r="E725" s="89" t="s">
        <v>31</v>
      </c>
      <c r="F725" s="20">
        <v>42402</v>
      </c>
      <c r="G725" s="31">
        <v>259.05</v>
      </c>
      <c r="H725" s="2"/>
      <c r="K725" s="81"/>
    </row>
    <row r="726" spans="1:11" ht="15.75" hidden="1" customHeight="1">
      <c r="A726" s="64"/>
      <c r="B726" s="23"/>
      <c r="C726" s="23"/>
      <c r="D726" s="23"/>
      <c r="E726" s="24" t="s">
        <v>45</v>
      </c>
      <c r="F726" s="24"/>
      <c r="G726" s="25">
        <v>0</v>
      </c>
      <c r="H726" s="2"/>
      <c r="K726" s="81"/>
    </row>
    <row r="727" spans="1:11" ht="15.75" hidden="1" customHeight="1">
      <c r="A727" s="64"/>
      <c r="B727" s="11">
        <v>45771</v>
      </c>
      <c r="C727" s="12">
        <v>0</v>
      </c>
      <c r="D727" s="12">
        <v>13105</v>
      </c>
      <c r="E727" s="90" t="s">
        <v>31</v>
      </c>
      <c r="F727" s="27">
        <v>42403</v>
      </c>
      <c r="G727" s="28">
        <v>34.18</v>
      </c>
      <c r="H727" s="2"/>
      <c r="K727" s="81"/>
    </row>
    <row r="728" spans="1:11" ht="15.75" hidden="1" customHeight="1">
      <c r="A728" s="64"/>
      <c r="B728" s="29"/>
      <c r="C728" s="29"/>
      <c r="D728" s="29"/>
      <c r="E728" s="13" t="s">
        <v>46</v>
      </c>
      <c r="F728" s="13"/>
      <c r="G728" s="30">
        <v>0</v>
      </c>
      <c r="H728" s="2"/>
      <c r="K728" s="81"/>
    </row>
    <row r="729" spans="1:11" ht="15.75" hidden="1" customHeight="1">
      <c r="A729" s="64"/>
      <c r="B729" s="17">
        <v>45771</v>
      </c>
      <c r="C729" s="18">
        <v>0</v>
      </c>
      <c r="D729" s="18">
        <v>13105</v>
      </c>
      <c r="E729" s="89" t="s">
        <v>31</v>
      </c>
      <c r="F729" s="20">
        <v>42404</v>
      </c>
      <c r="G729" s="31">
        <v>825.94</v>
      </c>
      <c r="H729" s="2"/>
      <c r="K729" s="81"/>
    </row>
    <row r="730" spans="1:11" ht="15.75" hidden="1" customHeight="1">
      <c r="A730" s="64"/>
      <c r="B730" s="23"/>
      <c r="C730" s="23"/>
      <c r="D730" s="23"/>
      <c r="E730" s="24" t="s">
        <v>46</v>
      </c>
      <c r="F730" s="24"/>
      <c r="G730" s="25">
        <v>0</v>
      </c>
      <c r="H730" s="2"/>
      <c r="K730" s="81"/>
    </row>
    <row r="731" spans="1:11" ht="15.75" hidden="1" customHeight="1">
      <c r="A731" s="64"/>
      <c r="B731" s="11">
        <v>45771</v>
      </c>
      <c r="C731" s="12">
        <v>0</v>
      </c>
      <c r="D731" s="12">
        <v>13105</v>
      </c>
      <c r="E731" s="90" t="s">
        <v>31</v>
      </c>
      <c r="F731" s="27">
        <v>42405</v>
      </c>
      <c r="G731" s="28">
        <v>1993.22</v>
      </c>
      <c r="H731" s="2"/>
      <c r="K731" s="81"/>
    </row>
    <row r="732" spans="1:11" ht="15.75" hidden="1" customHeight="1">
      <c r="A732" s="64"/>
      <c r="B732" s="29"/>
      <c r="C732" s="29"/>
      <c r="D732" s="29"/>
      <c r="E732" s="13" t="s">
        <v>46</v>
      </c>
      <c r="F732" s="13"/>
      <c r="G732" s="30">
        <v>0</v>
      </c>
      <c r="H732" s="2"/>
      <c r="K732" s="81"/>
    </row>
    <row r="733" spans="1:11" ht="15.75" hidden="1" customHeight="1">
      <c r="A733" s="64"/>
      <c r="B733" s="17">
        <v>45771</v>
      </c>
      <c r="C733" s="18">
        <v>0</v>
      </c>
      <c r="D733" s="18">
        <v>13105</v>
      </c>
      <c r="E733" s="89" t="s">
        <v>31</v>
      </c>
      <c r="F733" s="20">
        <v>42406</v>
      </c>
      <c r="G733" s="31">
        <v>1122.31</v>
      </c>
      <c r="H733" s="2"/>
      <c r="K733" s="81"/>
    </row>
    <row r="734" spans="1:11" ht="15.75" hidden="1" customHeight="1">
      <c r="A734" s="64"/>
      <c r="B734" s="23"/>
      <c r="C734" s="23"/>
      <c r="D734" s="23"/>
      <c r="E734" s="24" t="s">
        <v>507</v>
      </c>
      <c r="F734" s="24"/>
      <c r="G734" s="25">
        <v>0</v>
      </c>
      <c r="H734" s="2"/>
      <c r="K734" s="81"/>
    </row>
    <row r="735" spans="1:11" ht="15.75" hidden="1" customHeight="1">
      <c r="A735" s="64"/>
      <c r="B735" s="11">
        <v>45771</v>
      </c>
      <c r="C735" s="12">
        <v>0</v>
      </c>
      <c r="D735" s="12">
        <v>13105</v>
      </c>
      <c r="E735" s="90" t="s">
        <v>31</v>
      </c>
      <c r="F735" s="27">
        <v>42407</v>
      </c>
      <c r="G735" s="28">
        <v>157.55000000000001</v>
      </c>
      <c r="H735" s="2"/>
      <c r="K735" s="81"/>
    </row>
    <row r="736" spans="1:11" ht="15.75" hidden="1" customHeight="1">
      <c r="A736" s="64"/>
      <c r="B736" s="29"/>
      <c r="C736" s="29"/>
      <c r="D736" s="29"/>
      <c r="E736" s="13" t="s">
        <v>507</v>
      </c>
      <c r="F736" s="13"/>
      <c r="G736" s="30">
        <v>0</v>
      </c>
      <c r="H736" s="2"/>
      <c r="K736" s="81"/>
    </row>
    <row r="737" spans="1:11" ht="15.75" hidden="1" customHeight="1">
      <c r="A737" s="64"/>
      <c r="B737" s="17">
        <v>45771</v>
      </c>
      <c r="C737" s="18">
        <v>0</v>
      </c>
      <c r="D737" s="18">
        <v>13105</v>
      </c>
      <c r="E737" s="89" t="s">
        <v>31</v>
      </c>
      <c r="F737" s="20">
        <v>42408</v>
      </c>
      <c r="G737" s="31">
        <v>224.67</v>
      </c>
      <c r="H737" s="2"/>
      <c r="K737" s="81"/>
    </row>
    <row r="738" spans="1:11" ht="15.75" hidden="1" customHeight="1">
      <c r="A738" s="64"/>
      <c r="B738" s="23"/>
      <c r="C738" s="23"/>
      <c r="D738" s="23"/>
      <c r="E738" s="24" t="s">
        <v>41</v>
      </c>
      <c r="F738" s="24"/>
      <c r="G738" s="25">
        <v>0</v>
      </c>
      <c r="H738" s="2"/>
      <c r="K738" s="81"/>
    </row>
    <row r="739" spans="1:11" ht="15.75" hidden="1" customHeight="1">
      <c r="A739" s="64"/>
      <c r="B739" s="11">
        <v>45771</v>
      </c>
      <c r="C739" s="12">
        <v>0</v>
      </c>
      <c r="D739" s="12">
        <v>13105</v>
      </c>
      <c r="E739" s="90" t="s">
        <v>80</v>
      </c>
      <c r="F739" s="27">
        <v>42409</v>
      </c>
      <c r="G739" s="28">
        <v>1518.14</v>
      </c>
      <c r="H739" s="2"/>
      <c r="K739" s="81"/>
    </row>
    <row r="740" spans="1:11" ht="15.75" hidden="1" customHeight="1">
      <c r="A740" s="64"/>
      <c r="B740" s="29"/>
      <c r="C740" s="29"/>
      <c r="D740" s="29"/>
      <c r="E740" s="13" t="s">
        <v>154</v>
      </c>
      <c r="F740" s="13"/>
      <c r="G740" s="30">
        <v>0</v>
      </c>
      <c r="H740" s="2"/>
      <c r="K740" s="81"/>
    </row>
    <row r="741" spans="1:11" ht="15.75" hidden="1" customHeight="1">
      <c r="A741" s="64"/>
      <c r="B741" s="17">
        <v>45771</v>
      </c>
      <c r="C741" s="18">
        <v>0</v>
      </c>
      <c r="D741" s="18">
        <v>13105</v>
      </c>
      <c r="E741" s="89" t="s">
        <v>370</v>
      </c>
      <c r="F741" s="20">
        <v>42410</v>
      </c>
      <c r="G741" s="31">
        <v>2800</v>
      </c>
      <c r="H741" s="2"/>
      <c r="K741" s="81"/>
    </row>
    <row r="742" spans="1:11" ht="15.75" hidden="1" customHeight="1">
      <c r="A742" s="64"/>
      <c r="B742" s="23"/>
      <c r="C742" s="23"/>
      <c r="D742" s="23"/>
      <c r="E742" s="24" t="s">
        <v>508</v>
      </c>
      <c r="F742" s="24"/>
      <c r="G742" s="25">
        <v>0</v>
      </c>
      <c r="H742" s="2"/>
      <c r="K742" s="81"/>
    </row>
    <row r="743" spans="1:11" ht="15.75" hidden="1" customHeight="1">
      <c r="A743" s="64"/>
      <c r="B743" s="11">
        <v>45771</v>
      </c>
      <c r="C743" s="12">
        <v>0</v>
      </c>
      <c r="D743" s="12">
        <v>13105</v>
      </c>
      <c r="E743" s="90" t="s">
        <v>370</v>
      </c>
      <c r="F743" s="27">
        <v>42411</v>
      </c>
      <c r="G743" s="28">
        <v>3000</v>
      </c>
      <c r="H743" s="2"/>
      <c r="K743" s="81"/>
    </row>
    <row r="744" spans="1:11" ht="15.75" hidden="1" customHeight="1">
      <c r="A744" s="64"/>
      <c r="B744" s="29"/>
      <c r="C744" s="29"/>
      <c r="D744" s="29"/>
      <c r="E744" s="13" t="s">
        <v>509</v>
      </c>
      <c r="F744" s="13"/>
      <c r="G744" s="30">
        <v>0</v>
      </c>
      <c r="H744" s="2"/>
      <c r="K744" s="81"/>
    </row>
    <row r="745" spans="1:11" ht="15.75" hidden="1" customHeight="1">
      <c r="A745" s="64"/>
      <c r="B745" s="17">
        <v>45771</v>
      </c>
      <c r="C745" s="18">
        <v>0</v>
      </c>
      <c r="D745" s="18">
        <v>13105</v>
      </c>
      <c r="E745" s="89" t="s">
        <v>80</v>
      </c>
      <c r="F745" s="20">
        <v>42412</v>
      </c>
      <c r="G745" s="31">
        <v>581.91999999999996</v>
      </c>
      <c r="H745" s="2"/>
      <c r="K745" s="81"/>
    </row>
    <row r="746" spans="1:11" ht="15.75" hidden="1" customHeight="1">
      <c r="A746" s="64"/>
      <c r="B746" s="23"/>
      <c r="C746" s="23"/>
      <c r="D746" s="23"/>
      <c r="E746" s="24" t="s">
        <v>510</v>
      </c>
      <c r="F746" s="24"/>
      <c r="G746" s="25">
        <v>0</v>
      </c>
      <c r="H746" s="2"/>
      <c r="K746" s="81"/>
    </row>
    <row r="747" spans="1:11" ht="15.75" hidden="1" customHeight="1">
      <c r="A747" s="64"/>
      <c r="B747" s="11">
        <v>45771</v>
      </c>
      <c r="C747" s="12">
        <v>0</v>
      </c>
      <c r="D747" s="12">
        <v>13113</v>
      </c>
      <c r="E747" s="90" t="s">
        <v>511</v>
      </c>
      <c r="F747" s="27">
        <v>891141200009247</v>
      </c>
      <c r="G747" s="28">
        <v>13</v>
      </c>
      <c r="H747" s="2"/>
      <c r="K747" s="81"/>
    </row>
    <row r="748" spans="1:11" ht="15.75" hidden="1" customHeight="1">
      <c r="A748" s="64"/>
      <c r="B748" s="29"/>
      <c r="C748" s="29"/>
      <c r="D748" s="29"/>
      <c r="E748" s="13" t="s">
        <v>512</v>
      </c>
      <c r="F748" s="13"/>
      <c r="G748" s="30">
        <v>0</v>
      </c>
      <c r="H748" s="2"/>
      <c r="K748" s="81"/>
    </row>
    <row r="749" spans="1:11" ht="15.75" hidden="1" customHeight="1">
      <c r="A749" s="64"/>
      <c r="B749" s="17">
        <v>45771</v>
      </c>
      <c r="C749" s="18">
        <v>0</v>
      </c>
      <c r="D749" s="18">
        <v>0</v>
      </c>
      <c r="E749" s="89" t="s">
        <v>59</v>
      </c>
      <c r="F749" s="20">
        <v>9903</v>
      </c>
      <c r="G749" s="31">
        <v>7047.1</v>
      </c>
      <c r="H749" s="2"/>
      <c r="K749" s="81"/>
    </row>
    <row r="750" spans="1:11" ht="15.75" hidden="1" customHeight="1">
      <c r="A750" s="64"/>
      <c r="B750" s="11">
        <v>45772</v>
      </c>
      <c r="C750" s="12">
        <v>0</v>
      </c>
      <c r="D750" s="12">
        <v>14175</v>
      </c>
      <c r="E750" s="90" t="s">
        <v>62</v>
      </c>
      <c r="F750" s="27">
        <v>33520222</v>
      </c>
      <c r="G750" s="15">
        <v>11424</v>
      </c>
      <c r="H750" s="2" t="s">
        <v>102</v>
      </c>
      <c r="K750" s="81"/>
    </row>
    <row r="751" spans="1:11" ht="15.75" customHeight="1">
      <c r="A751" s="33" t="s">
        <v>140</v>
      </c>
      <c r="B751" s="41">
        <v>45772</v>
      </c>
      <c r="C751" s="42">
        <v>0</v>
      </c>
      <c r="D751" s="42">
        <v>14138</v>
      </c>
      <c r="E751" s="92" t="s">
        <v>141</v>
      </c>
      <c r="F751" s="74">
        <v>202504240093979</v>
      </c>
      <c r="G751" s="75">
        <v>1232.8399999999999</v>
      </c>
      <c r="H751" s="2">
        <v>3246</v>
      </c>
      <c r="I751" s="64" t="s">
        <v>428</v>
      </c>
      <c r="K751" s="81"/>
    </row>
    <row r="752" spans="1:11" ht="15.75" hidden="1" customHeight="1">
      <c r="A752" s="64"/>
      <c r="B752" s="23"/>
      <c r="C752" s="23"/>
      <c r="D752" s="23"/>
      <c r="E752" s="24" t="s">
        <v>143</v>
      </c>
      <c r="F752" s="24"/>
      <c r="G752" s="25">
        <v>0</v>
      </c>
      <c r="H752" s="2"/>
      <c r="K752" s="81"/>
    </row>
    <row r="753" spans="1:11" ht="15.75" customHeight="1">
      <c r="A753" s="33" t="s">
        <v>140</v>
      </c>
      <c r="B753" s="34">
        <v>45772</v>
      </c>
      <c r="C753" s="35">
        <v>0</v>
      </c>
      <c r="D753" s="35">
        <v>14138</v>
      </c>
      <c r="E753" s="91" t="s">
        <v>141</v>
      </c>
      <c r="F753" s="69">
        <v>202504240093984</v>
      </c>
      <c r="G753" s="70">
        <v>2345.31</v>
      </c>
      <c r="H753" s="2">
        <v>3262</v>
      </c>
      <c r="I753" s="64" t="s">
        <v>428</v>
      </c>
      <c r="K753" s="81"/>
    </row>
    <row r="754" spans="1:11" ht="15.75" hidden="1" customHeight="1">
      <c r="A754" s="64"/>
      <c r="B754" s="29"/>
      <c r="C754" s="29"/>
      <c r="D754" s="29"/>
      <c r="E754" s="13" t="s">
        <v>143</v>
      </c>
      <c r="F754" s="13"/>
      <c r="G754" s="30">
        <v>0</v>
      </c>
      <c r="H754" s="2"/>
      <c r="K754" s="81"/>
    </row>
    <row r="755" spans="1:11" ht="15.75" customHeight="1">
      <c r="A755" s="33" t="s">
        <v>140</v>
      </c>
      <c r="B755" s="41">
        <v>45772</v>
      </c>
      <c r="C755" s="42">
        <v>0</v>
      </c>
      <c r="D755" s="42">
        <v>14138</v>
      </c>
      <c r="E755" s="92" t="s">
        <v>141</v>
      </c>
      <c r="F755" s="74">
        <v>202504240094015</v>
      </c>
      <c r="G755" s="75">
        <v>2230.11</v>
      </c>
      <c r="H755" s="2">
        <v>3354</v>
      </c>
      <c r="I755" s="64" t="s">
        <v>428</v>
      </c>
      <c r="K755" s="81"/>
    </row>
    <row r="756" spans="1:11" ht="15.75" hidden="1" customHeight="1">
      <c r="A756" s="64"/>
      <c r="B756" s="23"/>
      <c r="C756" s="23"/>
      <c r="D756" s="23"/>
      <c r="E756" s="24" t="s">
        <v>143</v>
      </c>
      <c r="F756" s="24"/>
      <c r="G756" s="25">
        <v>0</v>
      </c>
      <c r="H756" s="2"/>
      <c r="K756" s="81"/>
    </row>
    <row r="757" spans="1:11" ht="15.75" customHeight="1">
      <c r="A757" s="33" t="s">
        <v>140</v>
      </c>
      <c r="B757" s="34">
        <v>45772</v>
      </c>
      <c r="C757" s="35">
        <v>0</v>
      </c>
      <c r="D757" s="35">
        <v>14138</v>
      </c>
      <c r="E757" s="91" t="s">
        <v>141</v>
      </c>
      <c r="F757" s="69">
        <v>202504240094018</v>
      </c>
      <c r="G757" s="70">
        <v>1668.08</v>
      </c>
      <c r="H757" s="2">
        <v>3386</v>
      </c>
      <c r="I757" s="64" t="s">
        <v>428</v>
      </c>
      <c r="K757" s="81"/>
    </row>
    <row r="758" spans="1:11" ht="15.75" hidden="1" customHeight="1">
      <c r="A758" s="64"/>
      <c r="B758" s="29"/>
      <c r="C758" s="29"/>
      <c r="D758" s="29"/>
      <c r="E758" s="13" t="s">
        <v>143</v>
      </c>
      <c r="F758" s="13"/>
      <c r="G758" s="30">
        <v>0</v>
      </c>
      <c r="H758" s="2"/>
      <c r="K758" s="81"/>
    </row>
    <row r="759" spans="1:11" ht="15.75" hidden="1" customHeight="1">
      <c r="A759" s="64"/>
      <c r="B759" s="17">
        <v>45772</v>
      </c>
      <c r="C759" s="18">
        <v>0</v>
      </c>
      <c r="D759" s="18">
        <v>13105</v>
      </c>
      <c r="E759" s="89" t="s">
        <v>80</v>
      </c>
      <c r="F759" s="20">
        <v>42501</v>
      </c>
      <c r="G759" s="31">
        <v>2213.0500000000002</v>
      </c>
      <c r="H759" s="2"/>
      <c r="K759" s="81"/>
    </row>
    <row r="760" spans="1:11" ht="15.75" hidden="1" customHeight="1">
      <c r="A760" s="64"/>
      <c r="B760" s="23"/>
      <c r="C760" s="23"/>
      <c r="D760" s="23"/>
      <c r="E760" s="24" t="s">
        <v>81</v>
      </c>
      <c r="F760" s="24"/>
      <c r="G760" s="25">
        <v>0</v>
      </c>
      <c r="H760" s="2"/>
      <c r="K760" s="81"/>
    </row>
    <row r="761" spans="1:11" ht="15.75" hidden="1" customHeight="1">
      <c r="A761" s="64"/>
      <c r="B761" s="11">
        <v>45772</v>
      </c>
      <c r="C761" s="12">
        <v>0</v>
      </c>
      <c r="D761" s="12">
        <v>13105</v>
      </c>
      <c r="E761" s="90" t="s">
        <v>31</v>
      </c>
      <c r="F761" s="27">
        <v>42502</v>
      </c>
      <c r="G761" s="28">
        <v>316.18</v>
      </c>
      <c r="H761" s="2"/>
      <c r="K761" s="81"/>
    </row>
    <row r="762" spans="1:11" ht="15.75" hidden="1" customHeight="1">
      <c r="A762" s="64"/>
      <c r="B762" s="29"/>
      <c r="C762" s="29"/>
      <c r="D762" s="29"/>
      <c r="E762" s="13" t="s">
        <v>45</v>
      </c>
      <c r="F762" s="13"/>
      <c r="G762" s="30">
        <v>0</v>
      </c>
      <c r="H762" s="2"/>
      <c r="K762" s="81"/>
    </row>
    <row r="763" spans="1:11" ht="15.75" hidden="1" customHeight="1">
      <c r="A763" s="64"/>
      <c r="B763" s="17">
        <v>45772</v>
      </c>
      <c r="C763" s="18">
        <v>0</v>
      </c>
      <c r="D763" s="18">
        <v>13105</v>
      </c>
      <c r="E763" s="89" t="s">
        <v>31</v>
      </c>
      <c r="F763" s="20">
        <v>42503</v>
      </c>
      <c r="G763" s="31">
        <v>375.17</v>
      </c>
      <c r="H763" s="2"/>
      <c r="K763" s="81"/>
    </row>
    <row r="764" spans="1:11" ht="15.75" hidden="1" customHeight="1">
      <c r="A764" s="64"/>
      <c r="B764" s="23"/>
      <c r="C764" s="23"/>
      <c r="D764" s="23"/>
      <c r="E764" s="24" t="s">
        <v>231</v>
      </c>
      <c r="F764" s="24"/>
      <c r="G764" s="25">
        <v>0</v>
      </c>
      <c r="H764" s="2"/>
      <c r="K764" s="81"/>
    </row>
    <row r="765" spans="1:11" ht="15.75" hidden="1" customHeight="1">
      <c r="A765" s="64"/>
      <c r="B765" s="11">
        <v>45772</v>
      </c>
      <c r="C765" s="12">
        <v>0</v>
      </c>
      <c r="D765" s="12">
        <v>13105</v>
      </c>
      <c r="E765" s="90" t="s">
        <v>118</v>
      </c>
      <c r="F765" s="27">
        <v>42504</v>
      </c>
      <c r="G765" s="28">
        <v>1912.92</v>
      </c>
      <c r="H765" s="2"/>
      <c r="K765" s="81"/>
    </row>
    <row r="766" spans="1:11" ht="15.75" hidden="1" customHeight="1">
      <c r="A766" s="64"/>
      <c r="B766" s="29"/>
      <c r="C766" s="29"/>
      <c r="D766" s="29"/>
      <c r="E766" s="13" t="s">
        <v>513</v>
      </c>
      <c r="F766" s="13"/>
      <c r="G766" s="30">
        <v>0</v>
      </c>
      <c r="H766" s="2"/>
      <c r="K766" s="81"/>
    </row>
    <row r="767" spans="1:11" ht="15.75" hidden="1" customHeight="1">
      <c r="A767" s="64"/>
      <c r="B767" s="17">
        <v>45772</v>
      </c>
      <c r="C767" s="18">
        <v>0</v>
      </c>
      <c r="D767" s="18">
        <v>13105</v>
      </c>
      <c r="E767" s="89" t="s">
        <v>31</v>
      </c>
      <c r="F767" s="20">
        <v>42505</v>
      </c>
      <c r="G767" s="31">
        <v>1750</v>
      </c>
      <c r="H767" s="2"/>
      <c r="K767" s="81"/>
    </row>
    <row r="768" spans="1:11" ht="15.75" hidden="1" customHeight="1">
      <c r="A768" s="64"/>
      <c r="B768" s="23"/>
      <c r="C768" s="23"/>
      <c r="D768" s="23"/>
      <c r="E768" s="24" t="s">
        <v>173</v>
      </c>
      <c r="F768" s="24"/>
      <c r="G768" s="25">
        <v>0</v>
      </c>
      <c r="H768" s="2"/>
      <c r="K768" s="81"/>
    </row>
    <row r="769" spans="1:11" ht="15.75" hidden="1" customHeight="1">
      <c r="A769" s="64"/>
      <c r="B769" s="11">
        <v>45772</v>
      </c>
      <c r="C769" s="12">
        <v>0</v>
      </c>
      <c r="D769" s="12">
        <v>13105</v>
      </c>
      <c r="E769" s="90" t="s">
        <v>31</v>
      </c>
      <c r="F769" s="27">
        <v>42506</v>
      </c>
      <c r="G769" s="28">
        <v>239</v>
      </c>
      <c r="H769" s="2"/>
      <c r="K769" s="81"/>
    </row>
    <row r="770" spans="1:11" ht="15.75" hidden="1" customHeight="1">
      <c r="A770" s="64"/>
      <c r="B770" s="29"/>
      <c r="C770" s="29"/>
      <c r="D770" s="29"/>
      <c r="E770" s="13" t="s">
        <v>41</v>
      </c>
      <c r="F770" s="13"/>
      <c r="G770" s="30">
        <v>0</v>
      </c>
      <c r="H770" s="2"/>
      <c r="K770" s="81"/>
    </row>
    <row r="771" spans="1:11" ht="15.75" hidden="1" customHeight="1">
      <c r="A771" s="64"/>
      <c r="B771" s="17">
        <v>45772</v>
      </c>
      <c r="C771" s="18">
        <v>0</v>
      </c>
      <c r="D771" s="18">
        <v>13105</v>
      </c>
      <c r="E771" s="89" t="s">
        <v>34</v>
      </c>
      <c r="F771" s="20">
        <v>42507</v>
      </c>
      <c r="G771" s="31">
        <v>65.34</v>
      </c>
      <c r="H771" s="2"/>
      <c r="K771" s="81"/>
    </row>
    <row r="772" spans="1:11" ht="15.75" hidden="1" customHeight="1">
      <c r="A772" s="64"/>
      <c r="B772" s="23"/>
      <c r="C772" s="23"/>
      <c r="D772" s="23"/>
      <c r="E772" s="24" t="s">
        <v>288</v>
      </c>
      <c r="F772" s="24"/>
      <c r="G772" s="25">
        <v>0</v>
      </c>
      <c r="H772" s="2"/>
      <c r="K772" s="81"/>
    </row>
    <row r="773" spans="1:11" ht="15.75" hidden="1" customHeight="1">
      <c r="A773" s="64"/>
      <c r="B773" s="11">
        <v>45772</v>
      </c>
      <c r="C773" s="12">
        <v>0</v>
      </c>
      <c r="D773" s="12">
        <v>13105</v>
      </c>
      <c r="E773" s="90" t="s">
        <v>31</v>
      </c>
      <c r="F773" s="27">
        <v>42508</v>
      </c>
      <c r="G773" s="28">
        <v>6400</v>
      </c>
      <c r="H773" s="2"/>
      <c r="K773" s="81"/>
    </row>
    <row r="774" spans="1:11" ht="15.75" hidden="1" customHeight="1">
      <c r="A774" s="64"/>
      <c r="B774" s="29"/>
      <c r="C774" s="29"/>
      <c r="D774" s="29"/>
      <c r="E774" s="13" t="s">
        <v>32</v>
      </c>
      <c r="F774" s="13"/>
      <c r="G774" s="30">
        <v>0</v>
      </c>
      <c r="H774" s="2"/>
      <c r="K774" s="81"/>
    </row>
    <row r="775" spans="1:11" ht="15.75" hidden="1" customHeight="1">
      <c r="A775" s="64"/>
      <c r="B775" s="17">
        <v>45772</v>
      </c>
      <c r="C775" s="18">
        <v>0</v>
      </c>
      <c r="D775" s="18">
        <v>13105</v>
      </c>
      <c r="E775" s="89" t="s">
        <v>31</v>
      </c>
      <c r="F775" s="20">
        <v>42509</v>
      </c>
      <c r="G775" s="31">
        <v>8486.66</v>
      </c>
      <c r="H775" s="2"/>
      <c r="K775" s="81"/>
    </row>
    <row r="776" spans="1:11" ht="15.75" hidden="1" customHeight="1">
      <c r="A776" s="64"/>
      <c r="B776" s="23"/>
      <c r="C776" s="23"/>
      <c r="D776" s="23"/>
      <c r="E776" s="24" t="s">
        <v>32</v>
      </c>
      <c r="F776" s="24"/>
      <c r="G776" s="25">
        <v>0</v>
      </c>
      <c r="H776" s="2"/>
      <c r="K776" s="81"/>
    </row>
    <row r="777" spans="1:11" ht="15.75" hidden="1" customHeight="1">
      <c r="A777" s="64"/>
      <c r="B777" s="11">
        <v>45772</v>
      </c>
      <c r="C777" s="12">
        <v>0</v>
      </c>
      <c r="D777" s="12">
        <v>13105</v>
      </c>
      <c r="E777" s="90" t="s">
        <v>31</v>
      </c>
      <c r="F777" s="27">
        <v>42510</v>
      </c>
      <c r="G777" s="28">
        <v>880</v>
      </c>
      <c r="H777" s="2"/>
      <c r="K777" s="81"/>
    </row>
    <row r="778" spans="1:11" ht="15.75" hidden="1" customHeight="1">
      <c r="A778" s="64"/>
      <c r="B778" s="29"/>
      <c r="C778" s="29"/>
      <c r="D778" s="29"/>
      <c r="E778" s="13" t="s">
        <v>66</v>
      </c>
      <c r="F778" s="13"/>
      <c r="G778" s="30">
        <v>0</v>
      </c>
      <c r="H778" s="2"/>
      <c r="K778" s="81"/>
    </row>
    <row r="779" spans="1:11" ht="15.75" hidden="1" customHeight="1">
      <c r="A779" s="64"/>
      <c r="B779" s="17">
        <v>45772</v>
      </c>
      <c r="C779" s="18">
        <v>0</v>
      </c>
      <c r="D779" s="18">
        <v>13105</v>
      </c>
      <c r="E779" s="89" t="s">
        <v>31</v>
      </c>
      <c r="F779" s="20">
        <v>42511</v>
      </c>
      <c r="G779" s="31">
        <v>3430.2</v>
      </c>
      <c r="H779" s="2"/>
      <c r="K779" s="81"/>
    </row>
    <row r="780" spans="1:11" ht="15.75" hidden="1" customHeight="1">
      <c r="A780" s="64"/>
      <c r="B780" s="23"/>
      <c r="C780" s="23"/>
      <c r="D780" s="23"/>
      <c r="E780" s="24" t="s">
        <v>362</v>
      </c>
      <c r="F780" s="24"/>
      <c r="G780" s="25">
        <v>0</v>
      </c>
      <c r="H780" s="2"/>
      <c r="K780" s="81"/>
    </row>
    <row r="781" spans="1:11" ht="15.75" hidden="1" customHeight="1">
      <c r="A781" s="64"/>
      <c r="B781" s="11">
        <v>45772</v>
      </c>
      <c r="C781" s="12">
        <v>0</v>
      </c>
      <c r="D781" s="12">
        <v>13113</v>
      </c>
      <c r="E781" s="90" t="s">
        <v>189</v>
      </c>
      <c r="F781" s="27">
        <v>891151200292102</v>
      </c>
      <c r="G781" s="28">
        <v>10</v>
      </c>
      <c r="H781" s="2"/>
      <c r="K781" s="81"/>
    </row>
    <row r="782" spans="1:11" ht="15.75" hidden="1" customHeight="1">
      <c r="A782" s="64"/>
      <c r="B782" s="29"/>
      <c r="C782" s="29"/>
      <c r="D782" s="29"/>
      <c r="E782" s="13" t="s">
        <v>514</v>
      </c>
      <c r="F782" s="13"/>
      <c r="G782" s="30">
        <v>0</v>
      </c>
      <c r="H782" s="2"/>
      <c r="K782" s="81"/>
    </row>
    <row r="783" spans="1:11" ht="15.75" hidden="1" customHeight="1">
      <c r="A783" s="64"/>
      <c r="B783" s="17">
        <v>45772</v>
      </c>
      <c r="C783" s="18">
        <v>0</v>
      </c>
      <c r="D783" s="18">
        <v>0</v>
      </c>
      <c r="E783" s="89" t="s">
        <v>52</v>
      </c>
      <c r="F783" s="20">
        <v>9903</v>
      </c>
      <c r="G783" s="21">
        <v>7178.18</v>
      </c>
      <c r="H783" s="2"/>
      <c r="K783" s="81"/>
    </row>
    <row r="784" spans="1:11" ht="15.75" hidden="1" customHeight="1">
      <c r="A784" s="64"/>
      <c r="B784" s="23"/>
      <c r="C784" s="23"/>
      <c r="D784" s="23"/>
      <c r="E784" s="24" t="s">
        <v>53</v>
      </c>
      <c r="F784" s="24"/>
      <c r="G784" s="25">
        <v>0</v>
      </c>
      <c r="H784" s="2"/>
      <c r="K784" s="81"/>
    </row>
    <row r="785" spans="1:11" ht="15.75" hidden="1" customHeight="1">
      <c r="A785" s="64"/>
      <c r="B785" s="11">
        <v>45775</v>
      </c>
      <c r="C785" s="12">
        <v>5072</v>
      </c>
      <c r="D785" s="12">
        <v>99021</v>
      </c>
      <c r="E785" s="90" t="s">
        <v>27</v>
      </c>
      <c r="F785" s="27">
        <v>615072000004700</v>
      </c>
      <c r="G785" s="15">
        <v>527.53</v>
      </c>
      <c r="H785" s="2"/>
      <c r="K785" s="81"/>
    </row>
    <row r="786" spans="1:11" ht="15.75" hidden="1" customHeight="1">
      <c r="A786" s="64"/>
      <c r="B786" s="29"/>
      <c r="C786" s="29"/>
      <c r="D786" s="29"/>
      <c r="E786" s="13" t="s">
        <v>515</v>
      </c>
      <c r="F786" s="13"/>
      <c r="G786" s="30">
        <v>0</v>
      </c>
      <c r="H786" s="2"/>
      <c r="K786" s="81"/>
    </row>
    <row r="787" spans="1:11" ht="15.75" hidden="1" customHeight="1">
      <c r="A787" s="64"/>
      <c r="B787" s="17">
        <v>45775</v>
      </c>
      <c r="C787" s="18">
        <v>0</v>
      </c>
      <c r="D787" s="18">
        <v>14175</v>
      </c>
      <c r="E787" s="89" t="s">
        <v>62</v>
      </c>
      <c r="F787" s="20">
        <v>378905366</v>
      </c>
      <c r="G787" s="21">
        <v>3500</v>
      </c>
      <c r="H787" s="2"/>
      <c r="K787" s="81"/>
    </row>
    <row r="788" spans="1:11" ht="15.75" hidden="1" customHeight="1">
      <c r="A788" s="64"/>
      <c r="B788" s="23"/>
      <c r="C788" s="23"/>
      <c r="D788" s="23"/>
      <c r="E788" s="24" t="s">
        <v>97</v>
      </c>
      <c r="F788" s="24"/>
      <c r="G788" s="25">
        <v>0</v>
      </c>
      <c r="H788" s="2"/>
      <c r="K788" s="81"/>
    </row>
    <row r="789" spans="1:11" ht="15.75" customHeight="1">
      <c r="A789" s="33" t="s">
        <v>140</v>
      </c>
      <c r="B789" s="102">
        <v>45775</v>
      </c>
      <c r="C789" s="103">
        <v>0</v>
      </c>
      <c r="D789" s="103">
        <v>14138</v>
      </c>
      <c r="E789" s="104" t="s">
        <v>141</v>
      </c>
      <c r="F789" s="105">
        <v>202504250007167</v>
      </c>
      <c r="G789" s="98">
        <v>1850</v>
      </c>
      <c r="H789" s="2" t="s">
        <v>516</v>
      </c>
      <c r="I789" s="64" t="s">
        <v>517</v>
      </c>
      <c r="K789" s="81"/>
    </row>
    <row r="790" spans="1:11" ht="15.75" hidden="1" customHeight="1">
      <c r="A790" s="64"/>
      <c r="B790" s="29"/>
      <c r="C790" s="29"/>
      <c r="D790" s="29"/>
      <c r="E790" s="13" t="s">
        <v>518</v>
      </c>
      <c r="F790" s="13"/>
      <c r="G790" s="30">
        <v>0</v>
      </c>
      <c r="H790" s="2" t="s">
        <v>516</v>
      </c>
      <c r="K790" s="81"/>
    </row>
    <row r="791" spans="1:11" ht="15.75" customHeight="1">
      <c r="A791" s="33" t="s">
        <v>140</v>
      </c>
      <c r="B791" s="102">
        <v>45775</v>
      </c>
      <c r="C791" s="103">
        <v>0</v>
      </c>
      <c r="D791" s="103">
        <v>14138</v>
      </c>
      <c r="E791" s="104" t="s">
        <v>141</v>
      </c>
      <c r="F791" s="105">
        <v>202504250007168</v>
      </c>
      <c r="G791" s="98">
        <v>14938.56</v>
      </c>
      <c r="H791" s="2" t="s">
        <v>516</v>
      </c>
      <c r="I791" s="64" t="s">
        <v>517</v>
      </c>
      <c r="K791" s="81"/>
    </row>
    <row r="792" spans="1:11" ht="15.75" hidden="1" customHeight="1">
      <c r="A792" s="64"/>
      <c r="B792" s="23"/>
      <c r="C792" s="23"/>
      <c r="D792" s="23"/>
      <c r="E792" s="24" t="s">
        <v>518</v>
      </c>
      <c r="F792" s="24"/>
      <c r="G792" s="25">
        <v>0</v>
      </c>
      <c r="H792" s="2"/>
      <c r="K792" s="81"/>
    </row>
    <row r="793" spans="1:11" ht="15.75" hidden="1" customHeight="1">
      <c r="A793" s="64"/>
      <c r="B793" s="11">
        <v>45775</v>
      </c>
      <c r="C793" s="12">
        <v>0</v>
      </c>
      <c r="D793" s="12">
        <v>14397</v>
      </c>
      <c r="E793" s="90" t="s">
        <v>57</v>
      </c>
      <c r="F793" s="27">
        <v>458585030775401</v>
      </c>
      <c r="G793" s="15">
        <v>12816.54</v>
      </c>
      <c r="H793" s="2"/>
      <c r="K793" s="81"/>
    </row>
    <row r="794" spans="1:11" ht="15.75" hidden="1" customHeight="1">
      <c r="A794" s="64"/>
      <c r="B794" s="29"/>
      <c r="C794" s="29"/>
      <c r="D794" s="29"/>
      <c r="E794" s="13" t="s">
        <v>519</v>
      </c>
      <c r="F794" s="13"/>
      <c r="G794" s="30">
        <v>0</v>
      </c>
      <c r="H794" s="2"/>
      <c r="K794" s="81"/>
    </row>
    <row r="795" spans="1:11" ht="15.75" hidden="1" customHeight="1">
      <c r="A795" s="64"/>
      <c r="B795" s="17">
        <v>45775</v>
      </c>
      <c r="C795" s="18">
        <v>0</v>
      </c>
      <c r="D795" s="18">
        <v>14397</v>
      </c>
      <c r="E795" s="89" t="s">
        <v>57</v>
      </c>
      <c r="F795" s="20">
        <v>458726091725531</v>
      </c>
      <c r="G795" s="21">
        <v>2300</v>
      </c>
      <c r="H795" s="2"/>
      <c r="K795" s="81"/>
    </row>
    <row r="796" spans="1:11" ht="15.75" hidden="1" customHeight="1">
      <c r="A796" s="64"/>
      <c r="B796" s="23"/>
      <c r="C796" s="23"/>
      <c r="D796" s="23"/>
      <c r="E796" s="24" t="s">
        <v>520</v>
      </c>
      <c r="F796" s="24"/>
      <c r="G796" s="25">
        <v>0</v>
      </c>
      <c r="H796" s="2"/>
      <c r="K796" s="81"/>
    </row>
    <row r="797" spans="1:11" ht="15.75" hidden="1" customHeight="1">
      <c r="A797" s="64"/>
      <c r="B797" s="11">
        <v>45775</v>
      </c>
      <c r="C797" s="12">
        <v>1533</v>
      </c>
      <c r="D797" s="12">
        <v>99008</v>
      </c>
      <c r="E797" s="90" t="s">
        <v>29</v>
      </c>
      <c r="F797" s="27">
        <v>337609</v>
      </c>
      <c r="G797" s="28">
        <v>196.64</v>
      </c>
      <c r="H797" s="2"/>
      <c r="K797" s="81"/>
    </row>
    <row r="798" spans="1:11" ht="15.75" hidden="1" customHeight="1">
      <c r="A798" s="64"/>
      <c r="B798" s="29"/>
      <c r="C798" s="29"/>
      <c r="D798" s="29"/>
      <c r="E798" s="13" t="s">
        <v>521</v>
      </c>
      <c r="F798" s="13"/>
      <c r="G798" s="30">
        <v>0</v>
      </c>
      <c r="H798" s="2"/>
      <c r="K798" s="81"/>
    </row>
    <row r="799" spans="1:11" ht="15.75" hidden="1" customHeight="1">
      <c r="A799" s="64"/>
      <c r="B799" s="17">
        <v>45775</v>
      </c>
      <c r="C799" s="18">
        <v>1533</v>
      </c>
      <c r="D799" s="18">
        <v>99008</v>
      </c>
      <c r="E799" s="89" t="s">
        <v>29</v>
      </c>
      <c r="F799" s="20">
        <v>385655</v>
      </c>
      <c r="G799" s="31">
        <v>170.88</v>
      </c>
      <c r="H799" s="2"/>
      <c r="K799" s="81"/>
    </row>
    <row r="800" spans="1:11" ht="15.75" hidden="1" customHeight="1">
      <c r="A800" s="64"/>
      <c r="B800" s="23"/>
      <c r="C800" s="23"/>
      <c r="D800" s="23"/>
      <c r="E800" s="24" t="s">
        <v>522</v>
      </c>
      <c r="F800" s="24"/>
      <c r="G800" s="25">
        <v>0</v>
      </c>
      <c r="H800" s="2"/>
      <c r="K800" s="81"/>
    </row>
    <row r="801" spans="1:11" ht="15.75" hidden="1" customHeight="1">
      <c r="A801" s="64"/>
      <c r="B801" s="11">
        <v>45775</v>
      </c>
      <c r="C801" s="12">
        <v>0</v>
      </c>
      <c r="D801" s="12">
        <v>13105</v>
      </c>
      <c r="E801" s="90" t="s">
        <v>80</v>
      </c>
      <c r="F801" s="27">
        <v>42801</v>
      </c>
      <c r="G801" s="28">
        <v>1013</v>
      </c>
      <c r="H801" s="2"/>
      <c r="K801" s="81"/>
    </row>
    <row r="802" spans="1:11" ht="15.75" hidden="1" customHeight="1">
      <c r="A802" s="64"/>
      <c r="B802" s="29"/>
      <c r="C802" s="29"/>
      <c r="D802" s="29"/>
      <c r="E802" s="13" t="s">
        <v>81</v>
      </c>
      <c r="F802" s="13"/>
      <c r="G802" s="30">
        <v>0</v>
      </c>
      <c r="H802" s="2"/>
      <c r="K802" s="81"/>
    </row>
    <row r="803" spans="1:11" ht="15.75" hidden="1" customHeight="1">
      <c r="A803" s="64"/>
      <c r="B803" s="17">
        <v>45775</v>
      </c>
      <c r="C803" s="18">
        <v>0</v>
      </c>
      <c r="D803" s="18">
        <v>13105</v>
      </c>
      <c r="E803" s="89" t="s">
        <v>31</v>
      </c>
      <c r="F803" s="20">
        <v>42802</v>
      </c>
      <c r="G803" s="31">
        <v>2554.02</v>
      </c>
      <c r="H803" s="2"/>
      <c r="K803" s="81"/>
    </row>
    <row r="804" spans="1:11" ht="15.75" hidden="1" customHeight="1">
      <c r="A804" s="64"/>
      <c r="B804" s="23"/>
      <c r="C804" s="23"/>
      <c r="D804" s="23"/>
      <c r="E804" s="24" t="s">
        <v>523</v>
      </c>
      <c r="F804" s="24"/>
      <c r="G804" s="25">
        <v>0</v>
      </c>
      <c r="H804" s="2"/>
      <c r="K804" s="81"/>
    </row>
    <row r="805" spans="1:11" ht="15.75" hidden="1" customHeight="1">
      <c r="A805" s="64"/>
      <c r="B805" s="11">
        <v>45775</v>
      </c>
      <c r="C805" s="12">
        <v>0</v>
      </c>
      <c r="D805" s="12">
        <v>13105</v>
      </c>
      <c r="E805" s="90" t="s">
        <v>31</v>
      </c>
      <c r="F805" s="27">
        <v>42803</v>
      </c>
      <c r="G805" s="28">
        <v>1661.75</v>
      </c>
      <c r="H805" s="2"/>
      <c r="K805" s="81"/>
    </row>
    <row r="806" spans="1:11" ht="15.75" hidden="1" customHeight="1">
      <c r="A806" s="64"/>
      <c r="B806" s="29"/>
      <c r="C806" s="29"/>
      <c r="D806" s="29"/>
      <c r="E806" s="13" t="s">
        <v>524</v>
      </c>
      <c r="F806" s="13"/>
      <c r="G806" s="30">
        <v>0</v>
      </c>
      <c r="H806" s="2"/>
      <c r="K806" s="81"/>
    </row>
    <row r="807" spans="1:11" ht="15.75" hidden="1" customHeight="1">
      <c r="A807" s="64"/>
      <c r="B807" s="17">
        <v>45775</v>
      </c>
      <c r="C807" s="18">
        <v>0</v>
      </c>
      <c r="D807" s="18">
        <v>13105</v>
      </c>
      <c r="E807" s="89" t="s">
        <v>31</v>
      </c>
      <c r="F807" s="20">
        <v>42804</v>
      </c>
      <c r="G807" s="31">
        <v>2893.02</v>
      </c>
      <c r="H807" s="2"/>
      <c r="K807" s="81"/>
    </row>
    <row r="808" spans="1:11" ht="15.75" hidden="1" customHeight="1">
      <c r="A808" s="64"/>
      <c r="B808" s="23"/>
      <c r="C808" s="23"/>
      <c r="D808" s="23"/>
      <c r="E808" s="24" t="s">
        <v>362</v>
      </c>
      <c r="F808" s="24"/>
      <c r="G808" s="25">
        <v>0</v>
      </c>
      <c r="H808" s="2"/>
      <c r="K808" s="81"/>
    </row>
    <row r="809" spans="1:11" ht="15.75" hidden="1" customHeight="1">
      <c r="A809" s="64"/>
      <c r="B809" s="11">
        <v>45775</v>
      </c>
      <c r="C809" s="12">
        <v>0</v>
      </c>
      <c r="D809" s="12">
        <v>13105</v>
      </c>
      <c r="E809" s="90" t="s">
        <v>31</v>
      </c>
      <c r="F809" s="27">
        <v>42805</v>
      </c>
      <c r="G809" s="28">
        <v>4890</v>
      </c>
      <c r="H809" s="2"/>
      <c r="K809" s="81"/>
    </row>
    <row r="810" spans="1:11" ht="15.75" hidden="1" customHeight="1">
      <c r="A810" s="64"/>
      <c r="B810" s="29"/>
      <c r="C810" s="29"/>
      <c r="D810" s="29"/>
      <c r="E810" s="13" t="s">
        <v>32</v>
      </c>
      <c r="F810" s="13"/>
      <c r="G810" s="30">
        <v>0</v>
      </c>
      <c r="H810" s="2"/>
      <c r="K810" s="81"/>
    </row>
    <row r="811" spans="1:11" ht="15.75" hidden="1" customHeight="1">
      <c r="A811" s="64"/>
      <c r="B811" s="17">
        <v>45775</v>
      </c>
      <c r="C811" s="18">
        <v>0</v>
      </c>
      <c r="D811" s="18">
        <v>13105</v>
      </c>
      <c r="E811" s="89" t="s">
        <v>31</v>
      </c>
      <c r="F811" s="20">
        <v>42806</v>
      </c>
      <c r="G811" s="31">
        <v>930</v>
      </c>
      <c r="H811" s="2"/>
      <c r="K811" s="81"/>
    </row>
    <row r="812" spans="1:11" ht="15.75" hidden="1" customHeight="1">
      <c r="A812" s="64"/>
      <c r="B812" s="23"/>
      <c r="C812" s="23"/>
      <c r="D812" s="23"/>
      <c r="E812" s="24" t="s">
        <v>71</v>
      </c>
      <c r="F812" s="24"/>
      <c r="G812" s="25">
        <v>0</v>
      </c>
      <c r="H812" s="2"/>
      <c r="K812" s="81"/>
    </row>
    <row r="813" spans="1:11" ht="15.75" hidden="1" customHeight="1">
      <c r="A813" s="64"/>
      <c r="B813" s="11">
        <v>45775</v>
      </c>
      <c r="C813" s="12">
        <v>0</v>
      </c>
      <c r="D813" s="12">
        <v>13105</v>
      </c>
      <c r="E813" s="90" t="s">
        <v>31</v>
      </c>
      <c r="F813" s="27">
        <v>42807</v>
      </c>
      <c r="G813" s="28">
        <v>1861.43</v>
      </c>
      <c r="H813" s="2"/>
      <c r="K813" s="81"/>
    </row>
    <row r="814" spans="1:11" ht="15.75" hidden="1" customHeight="1">
      <c r="A814" s="64"/>
      <c r="B814" s="29"/>
      <c r="C814" s="29"/>
      <c r="D814" s="29"/>
      <c r="E814" s="13" t="s">
        <v>37</v>
      </c>
      <c r="F814" s="13"/>
      <c r="G814" s="30">
        <v>0</v>
      </c>
      <c r="H814" s="2"/>
      <c r="K814" s="81"/>
    </row>
    <row r="815" spans="1:11" ht="15.75" hidden="1" customHeight="1">
      <c r="A815" s="64"/>
      <c r="B815" s="17">
        <v>45775</v>
      </c>
      <c r="C815" s="18">
        <v>0</v>
      </c>
      <c r="D815" s="18">
        <v>13105</v>
      </c>
      <c r="E815" s="89" t="s">
        <v>31</v>
      </c>
      <c r="F815" s="20">
        <v>42808</v>
      </c>
      <c r="G815" s="31">
        <v>3410.4</v>
      </c>
      <c r="H815" s="2"/>
      <c r="K815" s="81"/>
    </row>
    <row r="816" spans="1:11" ht="15.75" hidden="1" customHeight="1">
      <c r="A816" s="64"/>
      <c r="B816" s="23"/>
      <c r="C816" s="23"/>
      <c r="D816" s="23"/>
      <c r="E816" s="24" t="s">
        <v>33</v>
      </c>
      <c r="F816" s="24"/>
      <c r="G816" s="25">
        <v>0</v>
      </c>
      <c r="H816" s="2"/>
      <c r="K816" s="81"/>
    </row>
    <row r="817" spans="1:11" ht="15.75" hidden="1" customHeight="1">
      <c r="A817" s="64"/>
      <c r="B817" s="11">
        <v>45775</v>
      </c>
      <c r="C817" s="12">
        <v>0</v>
      </c>
      <c r="D817" s="12">
        <v>13105</v>
      </c>
      <c r="E817" s="90" t="s">
        <v>31</v>
      </c>
      <c r="F817" s="27">
        <v>42809</v>
      </c>
      <c r="G817" s="28">
        <v>282.62</v>
      </c>
      <c r="H817" s="2"/>
      <c r="K817" s="81"/>
    </row>
    <row r="818" spans="1:11" ht="15.75" hidden="1" customHeight="1">
      <c r="A818" s="64"/>
      <c r="B818" s="29"/>
      <c r="C818" s="29"/>
      <c r="D818" s="29"/>
      <c r="E818" s="13" t="s">
        <v>247</v>
      </c>
      <c r="F818" s="13"/>
      <c r="G818" s="30">
        <v>0</v>
      </c>
      <c r="H818" s="2"/>
      <c r="K818" s="81"/>
    </row>
    <row r="819" spans="1:11" ht="15.75" hidden="1" customHeight="1">
      <c r="A819" s="64"/>
      <c r="B819" s="17">
        <v>45775</v>
      </c>
      <c r="C819" s="18">
        <v>0</v>
      </c>
      <c r="D819" s="18">
        <v>13105</v>
      </c>
      <c r="E819" s="89" t="s">
        <v>31</v>
      </c>
      <c r="F819" s="20">
        <v>42810</v>
      </c>
      <c r="G819" s="31">
        <v>326.91000000000003</v>
      </c>
      <c r="H819" s="2"/>
      <c r="K819" s="81"/>
    </row>
    <row r="820" spans="1:11" ht="15.75" hidden="1" customHeight="1">
      <c r="A820" s="64"/>
      <c r="B820" s="23"/>
      <c r="C820" s="23"/>
      <c r="D820" s="23"/>
      <c r="E820" s="24" t="s">
        <v>231</v>
      </c>
      <c r="F820" s="24"/>
      <c r="G820" s="25">
        <v>0</v>
      </c>
      <c r="H820" s="2"/>
      <c r="K820" s="81"/>
    </row>
    <row r="821" spans="1:11" ht="15.75" hidden="1" customHeight="1">
      <c r="A821" s="64"/>
      <c r="B821" s="11">
        <v>45775</v>
      </c>
      <c r="C821" s="12">
        <v>0</v>
      </c>
      <c r="D821" s="12">
        <v>13105</v>
      </c>
      <c r="E821" s="90" t="s">
        <v>31</v>
      </c>
      <c r="F821" s="27">
        <v>42811</v>
      </c>
      <c r="G821" s="28">
        <v>358.06</v>
      </c>
      <c r="H821" s="2"/>
      <c r="K821" s="81"/>
    </row>
    <row r="822" spans="1:11" ht="15.75" hidden="1" customHeight="1">
      <c r="A822" s="64"/>
      <c r="B822" s="29"/>
      <c r="C822" s="29"/>
      <c r="D822" s="29"/>
      <c r="E822" s="13" t="s">
        <v>231</v>
      </c>
      <c r="F822" s="13"/>
      <c r="G822" s="30">
        <v>0</v>
      </c>
      <c r="H822" s="2"/>
      <c r="K822" s="81"/>
    </row>
    <row r="823" spans="1:11" ht="15.75" hidden="1" customHeight="1">
      <c r="A823" s="64"/>
      <c r="B823" s="17">
        <v>45775</v>
      </c>
      <c r="C823" s="18">
        <v>0</v>
      </c>
      <c r="D823" s="18">
        <v>13105</v>
      </c>
      <c r="E823" s="89" t="s">
        <v>31</v>
      </c>
      <c r="F823" s="20">
        <v>42812</v>
      </c>
      <c r="G823" s="31">
        <v>353.79</v>
      </c>
      <c r="H823" s="2"/>
      <c r="K823" s="81"/>
    </row>
    <row r="824" spans="1:11" ht="15.75" hidden="1" customHeight="1">
      <c r="A824" s="64"/>
      <c r="B824" s="23"/>
      <c r="C824" s="23"/>
      <c r="D824" s="23"/>
      <c r="E824" s="24" t="s">
        <v>45</v>
      </c>
      <c r="F824" s="24"/>
      <c r="G824" s="25">
        <v>0</v>
      </c>
      <c r="H824" s="2"/>
      <c r="K824" s="81"/>
    </row>
    <row r="825" spans="1:11" ht="15.75" hidden="1" customHeight="1">
      <c r="A825" s="64"/>
      <c r="B825" s="11">
        <v>45775</v>
      </c>
      <c r="C825" s="12">
        <v>0</v>
      </c>
      <c r="D825" s="12">
        <v>13105</v>
      </c>
      <c r="E825" s="90" t="s">
        <v>31</v>
      </c>
      <c r="F825" s="27">
        <v>42813</v>
      </c>
      <c r="G825" s="28">
        <v>197.19</v>
      </c>
      <c r="H825" s="2"/>
      <c r="K825" s="81"/>
    </row>
    <row r="826" spans="1:11" ht="15.75" hidden="1" customHeight="1">
      <c r="A826" s="64"/>
      <c r="B826" s="29"/>
      <c r="C826" s="29"/>
      <c r="D826" s="29"/>
      <c r="E826" s="13" t="s">
        <v>51</v>
      </c>
      <c r="F826" s="13"/>
      <c r="G826" s="30">
        <v>0</v>
      </c>
      <c r="H826" s="2"/>
      <c r="K826" s="81"/>
    </row>
    <row r="827" spans="1:11" ht="15.75" hidden="1" customHeight="1">
      <c r="A827" s="64"/>
      <c r="B827" s="17">
        <v>45775</v>
      </c>
      <c r="C827" s="18">
        <v>0</v>
      </c>
      <c r="D827" s="18">
        <v>13105</v>
      </c>
      <c r="E827" s="89" t="s">
        <v>118</v>
      </c>
      <c r="F827" s="20">
        <v>42814</v>
      </c>
      <c r="G827" s="31">
        <v>249.41</v>
      </c>
      <c r="H827" s="2"/>
      <c r="K827" s="81"/>
    </row>
    <row r="828" spans="1:11" ht="15.75" hidden="1" customHeight="1">
      <c r="A828" s="64"/>
      <c r="B828" s="23"/>
      <c r="C828" s="23"/>
      <c r="D828" s="23"/>
      <c r="E828" s="24" t="s">
        <v>525</v>
      </c>
      <c r="F828" s="24"/>
      <c r="G828" s="25">
        <v>0</v>
      </c>
      <c r="H828" s="2"/>
      <c r="K828" s="81"/>
    </row>
    <row r="829" spans="1:11" ht="15.75" hidden="1" customHeight="1">
      <c r="A829" s="64"/>
      <c r="B829" s="11">
        <v>45775</v>
      </c>
      <c r="C829" s="12">
        <v>0</v>
      </c>
      <c r="D829" s="12">
        <v>0</v>
      </c>
      <c r="E829" s="90" t="s">
        <v>59</v>
      </c>
      <c r="F829" s="27">
        <v>9903</v>
      </c>
      <c r="G829" s="28">
        <v>14583.51</v>
      </c>
      <c r="H829" s="2"/>
      <c r="K829" s="81"/>
    </row>
    <row r="830" spans="1:11" ht="15.75" hidden="1" customHeight="1">
      <c r="A830" s="64"/>
      <c r="B830" s="29"/>
      <c r="C830" s="29"/>
      <c r="D830" s="29"/>
      <c r="E830" s="13" t="s">
        <v>53</v>
      </c>
      <c r="F830" s="13"/>
      <c r="G830" s="30">
        <v>0</v>
      </c>
      <c r="H830" s="2"/>
      <c r="K830" s="81"/>
    </row>
    <row r="831" spans="1:11" ht="15.75" hidden="1" customHeight="1">
      <c r="A831" s="64"/>
      <c r="B831" s="17">
        <v>45776</v>
      </c>
      <c r="C831" s="18">
        <v>0</v>
      </c>
      <c r="D831" s="18">
        <v>14175</v>
      </c>
      <c r="E831" s="89" t="s">
        <v>62</v>
      </c>
      <c r="F831" s="20">
        <v>379107151</v>
      </c>
      <c r="G831" s="21">
        <v>400</v>
      </c>
      <c r="H831" s="2"/>
      <c r="K831" s="81"/>
    </row>
    <row r="832" spans="1:11" ht="15.75" hidden="1" customHeight="1">
      <c r="A832" s="64"/>
      <c r="B832" s="23"/>
      <c r="C832" s="23"/>
      <c r="D832" s="23"/>
      <c r="E832" s="24" t="s">
        <v>97</v>
      </c>
      <c r="F832" s="24"/>
      <c r="G832" s="25">
        <v>0</v>
      </c>
      <c r="H832" s="2"/>
      <c r="K832" s="81"/>
    </row>
    <row r="833" spans="1:11" ht="15.75" customHeight="1">
      <c r="A833" s="33" t="s">
        <v>140</v>
      </c>
      <c r="B833" s="34">
        <v>45776</v>
      </c>
      <c r="C833" s="35">
        <v>0</v>
      </c>
      <c r="D833" s="35">
        <v>14138</v>
      </c>
      <c r="E833" s="91" t="s">
        <v>141</v>
      </c>
      <c r="F833" s="69">
        <v>202504280123972</v>
      </c>
      <c r="G833" s="70">
        <v>405.36</v>
      </c>
      <c r="H833" s="2">
        <v>3328</v>
      </c>
      <c r="I833" s="64" t="s">
        <v>419</v>
      </c>
      <c r="K833" s="81"/>
    </row>
    <row r="834" spans="1:11" ht="15.75" hidden="1" customHeight="1">
      <c r="A834" s="64"/>
      <c r="B834" s="29"/>
      <c r="C834" s="29"/>
      <c r="D834" s="29"/>
      <c r="E834" s="13" t="s">
        <v>143</v>
      </c>
      <c r="F834" s="13"/>
      <c r="G834" s="30">
        <v>0</v>
      </c>
      <c r="H834" s="2"/>
      <c r="K834" s="81"/>
    </row>
    <row r="835" spans="1:11" ht="15.75" customHeight="1">
      <c r="A835" s="33" t="s">
        <v>140</v>
      </c>
      <c r="B835" s="41">
        <v>45776</v>
      </c>
      <c r="C835" s="42">
        <v>0</v>
      </c>
      <c r="D835" s="42">
        <v>14138</v>
      </c>
      <c r="E835" s="92" t="s">
        <v>141</v>
      </c>
      <c r="F835" s="74">
        <v>202504280123974</v>
      </c>
      <c r="G835" s="75">
        <v>178.17</v>
      </c>
      <c r="H835" s="2">
        <v>3447</v>
      </c>
      <c r="I835" s="64" t="s">
        <v>526</v>
      </c>
      <c r="K835" s="81"/>
    </row>
    <row r="836" spans="1:11" ht="15.75" hidden="1" customHeight="1">
      <c r="A836" s="64"/>
      <c r="B836" s="23"/>
      <c r="C836" s="23"/>
      <c r="D836" s="23"/>
      <c r="E836" s="24" t="s">
        <v>143</v>
      </c>
      <c r="F836" s="24"/>
      <c r="G836" s="25">
        <v>0</v>
      </c>
      <c r="H836" s="2"/>
      <c r="K836" s="81"/>
    </row>
    <row r="837" spans="1:11" ht="15.75" customHeight="1">
      <c r="A837" s="33" t="s">
        <v>140</v>
      </c>
      <c r="B837" s="34">
        <v>45776</v>
      </c>
      <c r="C837" s="35">
        <v>0</v>
      </c>
      <c r="D837" s="35">
        <v>14138</v>
      </c>
      <c r="E837" s="91" t="s">
        <v>141</v>
      </c>
      <c r="F837" s="69">
        <v>202504280139489</v>
      </c>
      <c r="G837" s="70">
        <v>1668.08</v>
      </c>
      <c r="H837" s="2">
        <v>3381</v>
      </c>
      <c r="I837" s="64" t="s">
        <v>428</v>
      </c>
      <c r="K837" s="81"/>
    </row>
    <row r="838" spans="1:11" ht="15.75" hidden="1" customHeight="1">
      <c r="A838" s="64"/>
      <c r="B838" s="29"/>
      <c r="C838" s="29"/>
      <c r="D838" s="29"/>
      <c r="E838" s="13" t="s">
        <v>143</v>
      </c>
      <c r="F838" s="13"/>
      <c r="G838" s="30">
        <v>0</v>
      </c>
      <c r="H838" s="2"/>
      <c r="K838" s="81"/>
    </row>
    <row r="839" spans="1:11" ht="15.75" customHeight="1">
      <c r="A839" s="33" t="s">
        <v>140</v>
      </c>
      <c r="B839" s="41">
        <v>45776</v>
      </c>
      <c r="C839" s="42">
        <v>0</v>
      </c>
      <c r="D839" s="42">
        <v>14138</v>
      </c>
      <c r="E839" s="92" t="s">
        <v>141</v>
      </c>
      <c r="F839" s="74">
        <v>202504280139498</v>
      </c>
      <c r="G839" s="75">
        <v>1482.84</v>
      </c>
      <c r="H839" s="2">
        <v>3427</v>
      </c>
      <c r="I839" s="64" t="s">
        <v>428</v>
      </c>
      <c r="K839" s="81"/>
    </row>
    <row r="840" spans="1:11" ht="15.75" hidden="1" customHeight="1">
      <c r="A840" s="64"/>
      <c r="B840" s="23"/>
      <c r="C840" s="23"/>
      <c r="D840" s="23"/>
      <c r="E840" s="24" t="s">
        <v>143</v>
      </c>
      <c r="F840" s="24"/>
      <c r="G840" s="25">
        <v>0</v>
      </c>
      <c r="H840" s="2"/>
      <c r="K840" s="81"/>
    </row>
    <row r="841" spans="1:11" ht="15.75" customHeight="1">
      <c r="A841" s="33" t="s">
        <v>140</v>
      </c>
      <c r="B841" s="34">
        <v>45776</v>
      </c>
      <c r="C841" s="35">
        <v>0</v>
      </c>
      <c r="D841" s="35">
        <v>14138</v>
      </c>
      <c r="E841" s="91" t="s">
        <v>141</v>
      </c>
      <c r="F841" s="69">
        <v>202504280139506</v>
      </c>
      <c r="G841" s="70">
        <v>238</v>
      </c>
      <c r="H841" s="2">
        <v>3328</v>
      </c>
      <c r="I841" s="64" t="s">
        <v>419</v>
      </c>
      <c r="K841" s="81"/>
    </row>
    <row r="842" spans="1:11" ht="15.75" hidden="1" customHeight="1">
      <c r="A842" s="64"/>
      <c r="B842" s="29"/>
      <c r="C842" s="29"/>
      <c r="D842" s="29"/>
      <c r="E842" s="13" t="s">
        <v>143</v>
      </c>
      <c r="F842" s="13"/>
      <c r="G842" s="30">
        <v>0</v>
      </c>
      <c r="H842" s="2"/>
      <c r="K842" s="81"/>
    </row>
    <row r="843" spans="1:11" ht="15.75" customHeight="1">
      <c r="A843" s="33" t="s">
        <v>140</v>
      </c>
      <c r="B843" s="41">
        <v>45776</v>
      </c>
      <c r="C843" s="42">
        <v>0</v>
      </c>
      <c r="D843" s="42">
        <v>14138</v>
      </c>
      <c r="E843" s="92" t="s">
        <v>141</v>
      </c>
      <c r="F843" s="74">
        <v>202504280139526</v>
      </c>
      <c r="G843" s="75">
        <v>238</v>
      </c>
      <c r="H843" s="2">
        <v>3419</v>
      </c>
      <c r="I843" s="64" t="s">
        <v>419</v>
      </c>
      <c r="K843" s="81"/>
    </row>
    <row r="844" spans="1:11" ht="15.75" hidden="1" customHeight="1">
      <c r="A844" s="64"/>
      <c r="B844" s="107"/>
      <c r="C844" s="107"/>
      <c r="D844" s="107"/>
      <c r="E844" s="108" t="s">
        <v>143</v>
      </c>
      <c r="F844" s="108"/>
      <c r="G844" s="109">
        <v>0</v>
      </c>
      <c r="H844" s="2"/>
      <c r="K844" s="81"/>
    </row>
    <row r="845" spans="1:11" ht="21" hidden="1" customHeight="1">
      <c r="A845" s="64"/>
      <c r="B845" s="110">
        <v>45776</v>
      </c>
      <c r="C845" s="111">
        <v>0</v>
      </c>
      <c r="D845" s="111">
        <v>14397</v>
      </c>
      <c r="E845" s="112" t="s">
        <v>57</v>
      </c>
      <c r="F845" s="113">
        <v>459523101649701</v>
      </c>
      <c r="G845" s="114">
        <v>367.64</v>
      </c>
      <c r="H845" s="2"/>
      <c r="K845" s="81"/>
    </row>
    <row r="846" spans="1:11" ht="21" hidden="1" customHeight="1">
      <c r="B846" s="115"/>
      <c r="C846" s="115"/>
      <c r="D846" s="115"/>
      <c r="E846" s="116" t="s">
        <v>527</v>
      </c>
      <c r="F846" s="116"/>
      <c r="G846" s="117">
        <v>0</v>
      </c>
      <c r="H846" s="2"/>
      <c r="K846" s="81"/>
    </row>
    <row r="847" spans="1:11" ht="15.75" hidden="1" customHeight="1">
      <c r="B847" s="118">
        <v>45776</v>
      </c>
      <c r="C847" s="119">
        <v>0</v>
      </c>
      <c r="D847" s="119">
        <v>14397</v>
      </c>
      <c r="E847" s="120" t="s">
        <v>57</v>
      </c>
      <c r="F847" s="121">
        <v>459529448265411</v>
      </c>
      <c r="G847" s="122">
        <v>232.75</v>
      </c>
      <c r="H847" s="2"/>
      <c r="K847" s="81"/>
    </row>
    <row r="848" spans="1:11" ht="18" hidden="1" customHeight="1">
      <c r="B848" s="107"/>
      <c r="C848" s="107"/>
      <c r="D848" s="107"/>
      <c r="E848" s="108" t="s">
        <v>528</v>
      </c>
      <c r="F848" s="108"/>
      <c r="G848" s="109">
        <v>0</v>
      </c>
      <c r="H848" s="2"/>
      <c r="K848" s="81"/>
    </row>
    <row r="849" spans="2:11" ht="21.75" hidden="1" customHeight="1">
      <c r="B849" s="110">
        <v>45776</v>
      </c>
      <c r="C849" s="111">
        <v>1533</v>
      </c>
      <c r="D849" s="111">
        <v>99008</v>
      </c>
      <c r="E849" s="112" t="s">
        <v>29</v>
      </c>
      <c r="F849" s="113">
        <v>284465</v>
      </c>
      <c r="G849" s="123">
        <v>126.86</v>
      </c>
      <c r="H849" s="2"/>
      <c r="K849" s="81"/>
    </row>
    <row r="850" spans="2:11" ht="15.75" hidden="1" customHeight="1">
      <c r="B850" s="115"/>
      <c r="C850" s="115"/>
      <c r="D850" s="115"/>
      <c r="E850" s="116" t="s">
        <v>529</v>
      </c>
      <c r="F850" s="116"/>
      <c r="G850" s="117">
        <v>0</v>
      </c>
      <c r="H850" s="2"/>
      <c r="K850" s="81"/>
    </row>
    <row r="851" spans="2:11" ht="15.75" hidden="1" customHeight="1">
      <c r="B851" s="118">
        <v>45776</v>
      </c>
      <c r="C851" s="119">
        <v>0</v>
      </c>
      <c r="D851" s="119">
        <v>13105</v>
      </c>
      <c r="E851" s="120" t="s">
        <v>80</v>
      </c>
      <c r="F851" s="121">
        <v>42901</v>
      </c>
      <c r="G851" s="124">
        <v>13990.02</v>
      </c>
      <c r="H851" s="2"/>
      <c r="K851" s="81"/>
    </row>
    <row r="852" spans="2:11" ht="15.75" hidden="1" customHeight="1">
      <c r="B852" s="107"/>
      <c r="C852" s="107"/>
      <c r="D852" s="107"/>
      <c r="E852" s="108" t="s">
        <v>154</v>
      </c>
      <c r="F852" s="108"/>
      <c r="G852" s="109">
        <v>0</v>
      </c>
      <c r="H852" s="2"/>
      <c r="K852" s="81"/>
    </row>
    <row r="853" spans="2:11" ht="15.75" hidden="1" customHeight="1">
      <c r="B853" s="110">
        <v>45776</v>
      </c>
      <c r="C853" s="111">
        <v>0</v>
      </c>
      <c r="D853" s="111">
        <v>13105</v>
      </c>
      <c r="E853" s="112" t="s">
        <v>80</v>
      </c>
      <c r="F853" s="113">
        <v>42902</v>
      </c>
      <c r="G853" s="123">
        <v>625.04</v>
      </c>
      <c r="H853" s="2"/>
      <c r="K853" s="81"/>
    </row>
    <row r="854" spans="2:11" ht="15.75" hidden="1" customHeight="1">
      <c r="B854" s="115"/>
      <c r="C854" s="115"/>
      <c r="D854" s="115"/>
      <c r="E854" s="116" t="s">
        <v>81</v>
      </c>
      <c r="F854" s="116"/>
      <c r="G854" s="117">
        <v>0</v>
      </c>
      <c r="H854" s="2"/>
      <c r="K854" s="81"/>
    </row>
    <row r="855" spans="2:11" ht="15.75" hidden="1" customHeight="1">
      <c r="B855" s="118">
        <v>45776</v>
      </c>
      <c r="C855" s="119">
        <v>0</v>
      </c>
      <c r="D855" s="119">
        <v>13105</v>
      </c>
      <c r="E855" s="120" t="s">
        <v>31</v>
      </c>
      <c r="F855" s="121">
        <v>42903</v>
      </c>
      <c r="G855" s="124">
        <v>720.75</v>
      </c>
      <c r="H855" s="2"/>
      <c r="K855" s="81"/>
    </row>
    <row r="856" spans="2:11" ht="15.75" hidden="1" customHeight="1">
      <c r="B856" s="107"/>
      <c r="C856" s="107"/>
      <c r="D856" s="107"/>
      <c r="E856" s="108" t="s">
        <v>66</v>
      </c>
      <c r="F856" s="108"/>
      <c r="G856" s="109">
        <v>0</v>
      </c>
      <c r="H856" s="2"/>
      <c r="K856" s="81"/>
    </row>
    <row r="857" spans="2:11" ht="15.75" hidden="1" customHeight="1">
      <c r="B857" s="110">
        <v>45776</v>
      </c>
      <c r="C857" s="111">
        <v>0</v>
      </c>
      <c r="D857" s="111">
        <v>13105</v>
      </c>
      <c r="E857" s="112" t="s">
        <v>31</v>
      </c>
      <c r="F857" s="113">
        <v>42904</v>
      </c>
      <c r="G857" s="123">
        <v>4020</v>
      </c>
      <c r="H857" s="2"/>
      <c r="K857" s="81"/>
    </row>
    <row r="858" spans="2:11" ht="15.75" hidden="1" customHeight="1">
      <c r="B858" s="115"/>
      <c r="C858" s="115"/>
      <c r="D858" s="115"/>
      <c r="E858" s="116" t="s">
        <v>530</v>
      </c>
      <c r="F858" s="116"/>
      <c r="G858" s="117">
        <v>0</v>
      </c>
      <c r="H858" s="2"/>
      <c r="K858" s="81"/>
    </row>
    <row r="859" spans="2:11" ht="15.75" hidden="1" customHeight="1">
      <c r="B859" s="118">
        <v>45776</v>
      </c>
      <c r="C859" s="119">
        <v>0</v>
      </c>
      <c r="D859" s="119">
        <v>0</v>
      </c>
      <c r="E859" s="120" t="s">
        <v>52</v>
      </c>
      <c r="F859" s="121">
        <v>9903</v>
      </c>
      <c r="G859" s="122">
        <v>14271.83</v>
      </c>
      <c r="H859" s="2"/>
      <c r="K859" s="81"/>
    </row>
    <row r="860" spans="2:11" ht="15.75" hidden="1" customHeight="1">
      <c r="B860" s="107"/>
      <c r="C860" s="107"/>
      <c r="D860" s="107"/>
      <c r="E860" s="108" t="s">
        <v>53</v>
      </c>
      <c r="F860" s="108"/>
      <c r="G860" s="109">
        <v>0</v>
      </c>
      <c r="H860" s="2"/>
      <c r="K860" s="81"/>
    </row>
    <row r="861" spans="2:11" ht="15.75" hidden="1" customHeight="1">
      <c r="B861" s="110">
        <v>45777</v>
      </c>
      <c r="C861" s="111">
        <v>128</v>
      </c>
      <c r="D861" s="111">
        <v>99021</v>
      </c>
      <c r="E861" s="112" t="s">
        <v>27</v>
      </c>
      <c r="F861" s="113">
        <v>610128000064860</v>
      </c>
      <c r="G861" s="114">
        <v>1778.13</v>
      </c>
      <c r="H861" s="2"/>
      <c r="K861" s="81"/>
    </row>
    <row r="862" spans="2:11" ht="15.75" hidden="1" customHeight="1">
      <c r="B862" s="115"/>
      <c r="C862" s="115"/>
      <c r="D862" s="115"/>
      <c r="E862" s="116" t="s">
        <v>531</v>
      </c>
      <c r="F862" s="116"/>
      <c r="G862" s="117">
        <v>0</v>
      </c>
      <c r="H862" s="2"/>
      <c r="K862" s="81"/>
    </row>
    <row r="863" spans="2:11" ht="15.75" hidden="1" customHeight="1">
      <c r="B863" s="118">
        <v>45777</v>
      </c>
      <c r="C863" s="119">
        <v>0</v>
      </c>
      <c r="D863" s="119">
        <v>14175</v>
      </c>
      <c r="E863" s="120" t="s">
        <v>62</v>
      </c>
      <c r="F863" s="121">
        <v>379360893</v>
      </c>
      <c r="G863" s="122">
        <v>7000</v>
      </c>
      <c r="H863" s="2"/>
      <c r="K863" s="81"/>
    </row>
    <row r="864" spans="2:11" ht="15.75" hidden="1" customHeight="1">
      <c r="B864" s="107"/>
      <c r="C864" s="107"/>
      <c r="D864" s="107"/>
      <c r="E864" s="108" t="s">
        <v>97</v>
      </c>
      <c r="F864" s="108"/>
      <c r="G864" s="109">
        <v>0</v>
      </c>
      <c r="H864" s="2"/>
      <c r="K864" s="81"/>
    </row>
    <row r="865" spans="2:11" ht="15.75" hidden="1" customHeight="1">
      <c r="B865" s="110">
        <v>45777</v>
      </c>
      <c r="C865" s="111">
        <v>0</v>
      </c>
      <c r="D865" s="111">
        <v>14397</v>
      </c>
      <c r="E865" s="112" t="s">
        <v>57</v>
      </c>
      <c r="F865" s="113">
        <v>300848461297362</v>
      </c>
      <c r="G865" s="114">
        <v>80</v>
      </c>
      <c r="H865" s="2"/>
      <c r="K865" s="81"/>
    </row>
    <row r="866" spans="2:11" ht="15.75" hidden="1" customHeight="1">
      <c r="B866" s="115"/>
      <c r="C866" s="115"/>
      <c r="D866" s="115"/>
      <c r="E866" s="116" t="s">
        <v>532</v>
      </c>
      <c r="F866" s="116"/>
      <c r="G866" s="117">
        <v>0</v>
      </c>
      <c r="H866" s="2"/>
      <c r="K866" s="81"/>
    </row>
    <row r="867" spans="2:11" ht="15.75" hidden="1" customHeight="1">
      <c r="B867" s="118">
        <v>45777</v>
      </c>
      <c r="C867" s="119">
        <v>0</v>
      </c>
      <c r="D867" s="119">
        <v>14397</v>
      </c>
      <c r="E867" s="120" t="s">
        <v>57</v>
      </c>
      <c r="F867" s="121">
        <v>460151112262101</v>
      </c>
      <c r="G867" s="122">
        <v>1650.2</v>
      </c>
      <c r="H867" s="2"/>
      <c r="K867" s="81"/>
    </row>
    <row r="868" spans="2:11" ht="15.75" hidden="1" customHeight="1">
      <c r="B868" s="107"/>
      <c r="C868" s="107"/>
      <c r="D868" s="107"/>
      <c r="E868" s="108" t="s">
        <v>533</v>
      </c>
      <c r="F868" s="108"/>
      <c r="G868" s="109">
        <v>0</v>
      </c>
      <c r="H868" s="2"/>
      <c r="K868" s="81"/>
    </row>
    <row r="869" spans="2:11" ht="15.75" hidden="1" customHeight="1">
      <c r="B869" s="110">
        <v>45777</v>
      </c>
      <c r="C869" s="111">
        <v>0</v>
      </c>
      <c r="D869" s="111">
        <v>14397</v>
      </c>
      <c r="E869" s="112" t="s">
        <v>57</v>
      </c>
      <c r="F869" s="113">
        <v>460364185229401</v>
      </c>
      <c r="G869" s="114">
        <v>712.31</v>
      </c>
      <c r="H869" s="2"/>
      <c r="K869" s="81"/>
    </row>
    <row r="870" spans="2:11" ht="15.75" hidden="1" customHeight="1">
      <c r="B870" s="115"/>
      <c r="C870" s="115"/>
      <c r="D870" s="115"/>
      <c r="E870" s="116" t="s">
        <v>534</v>
      </c>
      <c r="F870" s="116"/>
      <c r="G870" s="117">
        <v>0</v>
      </c>
      <c r="H870" s="2"/>
      <c r="K870" s="81"/>
    </row>
    <row r="871" spans="2:11" ht="15.75" hidden="1" customHeight="1">
      <c r="B871" s="118">
        <v>45777</v>
      </c>
      <c r="C871" s="119">
        <v>0</v>
      </c>
      <c r="D871" s="119">
        <v>14397</v>
      </c>
      <c r="E871" s="120" t="s">
        <v>57</v>
      </c>
      <c r="F871" s="121">
        <v>460397848632111</v>
      </c>
      <c r="G871" s="122">
        <v>265.75</v>
      </c>
      <c r="H871" s="2"/>
      <c r="K871" s="81"/>
    </row>
    <row r="872" spans="2:11" ht="15.75" hidden="1" customHeight="1">
      <c r="B872" s="107"/>
      <c r="C872" s="107"/>
      <c r="D872" s="107"/>
      <c r="E872" s="108" t="s">
        <v>535</v>
      </c>
      <c r="F872" s="108"/>
      <c r="G872" s="109">
        <v>0</v>
      </c>
      <c r="H872" s="2"/>
      <c r="K872" s="81"/>
    </row>
    <row r="873" spans="2:11" ht="15.75" hidden="1" customHeight="1">
      <c r="B873" s="110">
        <v>45777</v>
      </c>
      <c r="C873" s="111">
        <v>0</v>
      </c>
      <c r="D873" s="111">
        <v>13105</v>
      </c>
      <c r="E873" s="112" t="s">
        <v>80</v>
      </c>
      <c r="F873" s="113">
        <v>43001</v>
      </c>
      <c r="G873" s="123">
        <v>4574.75</v>
      </c>
      <c r="H873" s="2"/>
      <c r="K873" s="81"/>
    </row>
    <row r="874" spans="2:11" ht="15.75" hidden="1" customHeight="1">
      <c r="B874" s="115"/>
      <c r="C874" s="115"/>
      <c r="D874" s="115"/>
      <c r="E874" s="116" t="s">
        <v>172</v>
      </c>
      <c r="F874" s="116"/>
      <c r="G874" s="117">
        <v>0</v>
      </c>
      <c r="H874" s="2"/>
      <c r="K874" s="81"/>
    </row>
    <row r="875" spans="2:11" ht="15.75" hidden="1" customHeight="1">
      <c r="B875" s="118">
        <v>45777</v>
      </c>
      <c r="C875" s="119">
        <v>0</v>
      </c>
      <c r="D875" s="119">
        <v>13105</v>
      </c>
      <c r="E875" s="120" t="s">
        <v>31</v>
      </c>
      <c r="F875" s="121">
        <v>43002</v>
      </c>
      <c r="G875" s="124">
        <v>741.98</v>
      </c>
      <c r="H875" s="2"/>
      <c r="K875" s="81"/>
    </row>
    <row r="876" spans="2:11" ht="15.75" hidden="1" customHeight="1">
      <c r="B876" s="107"/>
      <c r="C876" s="107"/>
      <c r="D876" s="107"/>
      <c r="E876" s="108" t="s">
        <v>188</v>
      </c>
      <c r="F876" s="108"/>
      <c r="G876" s="109">
        <v>0</v>
      </c>
      <c r="H876" s="2"/>
      <c r="K876" s="81"/>
    </row>
    <row r="877" spans="2:11" ht="15.75" hidden="1" customHeight="1">
      <c r="B877" s="110">
        <v>45777</v>
      </c>
      <c r="C877" s="111">
        <v>0</v>
      </c>
      <c r="D877" s="111">
        <v>13105</v>
      </c>
      <c r="E877" s="112" t="s">
        <v>80</v>
      </c>
      <c r="F877" s="113">
        <v>43003</v>
      </c>
      <c r="G877" s="123">
        <v>411.34</v>
      </c>
      <c r="H877" s="2"/>
      <c r="K877" s="81"/>
    </row>
    <row r="878" spans="2:11" ht="15.75" hidden="1" customHeight="1">
      <c r="B878" s="115"/>
      <c r="C878" s="115"/>
      <c r="D878" s="115"/>
      <c r="E878" s="116" t="s">
        <v>81</v>
      </c>
      <c r="F878" s="116"/>
      <c r="G878" s="117">
        <v>0</v>
      </c>
      <c r="H878" s="2"/>
      <c r="K878" s="81"/>
    </row>
    <row r="879" spans="2:11" ht="15.75" hidden="1" customHeight="1">
      <c r="B879" s="118">
        <v>45777</v>
      </c>
      <c r="C879" s="119">
        <v>0</v>
      </c>
      <c r="D879" s="119">
        <v>13105</v>
      </c>
      <c r="E879" s="120" t="s">
        <v>31</v>
      </c>
      <c r="F879" s="121">
        <v>43004</v>
      </c>
      <c r="G879" s="124">
        <v>95</v>
      </c>
      <c r="H879" s="2"/>
      <c r="K879" s="81"/>
    </row>
    <row r="880" spans="2:11" ht="15.75" hidden="1" customHeight="1">
      <c r="B880" s="107"/>
      <c r="C880" s="107"/>
      <c r="D880" s="107"/>
      <c r="E880" s="108" t="s">
        <v>43</v>
      </c>
      <c r="F880" s="108"/>
      <c r="G880" s="109">
        <v>0</v>
      </c>
      <c r="H880" s="2"/>
      <c r="K880" s="81"/>
    </row>
    <row r="881" spans="2:11" ht="15.75" hidden="1" customHeight="1">
      <c r="B881" s="110">
        <v>45777</v>
      </c>
      <c r="C881" s="111">
        <v>0</v>
      </c>
      <c r="D881" s="111">
        <v>13013</v>
      </c>
      <c r="E881" s="112" t="s">
        <v>204</v>
      </c>
      <c r="F881" s="113">
        <v>3941</v>
      </c>
      <c r="G881" s="123">
        <v>2378.1999999999998</v>
      </c>
      <c r="H881" s="2"/>
      <c r="K881" s="81"/>
    </row>
    <row r="882" spans="2:11" ht="15.75" hidden="1" customHeight="1">
      <c r="B882" s="115"/>
      <c r="C882" s="115"/>
      <c r="D882" s="115"/>
      <c r="E882" s="116" t="s">
        <v>205</v>
      </c>
      <c r="F882" s="116"/>
      <c r="G882" s="117">
        <v>0</v>
      </c>
      <c r="H882" s="2"/>
      <c r="K882" s="81"/>
    </row>
    <row r="883" spans="2:11" ht="15.75" hidden="1" customHeight="1">
      <c r="B883" s="118">
        <v>45777</v>
      </c>
      <c r="C883" s="119">
        <v>0</v>
      </c>
      <c r="D883" s="119">
        <v>13013</v>
      </c>
      <c r="E883" s="120" t="s">
        <v>204</v>
      </c>
      <c r="F883" s="121">
        <v>3941</v>
      </c>
      <c r="G883" s="124">
        <v>824.66</v>
      </c>
      <c r="H883" s="2"/>
      <c r="K883" s="81"/>
    </row>
    <row r="884" spans="2:11" ht="15.75" hidden="1" customHeight="1">
      <c r="B884" s="107"/>
      <c r="C884" s="107"/>
      <c r="D884" s="107"/>
      <c r="E884" s="108" t="s">
        <v>205</v>
      </c>
      <c r="F884" s="108"/>
      <c r="G884" s="109">
        <v>0</v>
      </c>
      <c r="H884" s="2"/>
      <c r="K884" s="81"/>
    </row>
    <row r="885" spans="2:11" ht="15.75" hidden="1" customHeight="1">
      <c r="B885" s="110">
        <v>45777</v>
      </c>
      <c r="C885" s="111">
        <v>0</v>
      </c>
      <c r="D885" s="111">
        <v>13013</v>
      </c>
      <c r="E885" s="112" t="s">
        <v>204</v>
      </c>
      <c r="F885" s="113">
        <v>3941</v>
      </c>
      <c r="G885" s="123">
        <v>793.49</v>
      </c>
      <c r="H885" s="2"/>
      <c r="K885" s="81"/>
    </row>
    <row r="886" spans="2:11" ht="15.75" hidden="1" customHeight="1">
      <c r="B886" s="115"/>
      <c r="C886" s="115"/>
      <c r="D886" s="115"/>
      <c r="E886" s="116" t="s">
        <v>205</v>
      </c>
      <c r="F886" s="116"/>
      <c r="G886" s="117">
        <v>0</v>
      </c>
      <c r="H886" s="2"/>
      <c r="K886" s="81"/>
    </row>
    <row r="887" spans="2:11" ht="15.75" hidden="1" customHeight="1">
      <c r="B887" s="118">
        <v>45777</v>
      </c>
      <c r="C887" s="119">
        <v>0</v>
      </c>
      <c r="D887" s="119">
        <v>13013</v>
      </c>
      <c r="E887" s="120" t="s">
        <v>204</v>
      </c>
      <c r="F887" s="121">
        <v>3941</v>
      </c>
      <c r="G887" s="124">
        <v>1007.56</v>
      </c>
      <c r="H887" s="2"/>
      <c r="K887" s="81"/>
    </row>
    <row r="888" spans="2:11" ht="15.75" hidden="1" customHeight="1">
      <c r="B888" s="107"/>
      <c r="C888" s="107"/>
      <c r="D888" s="107"/>
      <c r="E888" s="108" t="s">
        <v>205</v>
      </c>
      <c r="F888" s="108"/>
      <c r="G888" s="109">
        <v>0</v>
      </c>
      <c r="H888" s="2"/>
      <c r="K888" s="81"/>
    </row>
    <row r="889" spans="2:11" ht="15.75" hidden="1" customHeight="1">
      <c r="B889" s="110">
        <v>45777</v>
      </c>
      <c r="C889" s="111">
        <v>0</v>
      </c>
      <c r="D889" s="111">
        <v>0</v>
      </c>
      <c r="E889" s="112" t="s">
        <v>59</v>
      </c>
      <c r="F889" s="113">
        <v>9903</v>
      </c>
      <c r="G889" s="123">
        <v>659.41</v>
      </c>
      <c r="H889" s="2"/>
      <c r="K889" s="81"/>
    </row>
  </sheetData>
  <pageMargins left="0.511811024" right="0.511811024" top="0.78740157499999996" bottom="0.78740157499999996" header="0" footer="0"/>
  <pageSetup paperSize="9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M1098"/>
  <sheetViews>
    <sheetView workbookViewId="0"/>
  </sheetViews>
  <sheetFormatPr defaultColWidth="14.42578125" defaultRowHeight="15" customHeight="1"/>
  <cols>
    <col min="1" max="1" width="10.140625" customWidth="1"/>
    <col min="2" max="2" width="15.42578125" customWidth="1"/>
    <col min="3" max="3" width="7.42578125" customWidth="1"/>
    <col min="4" max="4" width="7.140625" customWidth="1"/>
    <col min="5" max="6" width="20.7109375" customWidth="1"/>
    <col min="7" max="7" width="16.28515625" customWidth="1"/>
    <col min="8" max="8" width="77.85546875" customWidth="1"/>
    <col min="9" max="9" width="12.28515625" customWidth="1"/>
    <col min="10" max="10" width="13.85546875" customWidth="1"/>
    <col min="11" max="11" width="14.28515625" customWidth="1"/>
    <col min="12" max="12" width="11.140625" customWidth="1"/>
    <col min="13" max="13" width="14.28515625" customWidth="1"/>
    <col min="14" max="26" width="8.7109375" customWidth="1"/>
  </cols>
  <sheetData>
    <row r="1" spans="1:13" ht="29.25" customHeight="1">
      <c r="A1" s="125" t="s">
        <v>18</v>
      </c>
      <c r="B1" s="126" t="s">
        <v>19</v>
      </c>
      <c r="C1" s="126" t="s">
        <v>20</v>
      </c>
      <c r="D1" s="126" t="s">
        <v>21</v>
      </c>
      <c r="E1" s="126" t="s">
        <v>22</v>
      </c>
      <c r="F1" s="126" t="s">
        <v>23</v>
      </c>
      <c r="G1" s="127" t="s">
        <v>24</v>
      </c>
      <c r="H1" s="128" t="s">
        <v>404</v>
      </c>
      <c r="I1" s="128" t="s">
        <v>405</v>
      </c>
      <c r="J1" s="79" t="s">
        <v>406</v>
      </c>
      <c r="K1" s="81">
        <f>SUMIF(I8:I1067,"Hematologia", G8:G1098)</f>
        <v>162800.04999999996</v>
      </c>
      <c r="L1" s="2" t="s">
        <v>536</v>
      </c>
      <c r="M1" s="129">
        <f>SUBTOTAL(9,Mai!$G$2:$G$1098)</f>
        <v>828438.80000000051</v>
      </c>
    </row>
    <row r="2" spans="1:13" ht="24" hidden="1">
      <c r="A2" s="64"/>
      <c r="B2" s="17">
        <v>45779</v>
      </c>
      <c r="C2" s="18">
        <v>0</v>
      </c>
      <c r="D2" s="18">
        <v>14175</v>
      </c>
      <c r="E2" s="65" t="s">
        <v>62</v>
      </c>
      <c r="F2" s="20">
        <v>379709184</v>
      </c>
      <c r="G2" s="21">
        <v>5500</v>
      </c>
      <c r="H2" s="2" t="s">
        <v>537</v>
      </c>
      <c r="K2" s="81"/>
    </row>
    <row r="3" spans="1:13" ht="28.5" hidden="1" customHeight="1">
      <c r="A3" s="64"/>
      <c r="B3" s="66"/>
      <c r="C3" s="66"/>
      <c r="D3" s="66"/>
      <c r="E3" s="24" t="s">
        <v>97</v>
      </c>
      <c r="F3" s="24"/>
      <c r="G3" s="25">
        <v>0</v>
      </c>
      <c r="H3" s="2"/>
      <c r="K3" s="81">
        <f>SUMIF(I10:I1069,"Hematologia", G10:G1069)</f>
        <v>160895.29999999996</v>
      </c>
    </row>
    <row r="4" spans="1:13" hidden="1">
      <c r="A4" s="64"/>
      <c r="B4" s="11">
        <v>45779</v>
      </c>
      <c r="C4" s="12">
        <v>0</v>
      </c>
      <c r="D4" s="12">
        <v>14397</v>
      </c>
      <c r="E4" s="76" t="s">
        <v>57</v>
      </c>
      <c r="F4" s="27">
        <v>21315345571562</v>
      </c>
      <c r="G4" s="15">
        <v>526.08000000000004</v>
      </c>
      <c r="H4" s="2"/>
      <c r="K4" s="81"/>
    </row>
    <row r="5" spans="1:13" ht="28.5" hidden="1" customHeight="1">
      <c r="A5" s="64"/>
      <c r="B5" s="71"/>
      <c r="C5" s="71"/>
      <c r="D5" s="71"/>
      <c r="E5" s="13" t="s">
        <v>538</v>
      </c>
      <c r="F5" s="13"/>
      <c r="G5" s="30">
        <v>0</v>
      </c>
      <c r="H5" s="2"/>
      <c r="K5" s="81">
        <f>SUMIF(I12:I1071,"Hematologia", G12:G1071)</f>
        <v>160591.60999999996</v>
      </c>
    </row>
    <row r="6" spans="1:13" hidden="1">
      <c r="A6" s="64"/>
      <c r="B6" s="17">
        <v>45779</v>
      </c>
      <c r="C6" s="18">
        <v>0</v>
      </c>
      <c r="D6" s="18">
        <v>14397</v>
      </c>
      <c r="E6" s="65" t="s">
        <v>57</v>
      </c>
      <c r="F6" s="20">
        <v>21445329484242</v>
      </c>
      <c r="G6" s="21">
        <v>45</v>
      </c>
      <c r="H6" s="2"/>
      <c r="K6" s="81"/>
    </row>
    <row r="7" spans="1:13" ht="28.5" hidden="1" customHeight="1">
      <c r="A7" s="64"/>
      <c r="B7" s="66"/>
      <c r="C7" s="66"/>
      <c r="D7" s="66"/>
      <c r="E7" s="24" t="s">
        <v>539</v>
      </c>
      <c r="F7" s="24"/>
      <c r="G7" s="25">
        <v>0</v>
      </c>
      <c r="H7" s="2"/>
      <c r="K7" s="81">
        <f>SUMIF(I14:I1073,"Hematologia", G14:G1073)</f>
        <v>158923.53</v>
      </c>
    </row>
    <row r="8" spans="1:13">
      <c r="A8" s="130" t="s">
        <v>140</v>
      </c>
      <c r="B8" s="34">
        <v>45779</v>
      </c>
      <c r="C8" s="35">
        <v>0</v>
      </c>
      <c r="D8" s="35">
        <v>14138</v>
      </c>
      <c r="E8" s="68" t="s">
        <v>141</v>
      </c>
      <c r="F8" s="69">
        <v>202504300023214</v>
      </c>
      <c r="G8" s="70">
        <v>1904.75</v>
      </c>
      <c r="H8" s="2" t="s">
        <v>540</v>
      </c>
      <c r="I8" s="79" t="s">
        <v>428</v>
      </c>
      <c r="J8" s="79" t="s">
        <v>541</v>
      </c>
      <c r="K8" s="81">
        <f>SUMIF(I8:I1067,"Coagulação", G8:G1067)</f>
        <v>22726.570000000003</v>
      </c>
      <c r="L8" s="79" t="s">
        <v>542</v>
      </c>
      <c r="M8" s="131">
        <f>SUMIF(A:A,"Baixado",G:G)</f>
        <v>227636.02999999991</v>
      </c>
    </row>
    <row r="9" spans="1:13" ht="28.5" hidden="1">
      <c r="A9" s="64"/>
      <c r="B9" s="71"/>
      <c r="C9" s="71"/>
      <c r="D9" s="71"/>
      <c r="E9" s="13" t="s">
        <v>143</v>
      </c>
      <c r="F9" s="13"/>
      <c r="G9" s="30">
        <v>0</v>
      </c>
      <c r="H9" s="2"/>
      <c r="K9" s="81">
        <f>SUMIF(I16:I1075,"Hematologia", G16:G1075)</f>
        <v>158923.53</v>
      </c>
    </row>
    <row r="10" spans="1:13">
      <c r="A10" s="130" t="s">
        <v>140</v>
      </c>
      <c r="B10" s="41">
        <v>45779</v>
      </c>
      <c r="C10" s="42">
        <v>0</v>
      </c>
      <c r="D10" s="42">
        <v>14138</v>
      </c>
      <c r="E10" s="73" t="s">
        <v>141</v>
      </c>
      <c r="F10" s="74">
        <v>202504300023219</v>
      </c>
      <c r="G10" s="75">
        <v>303.69</v>
      </c>
      <c r="H10" s="2">
        <v>3535</v>
      </c>
      <c r="I10" s="79" t="s">
        <v>428</v>
      </c>
      <c r="J10" s="79" t="s">
        <v>543</v>
      </c>
      <c r="K10" s="81">
        <f>SUMIF(I8:I1060,"TT/TTPA", G8:G1067)</f>
        <v>0</v>
      </c>
      <c r="L10" s="79" t="s">
        <v>544</v>
      </c>
      <c r="M10" s="131">
        <f>SUMIF(A:A,"Pendente",G:G)</f>
        <v>0</v>
      </c>
    </row>
    <row r="11" spans="1:13" ht="28.5" hidden="1">
      <c r="A11" s="64"/>
      <c r="B11" s="66"/>
      <c r="C11" s="66"/>
      <c r="D11" s="66"/>
      <c r="E11" s="24" t="s">
        <v>143</v>
      </c>
      <c r="F11" s="24"/>
      <c r="G11" s="25">
        <v>0</v>
      </c>
      <c r="H11" s="2"/>
      <c r="K11" s="81">
        <f>SUMIF(I18:I1077,"Hematologia", G18:G1077)</f>
        <v>158923.53</v>
      </c>
    </row>
    <row r="12" spans="1:13">
      <c r="A12" s="130" t="s">
        <v>140</v>
      </c>
      <c r="B12" s="34">
        <v>45779</v>
      </c>
      <c r="C12" s="35">
        <v>0</v>
      </c>
      <c r="D12" s="35">
        <v>14138</v>
      </c>
      <c r="E12" s="68" t="s">
        <v>141</v>
      </c>
      <c r="F12" s="69">
        <v>202504300023227</v>
      </c>
      <c r="G12" s="70">
        <v>1668.08</v>
      </c>
      <c r="H12" s="2">
        <v>3487</v>
      </c>
      <c r="I12" s="79" t="s">
        <v>428</v>
      </c>
      <c r="J12" s="79" t="s">
        <v>545</v>
      </c>
      <c r="K12" s="81">
        <f>SUMIF(I8:I1067,"Ionograma", G8:G1067)</f>
        <v>3910.44</v>
      </c>
    </row>
    <row r="13" spans="1:13" ht="28.5" hidden="1">
      <c r="A13" s="64"/>
      <c r="B13" s="71"/>
      <c r="C13" s="71"/>
      <c r="D13" s="71"/>
      <c r="E13" s="13" t="s">
        <v>143</v>
      </c>
      <c r="F13" s="13"/>
      <c r="G13" s="30">
        <v>0</v>
      </c>
      <c r="H13" s="2"/>
    </row>
    <row r="14" spans="1:13" hidden="1">
      <c r="A14" s="64"/>
      <c r="B14" s="17">
        <v>45779</v>
      </c>
      <c r="C14" s="18">
        <v>0</v>
      </c>
      <c r="D14" s="18">
        <v>14397</v>
      </c>
      <c r="E14" s="65" t="s">
        <v>57</v>
      </c>
      <c r="F14" s="20">
        <v>461924463784051</v>
      </c>
      <c r="G14" s="21">
        <v>299.33999999999997</v>
      </c>
      <c r="H14" s="2"/>
    </row>
    <row r="15" spans="1:13" ht="28.5" hidden="1" customHeight="1">
      <c r="A15" s="64"/>
      <c r="B15" s="66"/>
      <c r="C15" s="66"/>
      <c r="D15" s="66"/>
      <c r="E15" s="24" t="s">
        <v>546</v>
      </c>
      <c r="F15" s="24"/>
      <c r="G15" s="25">
        <v>0</v>
      </c>
      <c r="H15" s="2"/>
    </row>
    <row r="16" spans="1:13" hidden="1">
      <c r="A16" s="64"/>
      <c r="B16" s="11">
        <v>45779</v>
      </c>
      <c r="C16" s="12">
        <v>0</v>
      </c>
      <c r="D16" s="12">
        <v>14397</v>
      </c>
      <c r="E16" s="76" t="s">
        <v>57</v>
      </c>
      <c r="F16" s="27">
        <v>461959284912981</v>
      </c>
      <c r="G16" s="15">
        <v>95</v>
      </c>
      <c r="H16" s="2"/>
    </row>
    <row r="17" spans="1:8" ht="28.5" hidden="1" customHeight="1">
      <c r="A17" s="64"/>
      <c r="B17" s="71"/>
      <c r="C17" s="71"/>
      <c r="D17" s="71"/>
      <c r="E17" s="13" t="s">
        <v>547</v>
      </c>
      <c r="F17" s="13"/>
      <c r="G17" s="30">
        <v>0</v>
      </c>
      <c r="H17" s="2"/>
    </row>
    <row r="18" spans="1:8" hidden="1">
      <c r="A18" s="64"/>
      <c r="B18" s="17">
        <v>45779</v>
      </c>
      <c r="C18" s="18">
        <v>0</v>
      </c>
      <c r="D18" s="18">
        <v>14397</v>
      </c>
      <c r="E18" s="65" t="s">
        <v>57</v>
      </c>
      <c r="F18" s="20">
        <v>462016847829531</v>
      </c>
      <c r="G18" s="21">
        <v>526.08000000000004</v>
      </c>
      <c r="H18" s="2"/>
    </row>
    <row r="19" spans="1:8" ht="28.5" hidden="1" customHeight="1">
      <c r="A19" s="64"/>
      <c r="B19" s="66"/>
      <c r="C19" s="66"/>
      <c r="D19" s="66"/>
      <c r="E19" s="24" t="s">
        <v>548</v>
      </c>
      <c r="F19" s="24"/>
      <c r="G19" s="25">
        <v>0</v>
      </c>
      <c r="H19" s="2"/>
    </row>
    <row r="20" spans="1:8" hidden="1">
      <c r="A20" s="64"/>
      <c r="B20" s="11">
        <v>45779</v>
      </c>
      <c r="C20" s="12">
        <v>0</v>
      </c>
      <c r="D20" s="12">
        <v>14397</v>
      </c>
      <c r="E20" s="76" t="s">
        <v>57</v>
      </c>
      <c r="F20" s="27">
        <v>462151663820241</v>
      </c>
      <c r="G20" s="15">
        <v>3000</v>
      </c>
      <c r="H20" s="2"/>
    </row>
    <row r="21" spans="1:8" ht="28.5" hidden="1" customHeight="1">
      <c r="A21" s="64"/>
      <c r="B21" s="71"/>
      <c r="C21" s="71"/>
      <c r="D21" s="71"/>
      <c r="E21" s="13" t="s">
        <v>549</v>
      </c>
      <c r="F21" s="13"/>
      <c r="G21" s="30">
        <v>0</v>
      </c>
      <c r="H21" s="2"/>
    </row>
    <row r="22" spans="1:8" ht="15.75" hidden="1" customHeight="1">
      <c r="A22" s="64"/>
      <c r="B22" s="17">
        <v>45779</v>
      </c>
      <c r="C22" s="18">
        <v>1533</v>
      </c>
      <c r="D22" s="18">
        <v>99008</v>
      </c>
      <c r="E22" s="65" t="s">
        <v>29</v>
      </c>
      <c r="F22" s="20">
        <v>14870</v>
      </c>
      <c r="G22" s="31">
        <v>102.09</v>
      </c>
      <c r="H22" s="2"/>
    </row>
    <row r="23" spans="1:8" ht="15.75" hidden="1" customHeight="1">
      <c r="A23" s="64"/>
      <c r="B23" s="66"/>
      <c r="C23" s="66"/>
      <c r="D23" s="66"/>
      <c r="E23" s="24" t="s">
        <v>550</v>
      </c>
      <c r="F23" s="24"/>
      <c r="G23" s="25">
        <v>0</v>
      </c>
      <c r="H23" s="2"/>
    </row>
    <row r="24" spans="1:8" ht="15.75" hidden="1" customHeight="1">
      <c r="A24" s="64"/>
      <c r="B24" s="11">
        <v>45779</v>
      </c>
      <c r="C24" s="12">
        <v>1533</v>
      </c>
      <c r="D24" s="12">
        <v>99008</v>
      </c>
      <c r="E24" s="76" t="s">
        <v>29</v>
      </c>
      <c r="F24" s="27">
        <v>332442</v>
      </c>
      <c r="G24" s="28">
        <v>203.73</v>
      </c>
      <c r="H24" s="2"/>
    </row>
    <row r="25" spans="1:8" ht="15.75" hidden="1" customHeight="1">
      <c r="A25" s="64"/>
      <c r="B25" s="71"/>
      <c r="C25" s="71"/>
      <c r="D25" s="71"/>
      <c r="E25" s="13" t="s">
        <v>551</v>
      </c>
      <c r="F25" s="13"/>
      <c r="G25" s="30">
        <v>0</v>
      </c>
      <c r="H25" s="2"/>
    </row>
    <row r="26" spans="1:8" ht="15.75" hidden="1" customHeight="1">
      <c r="A26" s="64"/>
      <c r="B26" s="17">
        <v>45779</v>
      </c>
      <c r="C26" s="18">
        <v>0</v>
      </c>
      <c r="D26" s="18">
        <v>13105</v>
      </c>
      <c r="E26" s="65" t="s">
        <v>31</v>
      </c>
      <c r="F26" s="20">
        <v>50201</v>
      </c>
      <c r="G26" s="31">
        <v>380.44</v>
      </c>
      <c r="H26" s="2"/>
    </row>
    <row r="27" spans="1:8" ht="15.75" hidden="1" customHeight="1">
      <c r="A27" s="64"/>
      <c r="B27" s="66"/>
      <c r="C27" s="66"/>
      <c r="D27" s="66"/>
      <c r="E27" s="24" t="s">
        <v>183</v>
      </c>
      <c r="F27" s="24"/>
      <c r="G27" s="25">
        <v>0</v>
      </c>
      <c r="H27" s="2"/>
    </row>
    <row r="28" spans="1:8" ht="15.75" hidden="1" customHeight="1">
      <c r="A28" s="64"/>
      <c r="B28" s="11">
        <v>45779</v>
      </c>
      <c r="C28" s="12">
        <v>0</v>
      </c>
      <c r="D28" s="12">
        <v>13105</v>
      </c>
      <c r="E28" s="76" t="s">
        <v>31</v>
      </c>
      <c r="F28" s="27">
        <v>50202</v>
      </c>
      <c r="G28" s="28">
        <v>337.25</v>
      </c>
      <c r="H28" s="2"/>
    </row>
    <row r="29" spans="1:8" ht="15.75" hidden="1" customHeight="1">
      <c r="A29" s="64"/>
      <c r="B29" s="71"/>
      <c r="C29" s="71"/>
      <c r="D29" s="71"/>
      <c r="E29" s="13" t="s">
        <v>507</v>
      </c>
      <c r="F29" s="13"/>
      <c r="G29" s="30">
        <v>0</v>
      </c>
      <c r="H29" s="2"/>
    </row>
    <row r="30" spans="1:8" ht="15.75" hidden="1" customHeight="1">
      <c r="A30" s="64"/>
      <c r="B30" s="17">
        <v>45779</v>
      </c>
      <c r="C30" s="18">
        <v>0</v>
      </c>
      <c r="D30" s="18">
        <v>13105</v>
      </c>
      <c r="E30" s="65" t="s">
        <v>31</v>
      </c>
      <c r="F30" s="20">
        <v>50203</v>
      </c>
      <c r="G30" s="31">
        <v>1236.8599999999999</v>
      </c>
      <c r="H30" s="2"/>
    </row>
    <row r="31" spans="1:8" ht="28.5" hidden="1" customHeight="1">
      <c r="A31" s="64"/>
      <c r="B31" s="66"/>
      <c r="C31" s="66"/>
      <c r="D31" s="66"/>
      <c r="E31" s="24" t="s">
        <v>362</v>
      </c>
      <c r="F31" s="24"/>
      <c r="G31" s="25">
        <v>0</v>
      </c>
      <c r="H31" s="2"/>
    </row>
    <row r="32" spans="1:8" ht="15.75" hidden="1" customHeight="1">
      <c r="A32" s="64"/>
      <c r="B32" s="11">
        <v>45779</v>
      </c>
      <c r="C32" s="12">
        <v>0</v>
      </c>
      <c r="D32" s="12">
        <v>13105</v>
      </c>
      <c r="E32" s="76" t="s">
        <v>31</v>
      </c>
      <c r="F32" s="27">
        <v>50204</v>
      </c>
      <c r="G32" s="28">
        <v>1056</v>
      </c>
      <c r="H32" s="2"/>
    </row>
    <row r="33" spans="1:8" ht="15.75" hidden="1" customHeight="1">
      <c r="A33" s="64"/>
      <c r="B33" s="71"/>
      <c r="C33" s="71"/>
      <c r="D33" s="71"/>
      <c r="E33" s="13" t="s">
        <v>85</v>
      </c>
      <c r="F33" s="13"/>
      <c r="G33" s="30">
        <v>0</v>
      </c>
      <c r="H33" s="2"/>
    </row>
    <row r="34" spans="1:8" ht="15.75" hidden="1" customHeight="1">
      <c r="A34" s="64"/>
      <c r="B34" s="17">
        <v>45779</v>
      </c>
      <c r="C34" s="18">
        <v>0</v>
      </c>
      <c r="D34" s="18">
        <v>13105</v>
      </c>
      <c r="E34" s="65" t="s">
        <v>31</v>
      </c>
      <c r="F34" s="20">
        <v>50205</v>
      </c>
      <c r="G34" s="31">
        <v>999.75</v>
      </c>
      <c r="H34" s="2"/>
    </row>
    <row r="35" spans="1:8" ht="28.5" hidden="1" customHeight="1">
      <c r="A35" s="64"/>
      <c r="B35" s="66"/>
      <c r="C35" s="66"/>
      <c r="D35" s="66"/>
      <c r="E35" s="24" t="s">
        <v>40</v>
      </c>
      <c r="F35" s="24"/>
      <c r="G35" s="25">
        <v>0</v>
      </c>
      <c r="H35" s="2"/>
    </row>
    <row r="36" spans="1:8" ht="15.75" hidden="1" customHeight="1">
      <c r="A36" s="64"/>
      <c r="B36" s="11">
        <v>45779</v>
      </c>
      <c r="C36" s="12">
        <v>0</v>
      </c>
      <c r="D36" s="12">
        <v>13105</v>
      </c>
      <c r="E36" s="76" t="s">
        <v>31</v>
      </c>
      <c r="F36" s="27">
        <v>50206</v>
      </c>
      <c r="G36" s="28">
        <v>2677.13</v>
      </c>
      <c r="H36" s="2"/>
    </row>
    <row r="37" spans="1:8" ht="28.5" hidden="1" customHeight="1">
      <c r="A37" s="64"/>
      <c r="B37" s="71"/>
      <c r="C37" s="71"/>
      <c r="D37" s="71"/>
      <c r="E37" s="13" t="s">
        <v>65</v>
      </c>
      <c r="F37" s="13"/>
      <c r="G37" s="30">
        <v>0</v>
      </c>
      <c r="H37" s="2"/>
    </row>
    <row r="38" spans="1:8" ht="15.75" hidden="1" customHeight="1">
      <c r="A38" s="64"/>
      <c r="B38" s="17">
        <v>45779</v>
      </c>
      <c r="C38" s="18">
        <v>0</v>
      </c>
      <c r="D38" s="18">
        <v>13105</v>
      </c>
      <c r="E38" s="65" t="s">
        <v>31</v>
      </c>
      <c r="F38" s="20">
        <v>50207</v>
      </c>
      <c r="G38" s="31">
        <v>179.42</v>
      </c>
      <c r="H38" s="2"/>
    </row>
    <row r="39" spans="1:8" ht="28.5" hidden="1" customHeight="1">
      <c r="A39" s="64"/>
      <c r="B39" s="66"/>
      <c r="C39" s="66"/>
      <c r="D39" s="66"/>
      <c r="E39" s="24" t="s">
        <v>289</v>
      </c>
      <c r="F39" s="24"/>
      <c r="G39" s="25">
        <v>0</v>
      </c>
      <c r="H39" s="2"/>
    </row>
    <row r="40" spans="1:8" ht="15.75" hidden="1" customHeight="1">
      <c r="A40" s="64"/>
      <c r="B40" s="11">
        <v>45779</v>
      </c>
      <c r="C40" s="12">
        <v>0</v>
      </c>
      <c r="D40" s="12">
        <v>13105</v>
      </c>
      <c r="E40" s="76" t="s">
        <v>31</v>
      </c>
      <c r="F40" s="27">
        <v>50208</v>
      </c>
      <c r="G40" s="28">
        <v>389.3</v>
      </c>
      <c r="H40" s="2"/>
    </row>
    <row r="41" spans="1:8" ht="15.75" hidden="1" customHeight="1">
      <c r="A41" s="64"/>
      <c r="B41" s="71"/>
      <c r="C41" s="71"/>
      <c r="D41" s="71"/>
      <c r="E41" s="13" t="s">
        <v>51</v>
      </c>
      <c r="F41" s="13"/>
      <c r="G41" s="30">
        <v>0</v>
      </c>
      <c r="H41" s="2"/>
    </row>
    <row r="42" spans="1:8" ht="15.75" hidden="1" customHeight="1">
      <c r="A42" s="64"/>
      <c r="B42" s="17">
        <v>45779</v>
      </c>
      <c r="C42" s="18">
        <v>0</v>
      </c>
      <c r="D42" s="18">
        <v>13105</v>
      </c>
      <c r="E42" s="65" t="s">
        <v>31</v>
      </c>
      <c r="F42" s="20">
        <v>50209</v>
      </c>
      <c r="G42" s="31">
        <v>308.51</v>
      </c>
      <c r="H42" s="2"/>
    </row>
    <row r="43" spans="1:8" ht="28.5" hidden="1" customHeight="1">
      <c r="A43" s="64"/>
      <c r="B43" s="66"/>
      <c r="C43" s="66"/>
      <c r="D43" s="66"/>
      <c r="E43" s="24" t="s">
        <v>45</v>
      </c>
      <c r="F43" s="24"/>
      <c r="G43" s="25">
        <v>0</v>
      </c>
      <c r="H43" s="2"/>
    </row>
    <row r="44" spans="1:8" ht="15.75" hidden="1" customHeight="1">
      <c r="A44" s="64"/>
      <c r="B44" s="11">
        <v>45779</v>
      </c>
      <c r="C44" s="12">
        <v>0</v>
      </c>
      <c r="D44" s="12">
        <v>13105</v>
      </c>
      <c r="E44" s="76" t="s">
        <v>31</v>
      </c>
      <c r="F44" s="27">
        <v>50210</v>
      </c>
      <c r="G44" s="28">
        <v>240.29</v>
      </c>
      <c r="H44" s="2"/>
    </row>
    <row r="45" spans="1:8" ht="28.5" hidden="1" customHeight="1">
      <c r="A45" s="64"/>
      <c r="B45" s="71"/>
      <c r="C45" s="71"/>
      <c r="D45" s="71"/>
      <c r="E45" s="13" t="s">
        <v>45</v>
      </c>
      <c r="F45" s="13"/>
      <c r="G45" s="30">
        <v>0</v>
      </c>
      <c r="H45" s="2"/>
    </row>
    <row r="46" spans="1:8" ht="15.75" hidden="1" customHeight="1">
      <c r="A46" s="64"/>
      <c r="B46" s="17">
        <v>45779</v>
      </c>
      <c r="C46" s="18">
        <v>0</v>
      </c>
      <c r="D46" s="18">
        <v>13105</v>
      </c>
      <c r="E46" s="65" t="s">
        <v>31</v>
      </c>
      <c r="F46" s="20">
        <v>50211</v>
      </c>
      <c r="G46" s="31">
        <v>293.3</v>
      </c>
      <c r="H46" s="2"/>
    </row>
    <row r="47" spans="1:8" ht="28.5" hidden="1" customHeight="1">
      <c r="A47" s="64"/>
      <c r="B47" s="66"/>
      <c r="C47" s="66"/>
      <c r="D47" s="66"/>
      <c r="E47" s="24" t="s">
        <v>45</v>
      </c>
      <c r="F47" s="24"/>
      <c r="G47" s="25">
        <v>0</v>
      </c>
      <c r="H47" s="2"/>
    </row>
    <row r="48" spans="1:8" ht="15.75" hidden="1" customHeight="1">
      <c r="A48" s="64"/>
      <c r="B48" s="11">
        <v>45779</v>
      </c>
      <c r="C48" s="12">
        <v>0</v>
      </c>
      <c r="D48" s="12">
        <v>13105</v>
      </c>
      <c r="E48" s="76" t="s">
        <v>31</v>
      </c>
      <c r="F48" s="27">
        <v>50212</v>
      </c>
      <c r="G48" s="28">
        <v>386.19</v>
      </c>
      <c r="H48" s="2"/>
    </row>
    <row r="49" spans="1:8" ht="28.5" hidden="1" customHeight="1">
      <c r="A49" s="64"/>
      <c r="B49" s="71"/>
      <c r="C49" s="71"/>
      <c r="D49" s="71"/>
      <c r="E49" s="13" t="s">
        <v>45</v>
      </c>
      <c r="F49" s="13"/>
      <c r="G49" s="30">
        <v>0</v>
      </c>
      <c r="H49" s="2"/>
    </row>
    <row r="50" spans="1:8" ht="15.75" hidden="1" customHeight="1">
      <c r="A50" s="64"/>
      <c r="B50" s="17">
        <v>45779</v>
      </c>
      <c r="C50" s="18">
        <v>0</v>
      </c>
      <c r="D50" s="18">
        <v>13105</v>
      </c>
      <c r="E50" s="65" t="s">
        <v>31</v>
      </c>
      <c r="F50" s="20">
        <v>50213</v>
      </c>
      <c r="G50" s="31">
        <v>448.11</v>
      </c>
      <c r="H50" s="2"/>
    </row>
    <row r="51" spans="1:8" ht="28.5" hidden="1" customHeight="1">
      <c r="A51" s="64"/>
      <c r="B51" s="66"/>
      <c r="C51" s="66"/>
      <c r="D51" s="66"/>
      <c r="E51" s="24" t="s">
        <v>45</v>
      </c>
      <c r="F51" s="24"/>
      <c r="G51" s="25">
        <v>0</v>
      </c>
      <c r="H51" s="2"/>
    </row>
    <row r="52" spans="1:8" ht="15.75" hidden="1" customHeight="1">
      <c r="A52" s="64"/>
      <c r="B52" s="11">
        <v>45779</v>
      </c>
      <c r="C52" s="12">
        <v>0</v>
      </c>
      <c r="D52" s="12">
        <v>13105</v>
      </c>
      <c r="E52" s="76" t="s">
        <v>31</v>
      </c>
      <c r="F52" s="27">
        <v>50214</v>
      </c>
      <c r="G52" s="28">
        <v>509.9</v>
      </c>
      <c r="H52" s="2"/>
    </row>
    <row r="53" spans="1:8" ht="15.75" hidden="1" customHeight="1">
      <c r="A53" s="64"/>
      <c r="B53" s="71"/>
      <c r="C53" s="71"/>
      <c r="D53" s="71"/>
      <c r="E53" s="13" t="s">
        <v>46</v>
      </c>
      <c r="F53" s="13"/>
      <c r="G53" s="30">
        <v>0</v>
      </c>
      <c r="H53" s="2"/>
    </row>
    <row r="54" spans="1:8" ht="15.75" hidden="1" customHeight="1">
      <c r="A54" s="64"/>
      <c r="B54" s="17">
        <v>45779</v>
      </c>
      <c r="C54" s="18">
        <v>0</v>
      </c>
      <c r="D54" s="18">
        <v>13105</v>
      </c>
      <c r="E54" s="65" t="s">
        <v>31</v>
      </c>
      <c r="F54" s="20">
        <v>50215</v>
      </c>
      <c r="G54" s="31">
        <v>48.28</v>
      </c>
      <c r="H54" s="2"/>
    </row>
    <row r="55" spans="1:8" ht="15.75" hidden="1" customHeight="1">
      <c r="A55" s="64"/>
      <c r="B55" s="66"/>
      <c r="C55" s="66"/>
      <c r="D55" s="66"/>
      <c r="E55" s="24" t="s">
        <v>46</v>
      </c>
      <c r="F55" s="24"/>
      <c r="G55" s="25">
        <v>0</v>
      </c>
      <c r="H55" s="2"/>
    </row>
    <row r="56" spans="1:8" ht="15.75" hidden="1" customHeight="1">
      <c r="A56" s="64"/>
      <c r="B56" s="11">
        <v>45779</v>
      </c>
      <c r="C56" s="12">
        <v>0</v>
      </c>
      <c r="D56" s="12">
        <v>13105</v>
      </c>
      <c r="E56" s="76" t="s">
        <v>31</v>
      </c>
      <c r="F56" s="27">
        <v>50216</v>
      </c>
      <c r="G56" s="28">
        <v>421.76</v>
      </c>
      <c r="H56" s="2"/>
    </row>
    <row r="57" spans="1:8" ht="15.75" hidden="1" customHeight="1">
      <c r="A57" s="64"/>
      <c r="B57" s="71"/>
      <c r="C57" s="71"/>
      <c r="D57" s="71"/>
      <c r="E57" s="13" t="s">
        <v>46</v>
      </c>
      <c r="F57" s="13"/>
      <c r="G57" s="30">
        <v>0</v>
      </c>
      <c r="H57" s="2"/>
    </row>
    <row r="58" spans="1:8" ht="15.75" hidden="1" customHeight="1">
      <c r="A58" s="64"/>
      <c r="B58" s="17">
        <v>45779</v>
      </c>
      <c r="C58" s="18">
        <v>0</v>
      </c>
      <c r="D58" s="18">
        <v>13105</v>
      </c>
      <c r="E58" s="65" t="s">
        <v>31</v>
      </c>
      <c r="F58" s="20">
        <v>50217</v>
      </c>
      <c r="G58" s="31">
        <v>233.32</v>
      </c>
      <c r="H58" s="2"/>
    </row>
    <row r="59" spans="1:8" ht="15.75" hidden="1" customHeight="1">
      <c r="A59" s="64"/>
      <c r="B59" s="66"/>
      <c r="C59" s="66"/>
      <c r="D59" s="66"/>
      <c r="E59" s="24" t="s">
        <v>111</v>
      </c>
      <c r="F59" s="24"/>
      <c r="G59" s="25">
        <v>0</v>
      </c>
      <c r="H59" s="2"/>
    </row>
    <row r="60" spans="1:8" ht="15.75" hidden="1" customHeight="1">
      <c r="A60" s="64"/>
      <c r="B60" s="11">
        <v>45779</v>
      </c>
      <c r="C60" s="12">
        <v>0</v>
      </c>
      <c r="D60" s="12">
        <v>13105</v>
      </c>
      <c r="E60" s="76" t="s">
        <v>31</v>
      </c>
      <c r="F60" s="27">
        <v>50218</v>
      </c>
      <c r="G60" s="28">
        <v>177.78</v>
      </c>
      <c r="H60" s="2"/>
    </row>
    <row r="61" spans="1:8" ht="15.75" hidden="1" customHeight="1">
      <c r="A61" s="64"/>
      <c r="B61" s="71"/>
      <c r="C61" s="71"/>
      <c r="D61" s="71"/>
      <c r="E61" s="13" t="s">
        <v>111</v>
      </c>
      <c r="F61" s="13"/>
      <c r="G61" s="30">
        <v>0</v>
      </c>
      <c r="H61" s="2"/>
    </row>
    <row r="62" spans="1:8" ht="15.75" hidden="1" customHeight="1">
      <c r="A62" s="64"/>
      <c r="B62" s="17">
        <v>45779</v>
      </c>
      <c r="C62" s="18">
        <v>0</v>
      </c>
      <c r="D62" s="18">
        <v>13105</v>
      </c>
      <c r="E62" s="65" t="s">
        <v>31</v>
      </c>
      <c r="F62" s="20">
        <v>50219</v>
      </c>
      <c r="G62" s="31">
        <v>241.03</v>
      </c>
      <c r="H62" s="2"/>
    </row>
    <row r="63" spans="1:8" ht="15.75" hidden="1" customHeight="1">
      <c r="A63" s="64"/>
      <c r="B63" s="66"/>
      <c r="C63" s="66"/>
      <c r="D63" s="66"/>
      <c r="E63" s="24" t="s">
        <v>111</v>
      </c>
      <c r="F63" s="24"/>
      <c r="G63" s="25">
        <v>0</v>
      </c>
      <c r="H63" s="2"/>
    </row>
    <row r="64" spans="1:8" ht="15.75" hidden="1" customHeight="1">
      <c r="A64" s="64"/>
      <c r="B64" s="11">
        <v>45779</v>
      </c>
      <c r="C64" s="12">
        <v>0</v>
      </c>
      <c r="D64" s="12">
        <v>13105</v>
      </c>
      <c r="E64" s="76" t="s">
        <v>31</v>
      </c>
      <c r="F64" s="27">
        <v>50220</v>
      </c>
      <c r="G64" s="28">
        <v>297.29000000000002</v>
      </c>
      <c r="H64" s="2"/>
    </row>
    <row r="65" spans="1:8" ht="15.75" hidden="1" customHeight="1">
      <c r="A65" s="64"/>
      <c r="B65" s="71"/>
      <c r="C65" s="71"/>
      <c r="D65" s="71"/>
      <c r="E65" s="13" t="s">
        <v>111</v>
      </c>
      <c r="F65" s="13"/>
      <c r="G65" s="30">
        <v>0</v>
      </c>
      <c r="H65" s="2"/>
    </row>
    <row r="66" spans="1:8" ht="15.75" hidden="1" customHeight="1">
      <c r="A66" s="64"/>
      <c r="B66" s="17">
        <v>45779</v>
      </c>
      <c r="C66" s="18">
        <v>0</v>
      </c>
      <c r="D66" s="18">
        <v>13105</v>
      </c>
      <c r="E66" s="65" t="s">
        <v>31</v>
      </c>
      <c r="F66" s="20">
        <v>50221</v>
      </c>
      <c r="G66" s="31">
        <v>230.71</v>
      </c>
      <c r="H66" s="2"/>
    </row>
    <row r="67" spans="1:8" ht="15.75" hidden="1" customHeight="1">
      <c r="A67" s="64"/>
      <c r="B67" s="66"/>
      <c r="C67" s="66"/>
      <c r="D67" s="66"/>
      <c r="E67" s="24" t="s">
        <v>111</v>
      </c>
      <c r="F67" s="24"/>
      <c r="G67" s="25">
        <v>0</v>
      </c>
      <c r="H67" s="2"/>
    </row>
    <row r="68" spans="1:8" ht="15.75" hidden="1" customHeight="1">
      <c r="A68" s="64"/>
      <c r="B68" s="11">
        <v>45779</v>
      </c>
      <c r="C68" s="12">
        <v>0</v>
      </c>
      <c r="D68" s="12">
        <v>13105</v>
      </c>
      <c r="E68" s="76" t="s">
        <v>31</v>
      </c>
      <c r="F68" s="27">
        <v>50222</v>
      </c>
      <c r="G68" s="28">
        <v>228.16</v>
      </c>
      <c r="H68" s="2"/>
    </row>
    <row r="69" spans="1:8" ht="15.75" hidden="1" customHeight="1">
      <c r="A69" s="64"/>
      <c r="B69" s="71"/>
      <c r="C69" s="71"/>
      <c r="D69" s="71"/>
      <c r="E69" s="13" t="s">
        <v>111</v>
      </c>
      <c r="F69" s="13"/>
      <c r="G69" s="30">
        <v>0</v>
      </c>
      <c r="H69" s="2"/>
    </row>
    <row r="70" spans="1:8" ht="15.75" hidden="1" customHeight="1">
      <c r="A70" s="64"/>
      <c r="B70" s="17">
        <v>45779</v>
      </c>
      <c r="C70" s="18">
        <v>0</v>
      </c>
      <c r="D70" s="18">
        <v>0</v>
      </c>
      <c r="E70" s="65" t="s">
        <v>59</v>
      </c>
      <c r="F70" s="20">
        <v>9903</v>
      </c>
      <c r="G70" s="31">
        <v>2241.42</v>
      </c>
      <c r="H70" s="2"/>
    </row>
    <row r="71" spans="1:8" ht="15.75" hidden="1" customHeight="1">
      <c r="A71" s="64"/>
      <c r="B71" s="66"/>
      <c r="C71" s="66"/>
      <c r="D71" s="66"/>
      <c r="E71" s="24" t="s">
        <v>53</v>
      </c>
      <c r="F71" s="24"/>
      <c r="G71" s="25">
        <v>0</v>
      </c>
      <c r="H71" s="2"/>
    </row>
    <row r="72" spans="1:8" ht="15.75" hidden="1" customHeight="1">
      <c r="A72" s="64"/>
      <c r="B72" s="11">
        <v>45782</v>
      </c>
      <c r="C72" s="12">
        <v>2035</v>
      </c>
      <c r="D72" s="12">
        <v>99015</v>
      </c>
      <c r="E72" s="76" t="s">
        <v>27</v>
      </c>
      <c r="F72" s="27">
        <v>552035000900025</v>
      </c>
      <c r="G72" s="15">
        <v>1914.6</v>
      </c>
      <c r="H72" s="2" t="s">
        <v>552</v>
      </c>
    </row>
    <row r="73" spans="1:8" ht="15.75" hidden="1" customHeight="1">
      <c r="A73" s="64"/>
      <c r="B73" s="71"/>
      <c r="C73" s="71"/>
      <c r="D73" s="71"/>
      <c r="E73" s="13" t="s">
        <v>553</v>
      </c>
      <c r="F73" s="13"/>
      <c r="G73" s="30">
        <v>0</v>
      </c>
      <c r="H73" s="2"/>
    </row>
    <row r="74" spans="1:8" ht="15.75" hidden="1" customHeight="1">
      <c r="A74" s="64"/>
      <c r="B74" s="17">
        <v>45782</v>
      </c>
      <c r="C74" s="18">
        <v>2035</v>
      </c>
      <c r="D74" s="18">
        <v>99015</v>
      </c>
      <c r="E74" s="65" t="s">
        <v>27</v>
      </c>
      <c r="F74" s="20">
        <v>552035000900025</v>
      </c>
      <c r="G74" s="21">
        <v>3315.32</v>
      </c>
      <c r="H74" s="2" t="s">
        <v>552</v>
      </c>
    </row>
    <row r="75" spans="1:8" ht="15.75" hidden="1" customHeight="1">
      <c r="A75" s="64"/>
      <c r="B75" s="66"/>
      <c r="C75" s="66"/>
      <c r="D75" s="66"/>
      <c r="E75" s="24" t="s">
        <v>553</v>
      </c>
      <c r="F75" s="24"/>
      <c r="G75" s="25">
        <v>0</v>
      </c>
      <c r="H75" s="2"/>
    </row>
    <row r="76" spans="1:8" ht="15.75" hidden="1" customHeight="1">
      <c r="A76" s="64"/>
      <c r="B76" s="11">
        <v>45782</v>
      </c>
      <c r="C76" s="12">
        <v>0</v>
      </c>
      <c r="D76" s="12">
        <v>14397</v>
      </c>
      <c r="E76" s="76" t="s">
        <v>57</v>
      </c>
      <c r="F76" s="27">
        <v>50939557258022</v>
      </c>
      <c r="G76" s="15">
        <v>379.37</v>
      </c>
      <c r="H76" s="2"/>
    </row>
    <row r="77" spans="1:8" ht="28.5" hidden="1" customHeight="1">
      <c r="A77" s="64"/>
      <c r="B77" s="71"/>
      <c r="C77" s="71"/>
      <c r="D77" s="71"/>
      <c r="E77" s="13" t="s">
        <v>554</v>
      </c>
      <c r="F77" s="13"/>
      <c r="G77" s="30">
        <v>0</v>
      </c>
      <c r="H77" s="2"/>
    </row>
    <row r="78" spans="1:8" ht="15.75" hidden="1" customHeight="1">
      <c r="A78" s="64"/>
      <c r="B78" s="17">
        <v>45782</v>
      </c>
      <c r="C78" s="18">
        <v>0</v>
      </c>
      <c r="D78" s="18">
        <v>14397</v>
      </c>
      <c r="E78" s="65" t="s">
        <v>57</v>
      </c>
      <c r="F78" s="20">
        <v>51032099162862</v>
      </c>
      <c r="G78" s="21">
        <v>675.04</v>
      </c>
      <c r="H78" s="2"/>
    </row>
    <row r="79" spans="1:8" ht="28.5" hidden="1" customHeight="1">
      <c r="A79" s="64"/>
      <c r="B79" s="66"/>
      <c r="C79" s="66"/>
      <c r="D79" s="66"/>
      <c r="E79" s="24" t="s">
        <v>555</v>
      </c>
      <c r="F79" s="24"/>
      <c r="G79" s="25">
        <v>0</v>
      </c>
      <c r="H79" s="2"/>
    </row>
    <row r="80" spans="1:8" ht="15.75" hidden="1" customHeight="1">
      <c r="A80" s="64"/>
      <c r="B80" s="11">
        <v>45782</v>
      </c>
      <c r="C80" s="12">
        <v>0</v>
      </c>
      <c r="D80" s="12">
        <v>14397</v>
      </c>
      <c r="E80" s="76" t="s">
        <v>57</v>
      </c>
      <c r="F80" s="27">
        <v>51033429224292</v>
      </c>
      <c r="G80" s="15">
        <v>2523.9</v>
      </c>
      <c r="H80" s="2"/>
    </row>
    <row r="81" spans="1:8" ht="28.5" hidden="1" customHeight="1">
      <c r="A81" s="64"/>
      <c r="B81" s="71"/>
      <c r="C81" s="71"/>
      <c r="D81" s="71"/>
      <c r="E81" s="13" t="s">
        <v>556</v>
      </c>
      <c r="F81" s="13"/>
      <c r="G81" s="30">
        <v>0</v>
      </c>
      <c r="H81" s="2"/>
    </row>
    <row r="82" spans="1:8" ht="15.75" hidden="1" customHeight="1">
      <c r="A82" s="64"/>
      <c r="B82" s="17">
        <v>45782</v>
      </c>
      <c r="C82" s="18">
        <v>0</v>
      </c>
      <c r="D82" s="18">
        <v>14397</v>
      </c>
      <c r="E82" s="65" t="s">
        <v>57</v>
      </c>
      <c r="F82" s="20">
        <v>464426405888901</v>
      </c>
      <c r="G82" s="21">
        <v>600</v>
      </c>
      <c r="H82" s="2"/>
    </row>
    <row r="83" spans="1:8" ht="28.5" hidden="1" customHeight="1">
      <c r="A83" s="64"/>
      <c r="B83" s="66"/>
      <c r="C83" s="66"/>
      <c r="D83" s="66"/>
      <c r="E83" s="24" t="s">
        <v>557</v>
      </c>
      <c r="F83" s="24"/>
      <c r="G83" s="25">
        <v>0</v>
      </c>
      <c r="H83" s="2"/>
    </row>
    <row r="84" spans="1:8" ht="15.75" hidden="1" customHeight="1">
      <c r="A84" s="64"/>
      <c r="B84" s="11">
        <v>45782</v>
      </c>
      <c r="C84" s="12">
        <v>0</v>
      </c>
      <c r="D84" s="12">
        <v>14397</v>
      </c>
      <c r="E84" s="76" t="s">
        <v>57</v>
      </c>
      <c r="F84" s="27">
        <v>464488850931391</v>
      </c>
      <c r="G84" s="15">
        <v>144.69</v>
      </c>
      <c r="H84" s="2"/>
    </row>
    <row r="85" spans="1:8" ht="28.5" hidden="1" customHeight="1">
      <c r="A85" s="64"/>
      <c r="B85" s="71"/>
      <c r="C85" s="71"/>
      <c r="D85" s="71"/>
      <c r="E85" s="13" t="s">
        <v>558</v>
      </c>
      <c r="F85" s="13"/>
      <c r="G85" s="30">
        <v>0</v>
      </c>
      <c r="H85" s="2"/>
    </row>
    <row r="86" spans="1:8" ht="15.75" hidden="1" customHeight="1">
      <c r="A86" s="64"/>
      <c r="B86" s="17">
        <v>45782</v>
      </c>
      <c r="C86" s="18">
        <v>0</v>
      </c>
      <c r="D86" s="18">
        <v>14397</v>
      </c>
      <c r="E86" s="65" t="s">
        <v>57</v>
      </c>
      <c r="F86" s="20">
        <v>464511109047351</v>
      </c>
      <c r="G86" s="21">
        <v>62.13</v>
      </c>
      <c r="H86" s="2"/>
    </row>
    <row r="87" spans="1:8" ht="28.5" hidden="1" customHeight="1">
      <c r="A87" s="64"/>
      <c r="B87" s="66"/>
      <c r="C87" s="66"/>
      <c r="D87" s="66"/>
      <c r="E87" s="24" t="s">
        <v>559</v>
      </c>
      <c r="F87" s="24"/>
      <c r="G87" s="25">
        <v>0</v>
      </c>
      <c r="H87" s="2"/>
    </row>
    <row r="88" spans="1:8" ht="15.75" hidden="1" customHeight="1">
      <c r="A88" s="64"/>
      <c r="B88" s="11">
        <v>45782</v>
      </c>
      <c r="C88" s="12">
        <v>1533</v>
      </c>
      <c r="D88" s="12">
        <v>99008</v>
      </c>
      <c r="E88" s="76" t="s">
        <v>29</v>
      </c>
      <c r="F88" s="27">
        <v>955941</v>
      </c>
      <c r="G88" s="28">
        <v>233.02</v>
      </c>
      <c r="H88" s="2"/>
    </row>
    <row r="89" spans="1:8" ht="15.75" hidden="1" customHeight="1">
      <c r="A89" s="64"/>
      <c r="B89" s="71"/>
      <c r="C89" s="71"/>
      <c r="D89" s="71"/>
      <c r="E89" s="13" t="s">
        <v>560</v>
      </c>
      <c r="F89" s="13"/>
      <c r="G89" s="30">
        <v>0</v>
      </c>
      <c r="H89" s="2"/>
    </row>
    <row r="90" spans="1:8" ht="15.75" hidden="1" customHeight="1">
      <c r="A90" s="64"/>
      <c r="B90" s="17">
        <v>45782</v>
      </c>
      <c r="C90" s="18">
        <v>0</v>
      </c>
      <c r="D90" s="18">
        <v>13105</v>
      </c>
      <c r="E90" s="65" t="s">
        <v>80</v>
      </c>
      <c r="F90" s="20">
        <v>50501</v>
      </c>
      <c r="G90" s="31">
        <v>334.78</v>
      </c>
      <c r="H90" s="2"/>
    </row>
    <row r="91" spans="1:8" ht="15.75" hidden="1" customHeight="1">
      <c r="A91" s="64"/>
      <c r="B91" s="66"/>
      <c r="C91" s="66"/>
      <c r="D91" s="66"/>
      <c r="E91" s="24" t="s">
        <v>81</v>
      </c>
      <c r="F91" s="24"/>
      <c r="G91" s="25">
        <v>0</v>
      </c>
      <c r="H91" s="2"/>
    </row>
    <row r="92" spans="1:8" ht="15.75" hidden="1" customHeight="1">
      <c r="A92" s="64"/>
      <c r="B92" s="11">
        <v>45782</v>
      </c>
      <c r="C92" s="12">
        <v>0</v>
      </c>
      <c r="D92" s="12">
        <v>13105</v>
      </c>
      <c r="E92" s="76" t="s">
        <v>80</v>
      </c>
      <c r="F92" s="27">
        <v>50502</v>
      </c>
      <c r="G92" s="28">
        <v>183.69</v>
      </c>
      <c r="H92" s="2"/>
    </row>
    <row r="93" spans="1:8" ht="15.75" hidden="1" customHeight="1">
      <c r="A93" s="64"/>
      <c r="B93" s="71"/>
      <c r="C93" s="71"/>
      <c r="D93" s="71"/>
      <c r="E93" s="13" t="s">
        <v>81</v>
      </c>
      <c r="F93" s="13"/>
      <c r="G93" s="30">
        <v>0</v>
      </c>
      <c r="H93" s="2"/>
    </row>
    <row r="94" spans="1:8" ht="15.75" hidden="1" customHeight="1">
      <c r="A94" s="64"/>
      <c r="B94" s="17">
        <v>45782</v>
      </c>
      <c r="C94" s="18">
        <v>0</v>
      </c>
      <c r="D94" s="18">
        <v>13105</v>
      </c>
      <c r="E94" s="65" t="s">
        <v>80</v>
      </c>
      <c r="F94" s="20">
        <v>50503</v>
      </c>
      <c r="G94" s="31">
        <v>76.290000000000006</v>
      </c>
      <c r="H94" s="2"/>
    </row>
    <row r="95" spans="1:8" ht="15.75" hidden="1" customHeight="1">
      <c r="A95" s="64"/>
      <c r="B95" s="66"/>
      <c r="C95" s="66"/>
      <c r="D95" s="66"/>
      <c r="E95" s="24" t="s">
        <v>81</v>
      </c>
      <c r="F95" s="24"/>
      <c r="G95" s="25">
        <v>0</v>
      </c>
      <c r="H95" s="2"/>
    </row>
    <row r="96" spans="1:8" ht="15.75" hidden="1" customHeight="1">
      <c r="A96" s="64"/>
      <c r="B96" s="11">
        <v>45782</v>
      </c>
      <c r="C96" s="12">
        <v>0</v>
      </c>
      <c r="D96" s="12">
        <v>13105</v>
      </c>
      <c r="E96" s="76" t="s">
        <v>31</v>
      </c>
      <c r="F96" s="27">
        <v>50504</v>
      </c>
      <c r="G96" s="28">
        <v>434.25</v>
      </c>
      <c r="H96" s="2"/>
    </row>
    <row r="97" spans="1:8" ht="15.75" hidden="1" customHeight="1">
      <c r="A97" s="64"/>
      <c r="B97" s="71"/>
      <c r="C97" s="71"/>
      <c r="D97" s="71"/>
      <c r="E97" s="13" t="s">
        <v>109</v>
      </c>
      <c r="F97" s="13"/>
      <c r="G97" s="30">
        <v>0</v>
      </c>
      <c r="H97" s="2"/>
    </row>
    <row r="98" spans="1:8" ht="15.75" hidden="1" customHeight="1">
      <c r="A98" s="64"/>
      <c r="B98" s="17">
        <v>45782</v>
      </c>
      <c r="C98" s="18">
        <v>0</v>
      </c>
      <c r="D98" s="18">
        <v>13105</v>
      </c>
      <c r="E98" s="65" t="s">
        <v>31</v>
      </c>
      <c r="F98" s="20">
        <v>50505</v>
      </c>
      <c r="G98" s="31">
        <v>544.39</v>
      </c>
      <c r="H98" s="2"/>
    </row>
    <row r="99" spans="1:8" ht="15.75" hidden="1" customHeight="1">
      <c r="A99" s="64"/>
      <c r="B99" s="66"/>
      <c r="C99" s="66"/>
      <c r="D99" s="66"/>
      <c r="E99" s="24" t="s">
        <v>78</v>
      </c>
      <c r="F99" s="24"/>
      <c r="G99" s="25">
        <v>0</v>
      </c>
      <c r="H99" s="2"/>
    </row>
    <row r="100" spans="1:8" ht="15.75" hidden="1" customHeight="1">
      <c r="A100" s="64"/>
      <c r="B100" s="11">
        <v>45782</v>
      </c>
      <c r="C100" s="12">
        <v>0</v>
      </c>
      <c r="D100" s="12">
        <v>13105</v>
      </c>
      <c r="E100" s="76" t="s">
        <v>31</v>
      </c>
      <c r="F100" s="27">
        <v>50506</v>
      </c>
      <c r="G100" s="28">
        <v>393.9</v>
      </c>
      <c r="H100" s="2"/>
    </row>
    <row r="101" spans="1:8" ht="15.75" hidden="1" customHeight="1">
      <c r="A101" s="64"/>
      <c r="B101" s="71"/>
      <c r="C101" s="71"/>
      <c r="D101" s="71"/>
      <c r="E101" s="13" t="s">
        <v>340</v>
      </c>
      <c r="F101" s="13"/>
      <c r="G101" s="30">
        <v>0</v>
      </c>
      <c r="H101" s="2"/>
    </row>
    <row r="102" spans="1:8" ht="15.75" hidden="1" customHeight="1">
      <c r="A102" s="64"/>
      <c r="B102" s="17">
        <v>45782</v>
      </c>
      <c r="C102" s="18">
        <v>0</v>
      </c>
      <c r="D102" s="18">
        <v>13105</v>
      </c>
      <c r="E102" s="65" t="s">
        <v>31</v>
      </c>
      <c r="F102" s="20">
        <v>50507</v>
      </c>
      <c r="G102" s="31">
        <v>1879.76</v>
      </c>
      <c r="H102" s="2"/>
    </row>
    <row r="103" spans="1:8" ht="28.5" hidden="1" customHeight="1">
      <c r="A103" s="64"/>
      <c r="B103" s="66"/>
      <c r="C103" s="66"/>
      <c r="D103" s="66"/>
      <c r="E103" s="24" t="s">
        <v>65</v>
      </c>
      <c r="F103" s="24"/>
      <c r="G103" s="25">
        <v>0</v>
      </c>
      <c r="H103" s="2"/>
    </row>
    <row r="104" spans="1:8" ht="15.75" hidden="1" customHeight="1">
      <c r="A104" s="64"/>
      <c r="B104" s="11">
        <v>45782</v>
      </c>
      <c r="C104" s="12">
        <v>0</v>
      </c>
      <c r="D104" s="12">
        <v>13105</v>
      </c>
      <c r="E104" s="76" t="s">
        <v>31</v>
      </c>
      <c r="F104" s="27">
        <v>50508</v>
      </c>
      <c r="G104" s="28">
        <v>2400</v>
      </c>
      <c r="H104" s="2"/>
    </row>
    <row r="105" spans="1:8" ht="28.5" hidden="1" customHeight="1">
      <c r="A105" s="64"/>
      <c r="B105" s="71"/>
      <c r="C105" s="71"/>
      <c r="D105" s="71"/>
      <c r="E105" s="13" t="s">
        <v>65</v>
      </c>
      <c r="F105" s="13"/>
      <c r="G105" s="30">
        <v>0</v>
      </c>
      <c r="H105" s="2"/>
    </row>
    <row r="106" spans="1:8" ht="15.75" hidden="1" customHeight="1">
      <c r="A106" s="64"/>
      <c r="B106" s="17">
        <v>45782</v>
      </c>
      <c r="C106" s="18">
        <v>0</v>
      </c>
      <c r="D106" s="18">
        <v>13105</v>
      </c>
      <c r="E106" s="65" t="s">
        <v>31</v>
      </c>
      <c r="F106" s="20">
        <v>50509</v>
      </c>
      <c r="G106" s="31">
        <v>2476.8000000000002</v>
      </c>
      <c r="H106" s="2"/>
    </row>
    <row r="107" spans="1:8" ht="28.5" hidden="1" customHeight="1">
      <c r="A107" s="64"/>
      <c r="B107" s="66"/>
      <c r="C107" s="66"/>
      <c r="D107" s="66"/>
      <c r="E107" s="24" t="s">
        <v>65</v>
      </c>
      <c r="F107" s="24"/>
      <c r="G107" s="25">
        <v>0</v>
      </c>
      <c r="H107" s="2"/>
    </row>
    <row r="108" spans="1:8" ht="15.75" hidden="1" customHeight="1">
      <c r="A108" s="64"/>
      <c r="B108" s="11">
        <v>45782</v>
      </c>
      <c r="C108" s="12">
        <v>0</v>
      </c>
      <c r="D108" s="12">
        <v>13105</v>
      </c>
      <c r="E108" s="76" t="s">
        <v>31</v>
      </c>
      <c r="F108" s="27">
        <v>50510</v>
      </c>
      <c r="G108" s="28">
        <v>1320</v>
      </c>
      <c r="H108" s="2"/>
    </row>
    <row r="109" spans="1:8" ht="28.5" hidden="1" customHeight="1">
      <c r="A109" s="64"/>
      <c r="B109" s="71"/>
      <c r="C109" s="71"/>
      <c r="D109" s="71"/>
      <c r="E109" s="13" t="s">
        <v>347</v>
      </c>
      <c r="F109" s="13"/>
      <c r="G109" s="30">
        <v>0</v>
      </c>
      <c r="H109" s="2"/>
    </row>
    <row r="110" spans="1:8" ht="15.75" hidden="1" customHeight="1">
      <c r="A110" s="64"/>
      <c r="B110" s="17">
        <v>45782</v>
      </c>
      <c r="C110" s="18">
        <v>0</v>
      </c>
      <c r="D110" s="18">
        <v>13105</v>
      </c>
      <c r="E110" s="65" t="s">
        <v>31</v>
      </c>
      <c r="F110" s="20">
        <v>50511</v>
      </c>
      <c r="G110" s="31">
        <v>1518</v>
      </c>
      <c r="H110" s="2"/>
    </row>
    <row r="111" spans="1:8" ht="28.5" hidden="1" customHeight="1">
      <c r="A111" s="64"/>
      <c r="B111" s="66"/>
      <c r="C111" s="66"/>
      <c r="D111" s="66"/>
      <c r="E111" s="24" t="s">
        <v>68</v>
      </c>
      <c r="F111" s="24"/>
      <c r="G111" s="25">
        <v>0</v>
      </c>
      <c r="H111" s="2"/>
    </row>
    <row r="112" spans="1:8" ht="15.75" hidden="1" customHeight="1">
      <c r="A112" s="64"/>
      <c r="B112" s="11">
        <v>45782</v>
      </c>
      <c r="C112" s="12">
        <v>0</v>
      </c>
      <c r="D112" s="12">
        <v>13105</v>
      </c>
      <c r="E112" s="76" t="s">
        <v>31</v>
      </c>
      <c r="F112" s="27">
        <v>50512</v>
      </c>
      <c r="G112" s="28">
        <v>460</v>
      </c>
      <c r="H112" s="2"/>
    </row>
    <row r="113" spans="1:8" ht="15.75" hidden="1" customHeight="1">
      <c r="A113" s="64"/>
      <c r="B113" s="71"/>
      <c r="C113" s="71"/>
      <c r="D113" s="71"/>
      <c r="E113" s="13" t="s">
        <v>179</v>
      </c>
      <c r="F113" s="13"/>
      <c r="G113" s="30">
        <v>0</v>
      </c>
      <c r="H113" s="2"/>
    </row>
    <row r="114" spans="1:8" ht="15.75" hidden="1" customHeight="1">
      <c r="A114" s="64"/>
      <c r="B114" s="17">
        <v>45782</v>
      </c>
      <c r="C114" s="18">
        <v>0</v>
      </c>
      <c r="D114" s="18">
        <v>13105</v>
      </c>
      <c r="E114" s="65" t="s">
        <v>31</v>
      </c>
      <c r="F114" s="20">
        <v>50513</v>
      </c>
      <c r="G114" s="31">
        <v>231.12</v>
      </c>
      <c r="H114" s="2"/>
    </row>
    <row r="115" spans="1:8" ht="15.75" hidden="1" customHeight="1">
      <c r="A115" s="64"/>
      <c r="B115" s="66"/>
      <c r="C115" s="66"/>
      <c r="D115" s="66"/>
      <c r="E115" s="24" t="s">
        <v>439</v>
      </c>
      <c r="F115" s="24"/>
      <c r="G115" s="25">
        <v>0</v>
      </c>
      <c r="H115" s="2"/>
    </row>
    <row r="116" spans="1:8" ht="15.75" hidden="1" customHeight="1">
      <c r="A116" s="64"/>
      <c r="B116" s="11">
        <v>45782</v>
      </c>
      <c r="C116" s="12">
        <v>0</v>
      </c>
      <c r="D116" s="12">
        <v>13105</v>
      </c>
      <c r="E116" s="76" t="s">
        <v>31</v>
      </c>
      <c r="F116" s="27">
        <v>50514</v>
      </c>
      <c r="G116" s="28">
        <v>200</v>
      </c>
      <c r="H116" s="2"/>
    </row>
    <row r="117" spans="1:8" ht="28.5" hidden="1" customHeight="1">
      <c r="A117" s="64"/>
      <c r="B117" s="71"/>
      <c r="C117" s="71"/>
      <c r="D117" s="71"/>
      <c r="E117" s="13" t="s">
        <v>45</v>
      </c>
      <c r="F117" s="13"/>
      <c r="G117" s="30">
        <v>0</v>
      </c>
      <c r="H117" s="2"/>
    </row>
    <row r="118" spans="1:8" ht="15.75" hidden="1" customHeight="1">
      <c r="A118" s="64"/>
      <c r="B118" s="17">
        <v>45782</v>
      </c>
      <c r="C118" s="18">
        <v>0</v>
      </c>
      <c r="D118" s="18">
        <v>13105</v>
      </c>
      <c r="E118" s="65" t="s">
        <v>31</v>
      </c>
      <c r="F118" s="20">
        <v>50515</v>
      </c>
      <c r="G118" s="31">
        <v>211.79</v>
      </c>
      <c r="H118" s="2"/>
    </row>
    <row r="119" spans="1:8" ht="28.5" hidden="1" customHeight="1">
      <c r="A119" s="64"/>
      <c r="B119" s="66"/>
      <c r="C119" s="66"/>
      <c r="D119" s="66"/>
      <c r="E119" s="24" t="s">
        <v>45</v>
      </c>
      <c r="F119" s="24"/>
      <c r="G119" s="25">
        <v>0</v>
      </c>
      <c r="H119" s="2"/>
    </row>
    <row r="120" spans="1:8" ht="15.75" hidden="1" customHeight="1">
      <c r="A120" s="64"/>
      <c r="B120" s="11">
        <v>45782</v>
      </c>
      <c r="C120" s="12">
        <v>0</v>
      </c>
      <c r="D120" s="12">
        <v>13105</v>
      </c>
      <c r="E120" s="76" t="s">
        <v>31</v>
      </c>
      <c r="F120" s="27">
        <v>50516</v>
      </c>
      <c r="G120" s="28">
        <v>125.54</v>
      </c>
      <c r="H120" s="2"/>
    </row>
    <row r="121" spans="1:8" ht="15.75" hidden="1" customHeight="1">
      <c r="A121" s="64"/>
      <c r="B121" s="71"/>
      <c r="C121" s="71"/>
      <c r="D121" s="71"/>
      <c r="E121" s="13" t="s">
        <v>247</v>
      </c>
      <c r="F121" s="13"/>
      <c r="G121" s="30">
        <v>0</v>
      </c>
      <c r="H121" s="2"/>
    </row>
    <row r="122" spans="1:8" ht="15.75" hidden="1" customHeight="1">
      <c r="A122" s="64"/>
      <c r="B122" s="17">
        <v>45782</v>
      </c>
      <c r="C122" s="18">
        <v>0</v>
      </c>
      <c r="D122" s="18">
        <v>13105</v>
      </c>
      <c r="E122" s="65" t="s">
        <v>31</v>
      </c>
      <c r="F122" s="20">
        <v>50517</v>
      </c>
      <c r="G122" s="31">
        <v>49.9</v>
      </c>
      <c r="H122" s="2"/>
    </row>
    <row r="123" spans="1:8" ht="15.75" hidden="1" customHeight="1">
      <c r="A123" s="64"/>
      <c r="B123" s="66"/>
      <c r="C123" s="66"/>
      <c r="D123" s="66"/>
      <c r="E123" s="24" t="s">
        <v>43</v>
      </c>
      <c r="F123" s="24"/>
      <c r="G123" s="25">
        <v>0</v>
      </c>
      <c r="H123" s="2"/>
    </row>
    <row r="124" spans="1:8" ht="15.75" hidden="1" customHeight="1">
      <c r="A124" s="64"/>
      <c r="B124" s="11">
        <v>45782</v>
      </c>
      <c r="C124" s="12">
        <v>0</v>
      </c>
      <c r="D124" s="12">
        <v>0</v>
      </c>
      <c r="E124" s="76" t="s">
        <v>52</v>
      </c>
      <c r="F124" s="27">
        <v>9903</v>
      </c>
      <c r="G124" s="15">
        <v>3458.18</v>
      </c>
      <c r="H124" s="2"/>
    </row>
    <row r="125" spans="1:8" ht="15.75" hidden="1" customHeight="1">
      <c r="A125" s="64"/>
      <c r="B125" s="71"/>
      <c r="C125" s="71"/>
      <c r="D125" s="71"/>
      <c r="E125" s="13" t="s">
        <v>53</v>
      </c>
      <c r="F125" s="13"/>
      <c r="G125" s="30">
        <v>0</v>
      </c>
      <c r="H125" s="2"/>
    </row>
    <row r="126" spans="1:8" ht="15.75" hidden="1" customHeight="1">
      <c r="A126" s="64"/>
      <c r="B126" s="17">
        <v>45783</v>
      </c>
      <c r="C126" s="18">
        <v>0</v>
      </c>
      <c r="D126" s="18">
        <v>14397</v>
      </c>
      <c r="E126" s="65" t="s">
        <v>57</v>
      </c>
      <c r="F126" s="20">
        <v>60937255944352</v>
      </c>
      <c r="G126" s="21">
        <v>4064.37</v>
      </c>
      <c r="H126" s="2"/>
    </row>
    <row r="127" spans="1:8" ht="28.5" hidden="1" customHeight="1">
      <c r="A127" s="64"/>
      <c r="B127" s="66"/>
      <c r="C127" s="66"/>
      <c r="D127" s="66"/>
      <c r="E127" s="24" t="s">
        <v>561</v>
      </c>
      <c r="F127" s="24"/>
      <c r="G127" s="25">
        <v>0</v>
      </c>
      <c r="H127" s="2"/>
    </row>
    <row r="128" spans="1:8" ht="15.75" hidden="1" customHeight="1">
      <c r="A128" s="64"/>
      <c r="B128" s="11">
        <v>45783</v>
      </c>
      <c r="C128" s="12">
        <v>0</v>
      </c>
      <c r="D128" s="12">
        <v>14397</v>
      </c>
      <c r="E128" s="76" t="s">
        <v>57</v>
      </c>
      <c r="F128" s="27">
        <v>61000528876072</v>
      </c>
      <c r="G128" s="15">
        <v>1771</v>
      </c>
      <c r="H128" s="2"/>
    </row>
    <row r="129" spans="1:9" ht="28.5" hidden="1" customHeight="1">
      <c r="A129" s="64"/>
      <c r="B129" s="71"/>
      <c r="C129" s="71"/>
      <c r="D129" s="71"/>
      <c r="E129" s="13" t="s">
        <v>562</v>
      </c>
      <c r="F129" s="13"/>
      <c r="G129" s="30">
        <v>0</v>
      </c>
      <c r="H129" s="2"/>
    </row>
    <row r="130" spans="1:9" ht="15.75" hidden="1" customHeight="1">
      <c r="A130" s="64"/>
      <c r="B130" s="17">
        <v>45783</v>
      </c>
      <c r="C130" s="18">
        <v>0</v>
      </c>
      <c r="D130" s="18">
        <v>14397</v>
      </c>
      <c r="E130" s="65" t="s">
        <v>57</v>
      </c>
      <c r="F130" s="20">
        <v>61629370269742</v>
      </c>
      <c r="G130" s="21">
        <v>178.28</v>
      </c>
      <c r="H130" s="2"/>
    </row>
    <row r="131" spans="1:9" ht="28.5" hidden="1" customHeight="1">
      <c r="A131" s="64"/>
      <c r="B131" s="66"/>
      <c r="C131" s="66"/>
      <c r="D131" s="66"/>
      <c r="E131" s="24" t="s">
        <v>563</v>
      </c>
      <c r="F131" s="24"/>
      <c r="G131" s="25">
        <v>0</v>
      </c>
      <c r="H131" s="2"/>
    </row>
    <row r="132" spans="1:9" ht="15.75" customHeight="1">
      <c r="A132" s="130" t="s">
        <v>140</v>
      </c>
      <c r="B132" s="34">
        <v>45783</v>
      </c>
      <c r="C132" s="35">
        <v>0</v>
      </c>
      <c r="D132" s="35">
        <v>14138</v>
      </c>
      <c r="E132" s="68" t="s">
        <v>141</v>
      </c>
      <c r="F132" s="69">
        <v>202505050062868</v>
      </c>
      <c r="G132" s="70">
        <v>1668.08</v>
      </c>
      <c r="H132" s="2">
        <v>3478</v>
      </c>
      <c r="I132" s="79" t="s">
        <v>428</v>
      </c>
    </row>
    <row r="133" spans="1:9" ht="15.75" hidden="1" customHeight="1">
      <c r="A133" s="64"/>
      <c r="B133" s="71"/>
      <c r="C133" s="71"/>
      <c r="D133" s="71"/>
      <c r="E133" s="13" t="s">
        <v>143</v>
      </c>
      <c r="F133" s="13"/>
      <c r="G133" s="30">
        <v>0</v>
      </c>
      <c r="H133" s="2"/>
    </row>
    <row r="134" spans="1:9" ht="15.75" customHeight="1">
      <c r="A134" s="130" t="s">
        <v>140</v>
      </c>
      <c r="B134" s="41">
        <v>45783</v>
      </c>
      <c r="C134" s="42">
        <v>0</v>
      </c>
      <c r="D134" s="42">
        <v>14138</v>
      </c>
      <c r="E134" s="73" t="s">
        <v>141</v>
      </c>
      <c r="F134" s="74">
        <v>202505050062869</v>
      </c>
      <c r="G134" s="75">
        <v>1078.6199999999999</v>
      </c>
      <c r="H134" s="2">
        <v>3534</v>
      </c>
      <c r="I134" s="79" t="s">
        <v>428</v>
      </c>
    </row>
    <row r="135" spans="1:9" ht="15.75" hidden="1" customHeight="1">
      <c r="A135" s="64"/>
      <c r="B135" s="66"/>
      <c r="C135" s="66"/>
      <c r="D135" s="66"/>
      <c r="E135" s="24" t="s">
        <v>143</v>
      </c>
      <c r="F135" s="24"/>
      <c r="G135" s="25">
        <v>0</v>
      </c>
      <c r="H135" s="2"/>
    </row>
    <row r="136" spans="1:9" ht="15.75" hidden="1" customHeight="1">
      <c r="A136" s="64"/>
      <c r="B136" s="11">
        <v>45783</v>
      </c>
      <c r="C136" s="12">
        <v>1533</v>
      </c>
      <c r="D136" s="12">
        <v>99008</v>
      </c>
      <c r="E136" s="76" t="s">
        <v>29</v>
      </c>
      <c r="F136" s="27">
        <v>162899</v>
      </c>
      <c r="G136" s="28">
        <v>317.14</v>
      </c>
      <c r="H136" s="2"/>
    </row>
    <row r="137" spans="1:9" ht="15.75" hidden="1" customHeight="1">
      <c r="A137" s="64"/>
      <c r="B137" s="71"/>
      <c r="C137" s="71"/>
      <c r="D137" s="71"/>
      <c r="E137" s="13" t="s">
        <v>564</v>
      </c>
      <c r="F137" s="13"/>
      <c r="G137" s="30">
        <v>0</v>
      </c>
      <c r="H137" s="2"/>
    </row>
    <row r="138" spans="1:9" ht="15.75" hidden="1" customHeight="1">
      <c r="A138" s="64"/>
      <c r="B138" s="17">
        <v>45783</v>
      </c>
      <c r="C138" s="18">
        <v>0</v>
      </c>
      <c r="D138" s="18">
        <v>13105</v>
      </c>
      <c r="E138" s="65" t="s">
        <v>80</v>
      </c>
      <c r="F138" s="20">
        <v>50601</v>
      </c>
      <c r="G138" s="31">
        <v>1358.35</v>
      </c>
      <c r="H138" s="2"/>
    </row>
    <row r="139" spans="1:9" ht="15.75" hidden="1" customHeight="1">
      <c r="A139" s="64"/>
      <c r="B139" s="66"/>
      <c r="C139" s="66"/>
      <c r="D139" s="66"/>
      <c r="E139" s="24" t="s">
        <v>81</v>
      </c>
      <c r="F139" s="24"/>
      <c r="G139" s="25">
        <v>0</v>
      </c>
      <c r="H139" s="2"/>
    </row>
    <row r="140" spans="1:9" ht="15.75" hidden="1" customHeight="1">
      <c r="A140" s="64"/>
      <c r="B140" s="11">
        <v>45783</v>
      </c>
      <c r="C140" s="12">
        <v>0</v>
      </c>
      <c r="D140" s="12">
        <v>13105</v>
      </c>
      <c r="E140" s="76" t="s">
        <v>80</v>
      </c>
      <c r="F140" s="27">
        <v>50602</v>
      </c>
      <c r="G140" s="28">
        <v>739.81</v>
      </c>
      <c r="H140" s="2"/>
    </row>
    <row r="141" spans="1:9" ht="15.75" hidden="1" customHeight="1">
      <c r="A141" s="64"/>
      <c r="B141" s="71"/>
      <c r="C141" s="71"/>
      <c r="D141" s="71"/>
      <c r="E141" s="13" t="s">
        <v>81</v>
      </c>
      <c r="F141" s="13"/>
      <c r="G141" s="30">
        <v>0</v>
      </c>
      <c r="H141" s="2"/>
    </row>
    <row r="142" spans="1:9" ht="15.75" hidden="1" customHeight="1">
      <c r="A142" s="64"/>
      <c r="B142" s="17">
        <v>45783</v>
      </c>
      <c r="C142" s="18">
        <v>0</v>
      </c>
      <c r="D142" s="18">
        <v>13105</v>
      </c>
      <c r="E142" s="65" t="s">
        <v>31</v>
      </c>
      <c r="F142" s="20">
        <v>50603</v>
      </c>
      <c r="G142" s="31">
        <v>2118.12</v>
      </c>
      <c r="H142" s="2"/>
    </row>
    <row r="143" spans="1:9" ht="15.75" hidden="1" customHeight="1">
      <c r="A143" s="64"/>
      <c r="B143" s="66"/>
      <c r="C143" s="66"/>
      <c r="D143" s="66"/>
      <c r="E143" s="24" t="s">
        <v>507</v>
      </c>
      <c r="F143" s="24"/>
      <c r="G143" s="25">
        <v>0</v>
      </c>
      <c r="H143" s="2"/>
    </row>
    <row r="144" spans="1:9" ht="15.75" hidden="1" customHeight="1">
      <c r="A144" s="64"/>
      <c r="B144" s="11">
        <v>45783</v>
      </c>
      <c r="C144" s="12">
        <v>0</v>
      </c>
      <c r="D144" s="12">
        <v>13105</v>
      </c>
      <c r="E144" s="76" t="s">
        <v>31</v>
      </c>
      <c r="F144" s="27">
        <v>50604</v>
      </c>
      <c r="G144" s="28">
        <v>1361.91</v>
      </c>
      <c r="H144" s="2"/>
    </row>
    <row r="145" spans="1:8" ht="15.75" hidden="1" customHeight="1">
      <c r="A145" s="64"/>
      <c r="B145" s="71"/>
      <c r="C145" s="71"/>
      <c r="D145" s="71"/>
      <c r="E145" s="13" t="s">
        <v>46</v>
      </c>
      <c r="F145" s="13"/>
      <c r="G145" s="30">
        <v>0</v>
      </c>
      <c r="H145" s="2"/>
    </row>
    <row r="146" spans="1:8" ht="15.75" hidden="1" customHeight="1">
      <c r="A146" s="64"/>
      <c r="B146" s="17">
        <v>45783</v>
      </c>
      <c r="C146" s="18">
        <v>0</v>
      </c>
      <c r="D146" s="18">
        <v>13105</v>
      </c>
      <c r="E146" s="65" t="s">
        <v>31</v>
      </c>
      <c r="F146" s="20">
        <v>50605</v>
      </c>
      <c r="G146" s="31">
        <v>336</v>
      </c>
      <c r="H146" s="2"/>
    </row>
    <row r="147" spans="1:8" ht="28.5" hidden="1" customHeight="1">
      <c r="A147" s="64"/>
      <c r="B147" s="66"/>
      <c r="C147" s="66"/>
      <c r="D147" s="66"/>
      <c r="E147" s="24" t="s">
        <v>45</v>
      </c>
      <c r="F147" s="24"/>
      <c r="G147" s="25">
        <v>0</v>
      </c>
      <c r="H147" s="2"/>
    </row>
    <row r="148" spans="1:8" ht="15.75" hidden="1" customHeight="1">
      <c r="A148" s="64"/>
      <c r="B148" s="11">
        <v>45783</v>
      </c>
      <c r="C148" s="12">
        <v>0</v>
      </c>
      <c r="D148" s="12">
        <v>13105</v>
      </c>
      <c r="E148" s="76" t="s">
        <v>31</v>
      </c>
      <c r="F148" s="27">
        <v>50606</v>
      </c>
      <c r="G148" s="28">
        <v>266.77</v>
      </c>
      <c r="H148" s="2"/>
    </row>
    <row r="149" spans="1:8" ht="28.5" hidden="1" customHeight="1">
      <c r="A149" s="64"/>
      <c r="B149" s="71"/>
      <c r="C149" s="71"/>
      <c r="D149" s="71"/>
      <c r="E149" s="13" t="s">
        <v>45</v>
      </c>
      <c r="F149" s="13"/>
      <c r="G149" s="30">
        <v>0</v>
      </c>
      <c r="H149" s="2"/>
    </row>
    <row r="150" spans="1:8" ht="15.75" hidden="1" customHeight="1">
      <c r="A150" s="64"/>
      <c r="B150" s="17">
        <v>45783</v>
      </c>
      <c r="C150" s="18">
        <v>0</v>
      </c>
      <c r="D150" s="18">
        <v>13105</v>
      </c>
      <c r="E150" s="65" t="s">
        <v>31</v>
      </c>
      <c r="F150" s="20">
        <v>50607</v>
      </c>
      <c r="G150" s="31">
        <v>226.16</v>
      </c>
      <c r="H150" s="2"/>
    </row>
    <row r="151" spans="1:8" ht="15.75" hidden="1" customHeight="1">
      <c r="A151" s="64"/>
      <c r="B151" s="66"/>
      <c r="C151" s="66"/>
      <c r="D151" s="66"/>
      <c r="E151" s="24" t="s">
        <v>111</v>
      </c>
      <c r="F151" s="24"/>
      <c r="G151" s="25">
        <v>0</v>
      </c>
      <c r="H151" s="2"/>
    </row>
    <row r="152" spans="1:8" ht="15.75" hidden="1" customHeight="1">
      <c r="A152" s="64"/>
      <c r="B152" s="11">
        <v>45783</v>
      </c>
      <c r="C152" s="12">
        <v>0</v>
      </c>
      <c r="D152" s="12">
        <v>13105</v>
      </c>
      <c r="E152" s="76" t="s">
        <v>31</v>
      </c>
      <c r="F152" s="27">
        <v>50608</v>
      </c>
      <c r="G152" s="28">
        <v>344.22</v>
      </c>
      <c r="H152" s="2"/>
    </row>
    <row r="153" spans="1:8" ht="28.5" hidden="1" customHeight="1">
      <c r="A153" s="64"/>
      <c r="B153" s="71"/>
      <c r="C153" s="71"/>
      <c r="D153" s="71"/>
      <c r="E153" s="13" t="s">
        <v>396</v>
      </c>
      <c r="F153" s="13"/>
      <c r="G153" s="30">
        <v>0</v>
      </c>
      <c r="H153" s="2"/>
    </row>
    <row r="154" spans="1:8" ht="15.75" hidden="1" customHeight="1">
      <c r="A154" s="64"/>
      <c r="B154" s="17">
        <v>45783</v>
      </c>
      <c r="C154" s="18">
        <v>0</v>
      </c>
      <c r="D154" s="18">
        <v>13105</v>
      </c>
      <c r="E154" s="65" t="s">
        <v>31</v>
      </c>
      <c r="F154" s="20">
        <v>50609</v>
      </c>
      <c r="G154" s="31">
        <v>444.01</v>
      </c>
      <c r="H154" s="2"/>
    </row>
    <row r="155" spans="1:8" ht="15.75" hidden="1" customHeight="1">
      <c r="A155" s="64"/>
      <c r="B155" s="66"/>
      <c r="C155" s="66"/>
      <c r="D155" s="66"/>
      <c r="E155" s="24" t="s">
        <v>201</v>
      </c>
      <c r="F155" s="24"/>
      <c r="G155" s="25">
        <v>0</v>
      </c>
      <c r="H155" s="2"/>
    </row>
    <row r="156" spans="1:8" ht="15.75" hidden="1" customHeight="1">
      <c r="A156" s="64"/>
      <c r="B156" s="11">
        <v>45783</v>
      </c>
      <c r="C156" s="12">
        <v>0</v>
      </c>
      <c r="D156" s="12">
        <v>13105</v>
      </c>
      <c r="E156" s="76" t="s">
        <v>31</v>
      </c>
      <c r="F156" s="27">
        <v>50610</v>
      </c>
      <c r="G156" s="28">
        <v>256.3</v>
      </c>
      <c r="H156" s="2"/>
    </row>
    <row r="157" spans="1:8" ht="15.75" hidden="1" customHeight="1">
      <c r="A157" s="64"/>
      <c r="B157" s="71"/>
      <c r="C157" s="71"/>
      <c r="D157" s="71"/>
      <c r="E157" s="13" t="s">
        <v>51</v>
      </c>
      <c r="F157" s="13"/>
      <c r="G157" s="30">
        <v>0</v>
      </c>
      <c r="H157" s="2"/>
    </row>
    <row r="158" spans="1:8" ht="15.75" hidden="1" customHeight="1">
      <c r="A158" s="64"/>
      <c r="B158" s="17">
        <v>45783</v>
      </c>
      <c r="C158" s="18">
        <v>0</v>
      </c>
      <c r="D158" s="18">
        <v>13105</v>
      </c>
      <c r="E158" s="65" t="s">
        <v>31</v>
      </c>
      <c r="F158" s="20">
        <v>50611</v>
      </c>
      <c r="G158" s="31">
        <v>120.93</v>
      </c>
      <c r="H158" s="2"/>
    </row>
    <row r="159" spans="1:8" ht="15.75" hidden="1" customHeight="1">
      <c r="A159" s="64"/>
      <c r="B159" s="66"/>
      <c r="C159" s="66"/>
      <c r="D159" s="66"/>
      <c r="E159" s="24" t="s">
        <v>247</v>
      </c>
      <c r="F159" s="24"/>
      <c r="G159" s="25">
        <v>0</v>
      </c>
      <c r="H159" s="2"/>
    </row>
    <row r="160" spans="1:8" ht="15.75" hidden="1" customHeight="1">
      <c r="A160" s="64"/>
      <c r="B160" s="11">
        <v>45783</v>
      </c>
      <c r="C160" s="12">
        <v>0</v>
      </c>
      <c r="D160" s="12">
        <v>13113</v>
      </c>
      <c r="E160" s="76" t="s">
        <v>72</v>
      </c>
      <c r="F160" s="27">
        <v>891261200735152</v>
      </c>
      <c r="G160" s="28">
        <v>75.400000000000006</v>
      </c>
      <c r="H160" s="2"/>
    </row>
    <row r="161" spans="1:9" ht="15.75" hidden="1" customHeight="1">
      <c r="A161" s="64"/>
      <c r="B161" s="71"/>
      <c r="C161" s="71"/>
      <c r="D161" s="71"/>
      <c r="E161" s="13" t="s">
        <v>565</v>
      </c>
      <c r="F161" s="13"/>
      <c r="G161" s="30">
        <v>0</v>
      </c>
      <c r="H161" s="2"/>
    </row>
    <row r="162" spans="1:9" ht="15.75" hidden="1" customHeight="1">
      <c r="A162" s="64"/>
      <c r="B162" s="17">
        <v>45783</v>
      </c>
      <c r="C162" s="18">
        <v>0</v>
      </c>
      <c r="D162" s="18">
        <v>0</v>
      </c>
      <c r="E162" s="65" t="s">
        <v>59</v>
      </c>
      <c r="F162" s="20">
        <v>9903</v>
      </c>
      <c r="G162" s="31">
        <v>795.23</v>
      </c>
      <c r="H162" s="2"/>
    </row>
    <row r="163" spans="1:9" ht="15.75" hidden="1" customHeight="1">
      <c r="A163" s="64"/>
      <c r="B163" s="66"/>
      <c r="C163" s="66"/>
      <c r="D163" s="66"/>
      <c r="E163" s="24" t="s">
        <v>53</v>
      </c>
      <c r="F163" s="24"/>
      <c r="G163" s="25">
        <v>0</v>
      </c>
      <c r="H163" s="2"/>
    </row>
    <row r="164" spans="1:9" ht="15.75" hidden="1" customHeight="1">
      <c r="A164" s="64"/>
      <c r="B164" s="11">
        <v>45784</v>
      </c>
      <c r="C164" s="12">
        <v>1066</v>
      </c>
      <c r="D164" s="12">
        <v>99015</v>
      </c>
      <c r="E164" s="76" t="s">
        <v>27</v>
      </c>
      <c r="F164" s="27">
        <v>551066000027087</v>
      </c>
      <c r="G164" s="15">
        <v>35617.4</v>
      </c>
      <c r="H164" s="2" t="s">
        <v>566</v>
      </c>
    </row>
    <row r="165" spans="1:9" ht="28.5" hidden="1" customHeight="1">
      <c r="A165" s="64"/>
      <c r="B165" s="71"/>
      <c r="C165" s="71"/>
      <c r="D165" s="71"/>
      <c r="E165" s="13" t="s">
        <v>567</v>
      </c>
      <c r="F165" s="13"/>
      <c r="G165" s="30">
        <v>0</v>
      </c>
      <c r="H165" s="2"/>
    </row>
    <row r="166" spans="1:9" ht="15.75" hidden="1" customHeight="1">
      <c r="A166" s="64"/>
      <c r="B166" s="17">
        <v>45784</v>
      </c>
      <c r="C166" s="18">
        <v>5072</v>
      </c>
      <c r="D166" s="18">
        <v>99021</v>
      </c>
      <c r="E166" s="65" t="s">
        <v>27</v>
      </c>
      <c r="F166" s="20">
        <v>615072000004700</v>
      </c>
      <c r="G166" s="21">
        <v>1843.69</v>
      </c>
      <c r="H166" s="2" t="s">
        <v>568</v>
      </c>
    </row>
    <row r="167" spans="1:9" ht="15.75" hidden="1" customHeight="1">
      <c r="A167" s="64"/>
      <c r="B167" s="66"/>
      <c r="C167" s="66"/>
      <c r="D167" s="66"/>
      <c r="E167" s="24" t="s">
        <v>569</v>
      </c>
      <c r="F167" s="24"/>
      <c r="G167" s="25">
        <v>0</v>
      </c>
      <c r="H167" s="2"/>
    </row>
    <row r="168" spans="1:9" ht="15.75" hidden="1" customHeight="1">
      <c r="A168" s="64"/>
      <c r="B168" s="11">
        <v>45784</v>
      </c>
      <c r="C168" s="12">
        <v>0</v>
      </c>
      <c r="D168" s="12">
        <v>14397</v>
      </c>
      <c r="E168" s="76" t="s">
        <v>57</v>
      </c>
      <c r="F168" s="27">
        <v>71550439944132</v>
      </c>
      <c r="G168" s="15">
        <v>718.83</v>
      </c>
      <c r="H168" s="2"/>
    </row>
    <row r="169" spans="1:9" ht="28.5" hidden="1" customHeight="1">
      <c r="A169" s="64"/>
      <c r="B169" s="71"/>
      <c r="C169" s="71"/>
      <c r="D169" s="71"/>
      <c r="E169" s="13" t="s">
        <v>570</v>
      </c>
      <c r="F169" s="13"/>
      <c r="G169" s="30">
        <v>0</v>
      </c>
      <c r="H169" s="2"/>
    </row>
    <row r="170" spans="1:9" ht="15.75" customHeight="1">
      <c r="A170" s="130" t="s">
        <v>140</v>
      </c>
      <c r="B170" s="41">
        <v>45784</v>
      </c>
      <c r="C170" s="42">
        <v>0</v>
      </c>
      <c r="D170" s="42">
        <v>14138</v>
      </c>
      <c r="E170" s="73" t="s">
        <v>141</v>
      </c>
      <c r="F170" s="74">
        <v>202505060031106</v>
      </c>
      <c r="G170" s="75">
        <v>609.28</v>
      </c>
      <c r="H170" s="2">
        <v>3502</v>
      </c>
      <c r="I170" s="79" t="s">
        <v>419</v>
      </c>
    </row>
    <row r="171" spans="1:9" ht="15.75" hidden="1" customHeight="1">
      <c r="A171" s="64"/>
      <c r="B171" s="66"/>
      <c r="C171" s="66"/>
      <c r="D171" s="66"/>
      <c r="E171" s="24" t="s">
        <v>143</v>
      </c>
      <c r="F171" s="24"/>
      <c r="G171" s="25">
        <v>0</v>
      </c>
      <c r="H171" s="2"/>
    </row>
    <row r="172" spans="1:9" ht="15.75" customHeight="1">
      <c r="A172" s="130" t="s">
        <v>140</v>
      </c>
      <c r="B172" s="34">
        <v>45784</v>
      </c>
      <c r="C172" s="35">
        <v>0</v>
      </c>
      <c r="D172" s="35">
        <v>14138</v>
      </c>
      <c r="E172" s="68" t="s">
        <v>141</v>
      </c>
      <c r="F172" s="69">
        <v>202505060031115</v>
      </c>
      <c r="G172" s="70">
        <v>1599.77</v>
      </c>
      <c r="H172" s="2">
        <v>3530</v>
      </c>
      <c r="I172" s="79" t="s">
        <v>428</v>
      </c>
    </row>
    <row r="173" spans="1:9" ht="15.75" hidden="1" customHeight="1">
      <c r="A173" s="64"/>
      <c r="B173" s="71"/>
      <c r="C173" s="71"/>
      <c r="D173" s="71"/>
      <c r="E173" s="13" t="s">
        <v>143</v>
      </c>
      <c r="F173" s="13"/>
      <c r="G173" s="30">
        <v>0</v>
      </c>
      <c r="H173" s="2"/>
    </row>
    <row r="174" spans="1:9" ht="15.75" customHeight="1">
      <c r="A174" s="130" t="s">
        <v>140</v>
      </c>
      <c r="B174" s="41">
        <v>45784</v>
      </c>
      <c r="C174" s="42">
        <v>0</v>
      </c>
      <c r="D174" s="42">
        <v>14138</v>
      </c>
      <c r="E174" s="73" t="s">
        <v>141</v>
      </c>
      <c r="F174" s="74">
        <v>202505060031123</v>
      </c>
      <c r="G174" s="75">
        <v>1668.08</v>
      </c>
      <c r="H174" s="2">
        <v>3484</v>
      </c>
      <c r="I174" s="79" t="s">
        <v>428</v>
      </c>
    </row>
    <row r="175" spans="1:9" ht="15.75" hidden="1" customHeight="1">
      <c r="A175" s="64"/>
      <c r="B175" s="66"/>
      <c r="C175" s="66"/>
      <c r="D175" s="66"/>
      <c r="E175" s="24" t="s">
        <v>143</v>
      </c>
      <c r="F175" s="24"/>
      <c r="G175" s="25">
        <v>0</v>
      </c>
      <c r="H175" s="2"/>
    </row>
    <row r="176" spans="1:9" ht="15.75" customHeight="1">
      <c r="A176" s="130" t="s">
        <v>140</v>
      </c>
      <c r="B176" s="34">
        <v>45784</v>
      </c>
      <c r="C176" s="35">
        <v>0</v>
      </c>
      <c r="D176" s="35">
        <v>14138</v>
      </c>
      <c r="E176" s="68" t="s">
        <v>141</v>
      </c>
      <c r="F176" s="69">
        <v>202505060031135</v>
      </c>
      <c r="G176" s="70">
        <v>1034.49</v>
      </c>
      <c r="H176" s="2">
        <v>3540</v>
      </c>
      <c r="I176" s="79" t="s">
        <v>419</v>
      </c>
    </row>
    <row r="177" spans="1:9" ht="15.75" hidden="1" customHeight="1">
      <c r="A177" s="64"/>
      <c r="B177" s="71"/>
      <c r="C177" s="71"/>
      <c r="D177" s="71"/>
      <c r="E177" s="13" t="s">
        <v>143</v>
      </c>
      <c r="F177" s="13"/>
      <c r="G177" s="30">
        <v>0</v>
      </c>
      <c r="H177" s="2"/>
    </row>
    <row r="178" spans="1:9" ht="15.75" customHeight="1">
      <c r="A178" s="130" t="s">
        <v>140</v>
      </c>
      <c r="B178" s="41">
        <v>45784</v>
      </c>
      <c r="C178" s="42">
        <v>0</v>
      </c>
      <c r="D178" s="42">
        <v>14138</v>
      </c>
      <c r="E178" s="73" t="s">
        <v>141</v>
      </c>
      <c r="F178" s="74">
        <v>202505060031141</v>
      </c>
      <c r="G178" s="75">
        <v>609.28</v>
      </c>
      <c r="H178" s="2">
        <v>3504</v>
      </c>
      <c r="I178" s="79" t="s">
        <v>419</v>
      </c>
    </row>
    <row r="179" spans="1:9" ht="15.75" hidden="1" customHeight="1">
      <c r="A179" s="64"/>
      <c r="B179" s="66"/>
      <c r="C179" s="66"/>
      <c r="D179" s="66"/>
      <c r="E179" s="24" t="s">
        <v>143</v>
      </c>
      <c r="F179" s="24"/>
      <c r="G179" s="25">
        <v>0</v>
      </c>
      <c r="H179" s="2"/>
    </row>
    <row r="180" spans="1:9" ht="15.75" customHeight="1">
      <c r="A180" s="130" t="s">
        <v>140</v>
      </c>
      <c r="B180" s="34">
        <v>45784</v>
      </c>
      <c r="C180" s="35">
        <v>0</v>
      </c>
      <c r="D180" s="35">
        <v>14138</v>
      </c>
      <c r="E180" s="68" t="s">
        <v>141</v>
      </c>
      <c r="F180" s="69">
        <v>202505060031145</v>
      </c>
      <c r="G180" s="70">
        <v>609.28</v>
      </c>
      <c r="H180" s="2">
        <v>3506</v>
      </c>
      <c r="I180" s="79" t="s">
        <v>419</v>
      </c>
    </row>
    <row r="181" spans="1:9" ht="15.75" hidden="1" customHeight="1">
      <c r="A181" s="64"/>
      <c r="B181" s="71"/>
      <c r="C181" s="71"/>
      <c r="D181" s="71"/>
      <c r="E181" s="13" t="s">
        <v>143</v>
      </c>
      <c r="F181" s="13"/>
      <c r="G181" s="30">
        <v>0</v>
      </c>
      <c r="H181" s="2"/>
    </row>
    <row r="182" spans="1:9" ht="15.75" customHeight="1">
      <c r="A182" s="130" t="s">
        <v>140</v>
      </c>
      <c r="B182" s="41">
        <v>45784</v>
      </c>
      <c r="C182" s="42">
        <v>0</v>
      </c>
      <c r="D182" s="42">
        <v>14138</v>
      </c>
      <c r="E182" s="73" t="s">
        <v>141</v>
      </c>
      <c r="F182" s="74">
        <v>202505060031153</v>
      </c>
      <c r="G182" s="75">
        <v>245.14</v>
      </c>
      <c r="H182" s="2">
        <v>3541</v>
      </c>
      <c r="I182" s="79" t="s">
        <v>419</v>
      </c>
    </row>
    <row r="183" spans="1:9" ht="15.75" hidden="1" customHeight="1">
      <c r="A183" s="64"/>
      <c r="B183" s="66"/>
      <c r="C183" s="66"/>
      <c r="D183" s="66"/>
      <c r="E183" s="24" t="s">
        <v>143</v>
      </c>
      <c r="F183" s="24"/>
      <c r="G183" s="25">
        <v>0</v>
      </c>
      <c r="H183" s="2"/>
    </row>
    <row r="184" spans="1:9" ht="15.75" hidden="1" customHeight="1">
      <c r="A184" s="64"/>
      <c r="B184" s="11">
        <v>45784</v>
      </c>
      <c r="C184" s="12">
        <v>0</v>
      </c>
      <c r="D184" s="12">
        <v>14397</v>
      </c>
      <c r="E184" s="76" t="s">
        <v>57</v>
      </c>
      <c r="F184" s="27">
        <v>466368842535971</v>
      </c>
      <c r="G184" s="15">
        <v>1772.67</v>
      </c>
      <c r="H184" s="2"/>
    </row>
    <row r="185" spans="1:9" ht="28.5" hidden="1" customHeight="1">
      <c r="A185" s="64"/>
      <c r="B185" s="71"/>
      <c r="C185" s="71"/>
      <c r="D185" s="71"/>
      <c r="E185" s="13" t="s">
        <v>571</v>
      </c>
      <c r="F185" s="13"/>
      <c r="G185" s="30">
        <v>0</v>
      </c>
      <c r="H185" s="2"/>
    </row>
    <row r="186" spans="1:9" ht="15.75" hidden="1" customHeight="1">
      <c r="A186" s="64"/>
      <c r="B186" s="17">
        <v>45784</v>
      </c>
      <c r="C186" s="18">
        <v>1533</v>
      </c>
      <c r="D186" s="18">
        <v>99008</v>
      </c>
      <c r="E186" s="65" t="s">
        <v>29</v>
      </c>
      <c r="F186" s="20">
        <v>725953</v>
      </c>
      <c r="G186" s="31">
        <v>217.26</v>
      </c>
      <c r="H186" s="2"/>
    </row>
    <row r="187" spans="1:9" ht="15.75" hidden="1" customHeight="1">
      <c r="A187" s="64"/>
      <c r="B187" s="66"/>
      <c r="C187" s="66"/>
      <c r="D187" s="66"/>
      <c r="E187" s="24" t="s">
        <v>572</v>
      </c>
      <c r="F187" s="24"/>
      <c r="G187" s="25">
        <v>0</v>
      </c>
      <c r="H187" s="2"/>
    </row>
    <row r="188" spans="1:9" ht="15.75" hidden="1" customHeight="1">
      <c r="A188" s="64"/>
      <c r="B188" s="11">
        <v>45784</v>
      </c>
      <c r="C188" s="12">
        <v>1533</v>
      </c>
      <c r="D188" s="12">
        <v>99015</v>
      </c>
      <c r="E188" s="76" t="s">
        <v>195</v>
      </c>
      <c r="F188" s="27">
        <v>551845000113366</v>
      </c>
      <c r="G188" s="28">
        <v>3586.23</v>
      </c>
      <c r="H188" s="2"/>
    </row>
    <row r="189" spans="1:9" ht="28.5" hidden="1" customHeight="1">
      <c r="A189" s="64"/>
      <c r="B189" s="71"/>
      <c r="C189" s="71"/>
      <c r="D189" s="71"/>
      <c r="E189" s="13" t="s">
        <v>573</v>
      </c>
      <c r="F189" s="13"/>
      <c r="G189" s="30">
        <v>0</v>
      </c>
      <c r="H189" s="2"/>
    </row>
    <row r="190" spans="1:9" ht="15.75" hidden="1" customHeight="1">
      <c r="A190" s="64"/>
      <c r="B190" s="17">
        <v>45784</v>
      </c>
      <c r="C190" s="18">
        <v>1533</v>
      </c>
      <c r="D190" s="18">
        <v>99015</v>
      </c>
      <c r="E190" s="65" t="s">
        <v>195</v>
      </c>
      <c r="F190" s="20">
        <v>552035000108588</v>
      </c>
      <c r="G190" s="31">
        <v>3672.64</v>
      </c>
      <c r="H190" s="2"/>
    </row>
    <row r="191" spans="1:9" ht="28.5" hidden="1" customHeight="1">
      <c r="A191" s="64"/>
      <c r="B191" s="66"/>
      <c r="C191" s="66"/>
      <c r="D191" s="66"/>
      <c r="E191" s="24" t="s">
        <v>574</v>
      </c>
      <c r="F191" s="24"/>
      <c r="G191" s="25">
        <v>0</v>
      </c>
      <c r="H191" s="2"/>
    </row>
    <row r="192" spans="1:9" ht="15.75" hidden="1" customHeight="1">
      <c r="A192" s="64"/>
      <c r="B192" s="11">
        <v>45784</v>
      </c>
      <c r="C192" s="12">
        <v>0</v>
      </c>
      <c r="D192" s="12">
        <v>13105</v>
      </c>
      <c r="E192" s="76" t="s">
        <v>31</v>
      </c>
      <c r="F192" s="27">
        <v>50701</v>
      </c>
      <c r="G192" s="28">
        <v>376.19</v>
      </c>
      <c r="H192" s="2"/>
    </row>
    <row r="193" spans="1:8" ht="28.5" hidden="1" customHeight="1">
      <c r="A193" s="64"/>
      <c r="B193" s="71"/>
      <c r="C193" s="71"/>
      <c r="D193" s="71"/>
      <c r="E193" s="13" t="s">
        <v>45</v>
      </c>
      <c r="F193" s="13"/>
      <c r="G193" s="30">
        <v>0</v>
      </c>
      <c r="H193" s="2"/>
    </row>
    <row r="194" spans="1:8" ht="15.75" hidden="1" customHeight="1">
      <c r="A194" s="64"/>
      <c r="B194" s="17">
        <v>45784</v>
      </c>
      <c r="C194" s="18">
        <v>0</v>
      </c>
      <c r="D194" s="18">
        <v>13105</v>
      </c>
      <c r="E194" s="65" t="s">
        <v>31</v>
      </c>
      <c r="F194" s="20">
        <v>50702</v>
      </c>
      <c r="G194" s="31">
        <v>1101.01</v>
      </c>
      <c r="H194" s="2"/>
    </row>
    <row r="195" spans="1:8" ht="28.5" hidden="1" customHeight="1">
      <c r="A195" s="64"/>
      <c r="B195" s="66"/>
      <c r="C195" s="66"/>
      <c r="D195" s="66"/>
      <c r="E195" s="24" t="s">
        <v>223</v>
      </c>
      <c r="F195" s="24"/>
      <c r="G195" s="25">
        <v>0</v>
      </c>
      <c r="H195" s="2"/>
    </row>
    <row r="196" spans="1:8" ht="15.75" hidden="1" customHeight="1">
      <c r="A196" s="64"/>
      <c r="B196" s="11">
        <v>45784</v>
      </c>
      <c r="C196" s="12">
        <v>0</v>
      </c>
      <c r="D196" s="12">
        <v>13105</v>
      </c>
      <c r="E196" s="76" t="s">
        <v>31</v>
      </c>
      <c r="F196" s="27">
        <v>50703</v>
      </c>
      <c r="G196" s="28">
        <v>5956.99</v>
      </c>
      <c r="H196" s="2"/>
    </row>
    <row r="197" spans="1:8" ht="28.5" hidden="1" customHeight="1">
      <c r="A197" s="64"/>
      <c r="B197" s="71"/>
      <c r="C197" s="71"/>
      <c r="D197" s="71"/>
      <c r="E197" s="13" t="s">
        <v>95</v>
      </c>
      <c r="F197" s="13"/>
      <c r="G197" s="30">
        <v>0</v>
      </c>
      <c r="H197" s="2"/>
    </row>
    <row r="198" spans="1:8" ht="15.75" hidden="1" customHeight="1">
      <c r="A198" s="64"/>
      <c r="B198" s="17">
        <v>45784</v>
      </c>
      <c r="C198" s="18">
        <v>0</v>
      </c>
      <c r="D198" s="18">
        <v>13105</v>
      </c>
      <c r="E198" s="65" t="s">
        <v>31</v>
      </c>
      <c r="F198" s="20">
        <v>50704</v>
      </c>
      <c r="G198" s="31">
        <v>3907.34</v>
      </c>
      <c r="H198" s="2"/>
    </row>
    <row r="199" spans="1:8" ht="28.5" hidden="1" customHeight="1">
      <c r="A199" s="64"/>
      <c r="B199" s="66"/>
      <c r="C199" s="66"/>
      <c r="D199" s="66"/>
      <c r="E199" s="24" t="s">
        <v>32</v>
      </c>
      <c r="F199" s="24"/>
      <c r="G199" s="25">
        <v>0</v>
      </c>
      <c r="H199" s="2"/>
    </row>
    <row r="200" spans="1:8" ht="15.75" hidden="1" customHeight="1">
      <c r="A200" s="64"/>
      <c r="B200" s="11">
        <v>45784</v>
      </c>
      <c r="C200" s="12">
        <v>0</v>
      </c>
      <c r="D200" s="12">
        <v>13105</v>
      </c>
      <c r="E200" s="76" t="s">
        <v>31</v>
      </c>
      <c r="F200" s="27">
        <v>50705</v>
      </c>
      <c r="G200" s="28">
        <v>2604.3000000000002</v>
      </c>
      <c r="H200" s="2"/>
    </row>
    <row r="201" spans="1:8" ht="15.75" hidden="1" customHeight="1">
      <c r="A201" s="64"/>
      <c r="B201" s="71"/>
      <c r="C201" s="71"/>
      <c r="D201" s="71"/>
      <c r="E201" s="13" t="s">
        <v>66</v>
      </c>
      <c r="F201" s="13"/>
      <c r="G201" s="30">
        <v>0</v>
      </c>
      <c r="H201" s="2"/>
    </row>
    <row r="202" spans="1:8" ht="15.75" hidden="1" customHeight="1">
      <c r="A202" s="64"/>
      <c r="B202" s="17">
        <v>45784</v>
      </c>
      <c r="C202" s="18">
        <v>0</v>
      </c>
      <c r="D202" s="18">
        <v>13105</v>
      </c>
      <c r="E202" s="65" t="s">
        <v>31</v>
      </c>
      <c r="F202" s="20">
        <v>50706</v>
      </c>
      <c r="G202" s="31">
        <v>325</v>
      </c>
      <c r="H202" s="2"/>
    </row>
    <row r="203" spans="1:8" ht="15.75" hidden="1" customHeight="1">
      <c r="A203" s="64"/>
      <c r="B203" s="66"/>
      <c r="C203" s="66"/>
      <c r="D203" s="66"/>
      <c r="E203" s="24" t="s">
        <v>575</v>
      </c>
      <c r="F203" s="24"/>
      <c r="G203" s="25">
        <v>0</v>
      </c>
      <c r="H203" s="2"/>
    </row>
    <row r="204" spans="1:8" ht="15.75" hidden="1" customHeight="1">
      <c r="A204" s="64"/>
      <c r="B204" s="11">
        <v>45784</v>
      </c>
      <c r="C204" s="12">
        <v>0</v>
      </c>
      <c r="D204" s="12">
        <v>13105</v>
      </c>
      <c r="E204" s="76" t="s">
        <v>31</v>
      </c>
      <c r="F204" s="27">
        <v>50707</v>
      </c>
      <c r="G204" s="28">
        <v>350</v>
      </c>
      <c r="H204" s="2"/>
    </row>
    <row r="205" spans="1:8" ht="28.5" hidden="1" customHeight="1">
      <c r="A205" s="64"/>
      <c r="B205" s="71"/>
      <c r="C205" s="71"/>
      <c r="D205" s="71"/>
      <c r="E205" s="13" t="s">
        <v>41</v>
      </c>
      <c r="F205" s="13"/>
      <c r="G205" s="30">
        <v>0</v>
      </c>
      <c r="H205" s="2"/>
    </row>
    <row r="206" spans="1:8" ht="15.75" hidden="1" customHeight="1">
      <c r="A206" s="64"/>
      <c r="B206" s="17">
        <v>45784</v>
      </c>
      <c r="C206" s="18">
        <v>0</v>
      </c>
      <c r="D206" s="18">
        <v>13105</v>
      </c>
      <c r="E206" s="65" t="s">
        <v>118</v>
      </c>
      <c r="F206" s="20">
        <v>50708</v>
      </c>
      <c r="G206" s="31">
        <v>3668.4</v>
      </c>
      <c r="H206" s="2"/>
    </row>
    <row r="207" spans="1:8" ht="15.75" hidden="1" customHeight="1">
      <c r="A207" s="64"/>
      <c r="B207" s="66"/>
      <c r="C207" s="66"/>
      <c r="D207" s="66"/>
      <c r="E207" s="24" t="s">
        <v>576</v>
      </c>
      <c r="F207" s="24"/>
      <c r="G207" s="25">
        <v>0</v>
      </c>
      <c r="H207" s="2"/>
    </row>
    <row r="208" spans="1:8" ht="15.75" hidden="1" customHeight="1">
      <c r="A208" s="64"/>
      <c r="B208" s="11">
        <v>45784</v>
      </c>
      <c r="C208" s="12">
        <v>0</v>
      </c>
      <c r="D208" s="12">
        <v>13105</v>
      </c>
      <c r="E208" s="76" t="s">
        <v>31</v>
      </c>
      <c r="F208" s="27">
        <v>50709</v>
      </c>
      <c r="G208" s="28">
        <v>4020</v>
      </c>
      <c r="H208" s="2"/>
    </row>
    <row r="209" spans="1:9" ht="28.5" hidden="1" customHeight="1">
      <c r="A209" s="64"/>
      <c r="B209" s="71"/>
      <c r="C209" s="71"/>
      <c r="D209" s="71"/>
      <c r="E209" s="13" t="s">
        <v>530</v>
      </c>
      <c r="F209" s="13"/>
      <c r="G209" s="30">
        <v>0</v>
      </c>
      <c r="H209" s="2"/>
    </row>
    <row r="210" spans="1:9" ht="15.75" hidden="1" customHeight="1">
      <c r="A210" s="64"/>
      <c r="B210" s="17">
        <v>45784</v>
      </c>
      <c r="C210" s="18">
        <v>0</v>
      </c>
      <c r="D210" s="18">
        <v>13105</v>
      </c>
      <c r="E210" s="65" t="s">
        <v>118</v>
      </c>
      <c r="F210" s="20">
        <v>50710</v>
      </c>
      <c r="G210" s="31">
        <v>3600</v>
      </c>
      <c r="H210" s="2"/>
    </row>
    <row r="211" spans="1:9" ht="28.5" hidden="1" customHeight="1">
      <c r="A211" s="64"/>
      <c r="B211" s="66"/>
      <c r="C211" s="66"/>
      <c r="D211" s="66"/>
      <c r="E211" s="24" t="s">
        <v>577</v>
      </c>
      <c r="F211" s="24"/>
      <c r="G211" s="25">
        <v>0</v>
      </c>
      <c r="H211" s="2"/>
    </row>
    <row r="212" spans="1:9" ht="15.75" hidden="1" customHeight="1">
      <c r="A212" s="64"/>
      <c r="B212" s="11">
        <v>45784</v>
      </c>
      <c r="C212" s="12">
        <v>0</v>
      </c>
      <c r="D212" s="12">
        <v>13105</v>
      </c>
      <c r="E212" s="76" t="s">
        <v>370</v>
      </c>
      <c r="F212" s="27">
        <v>50711</v>
      </c>
      <c r="G212" s="28">
        <v>10000</v>
      </c>
      <c r="H212" s="2"/>
    </row>
    <row r="213" spans="1:9" ht="28.5" hidden="1" customHeight="1">
      <c r="A213" s="64"/>
      <c r="B213" s="71"/>
      <c r="C213" s="71"/>
      <c r="D213" s="71"/>
      <c r="E213" s="13" t="s">
        <v>371</v>
      </c>
      <c r="F213" s="13"/>
      <c r="G213" s="30">
        <v>0</v>
      </c>
      <c r="H213" s="2"/>
    </row>
    <row r="214" spans="1:9" ht="15.75" hidden="1" customHeight="1">
      <c r="A214" s="64"/>
      <c r="B214" s="17">
        <v>45784</v>
      </c>
      <c r="C214" s="18">
        <v>0</v>
      </c>
      <c r="D214" s="18">
        <v>13105</v>
      </c>
      <c r="E214" s="65" t="s">
        <v>31</v>
      </c>
      <c r="F214" s="20">
        <v>50712</v>
      </c>
      <c r="G214" s="31">
        <v>3302.33</v>
      </c>
      <c r="H214" s="2"/>
    </row>
    <row r="215" spans="1:9" ht="15.75" hidden="1" customHeight="1">
      <c r="A215" s="64"/>
      <c r="B215" s="66"/>
      <c r="C215" s="66"/>
      <c r="D215" s="66"/>
      <c r="E215" s="24" t="s">
        <v>46</v>
      </c>
      <c r="F215" s="24"/>
      <c r="G215" s="25">
        <v>0</v>
      </c>
      <c r="H215" s="2"/>
    </row>
    <row r="216" spans="1:9" ht="15.75" hidden="1" customHeight="1">
      <c r="A216" s="64"/>
      <c r="B216" s="11">
        <v>45784</v>
      </c>
      <c r="C216" s="12">
        <v>0</v>
      </c>
      <c r="D216" s="12">
        <v>0</v>
      </c>
      <c r="E216" s="76" t="s">
        <v>52</v>
      </c>
      <c r="F216" s="27">
        <v>9903</v>
      </c>
      <c r="G216" s="15">
        <v>359.78</v>
      </c>
      <c r="H216" s="2"/>
    </row>
    <row r="217" spans="1:9" ht="15.75" hidden="1" customHeight="1">
      <c r="A217" s="64"/>
      <c r="B217" s="71"/>
      <c r="C217" s="71"/>
      <c r="D217" s="71"/>
      <c r="E217" s="13" t="s">
        <v>53</v>
      </c>
      <c r="F217" s="13"/>
      <c r="G217" s="30">
        <v>0</v>
      </c>
      <c r="H217" s="2"/>
    </row>
    <row r="218" spans="1:9" ht="15.75" hidden="1" customHeight="1">
      <c r="A218" s="64"/>
      <c r="B218" s="17">
        <v>45785</v>
      </c>
      <c r="C218" s="18">
        <v>2256</v>
      </c>
      <c r="D218" s="18">
        <v>99021</v>
      </c>
      <c r="E218" s="65" t="s">
        <v>27</v>
      </c>
      <c r="F218" s="20">
        <v>612256000106555</v>
      </c>
      <c r="G218" s="21">
        <v>921.93</v>
      </c>
      <c r="H218" s="2" t="s">
        <v>578</v>
      </c>
    </row>
    <row r="219" spans="1:9" ht="15.75" hidden="1" customHeight="1">
      <c r="A219" s="64"/>
      <c r="B219" s="66"/>
      <c r="C219" s="66"/>
      <c r="D219" s="66"/>
      <c r="E219" s="24" t="s">
        <v>579</v>
      </c>
      <c r="F219" s="24"/>
      <c r="G219" s="25">
        <v>0</v>
      </c>
      <c r="H219" s="2"/>
    </row>
    <row r="220" spans="1:9" ht="15.75" hidden="1" customHeight="1">
      <c r="A220" s="64"/>
      <c r="B220" s="11">
        <v>45785</v>
      </c>
      <c r="C220" s="12">
        <v>0</v>
      </c>
      <c r="D220" s="12">
        <v>14175</v>
      </c>
      <c r="E220" s="76" t="s">
        <v>62</v>
      </c>
      <c r="F220" s="27">
        <v>33703934</v>
      </c>
      <c r="G220" s="15">
        <v>11424</v>
      </c>
      <c r="H220" s="2" t="s">
        <v>102</v>
      </c>
    </row>
    <row r="221" spans="1:9" ht="28.5" hidden="1" customHeight="1">
      <c r="A221" s="64"/>
      <c r="B221" s="71"/>
      <c r="C221" s="71"/>
      <c r="D221" s="71"/>
      <c r="E221" s="13" t="s">
        <v>301</v>
      </c>
      <c r="F221" s="13"/>
      <c r="G221" s="30">
        <v>0</v>
      </c>
      <c r="H221" s="2"/>
    </row>
    <row r="222" spans="1:9" ht="15.75" hidden="1" customHeight="1">
      <c r="A222" s="64"/>
      <c r="B222" s="17">
        <v>45785</v>
      </c>
      <c r="C222" s="18">
        <v>0</v>
      </c>
      <c r="D222" s="18">
        <v>14175</v>
      </c>
      <c r="E222" s="65" t="s">
        <v>62</v>
      </c>
      <c r="F222" s="20">
        <v>380565907</v>
      </c>
      <c r="G222" s="21">
        <v>2700</v>
      </c>
      <c r="H222" s="2" t="s">
        <v>537</v>
      </c>
    </row>
    <row r="223" spans="1:9" ht="28.5" hidden="1" customHeight="1">
      <c r="A223" s="64"/>
      <c r="B223" s="66"/>
      <c r="C223" s="66"/>
      <c r="D223" s="66"/>
      <c r="E223" s="24" t="s">
        <v>97</v>
      </c>
      <c r="F223" s="24"/>
      <c r="G223" s="25">
        <v>0</v>
      </c>
      <c r="H223" s="2"/>
    </row>
    <row r="224" spans="1:9" ht="15.75" customHeight="1">
      <c r="A224" s="130" t="s">
        <v>140</v>
      </c>
      <c r="B224" s="34">
        <v>45785</v>
      </c>
      <c r="C224" s="35">
        <v>0</v>
      </c>
      <c r="D224" s="35">
        <v>14138</v>
      </c>
      <c r="E224" s="68" t="s">
        <v>141</v>
      </c>
      <c r="F224" s="69">
        <v>202505070001497</v>
      </c>
      <c r="G224" s="70">
        <v>311.16000000000003</v>
      </c>
      <c r="H224" s="2">
        <v>3543</v>
      </c>
      <c r="I224" s="79" t="s">
        <v>419</v>
      </c>
    </row>
    <row r="225" spans="1:8" ht="15.75" hidden="1" customHeight="1">
      <c r="A225" s="64"/>
      <c r="B225" s="71"/>
      <c r="C225" s="71"/>
      <c r="D225" s="71"/>
      <c r="E225" s="13" t="s">
        <v>143</v>
      </c>
      <c r="F225" s="13"/>
      <c r="G225" s="30">
        <v>0</v>
      </c>
      <c r="H225" s="2"/>
    </row>
    <row r="226" spans="1:8" ht="15.75" hidden="1" customHeight="1">
      <c r="A226" s="64"/>
      <c r="B226" s="17">
        <v>45785</v>
      </c>
      <c r="C226" s="18">
        <v>1533</v>
      </c>
      <c r="D226" s="18">
        <v>99008</v>
      </c>
      <c r="E226" s="65" t="s">
        <v>29</v>
      </c>
      <c r="F226" s="20">
        <v>473115</v>
      </c>
      <c r="G226" s="31">
        <v>148.1</v>
      </c>
      <c r="H226" s="2"/>
    </row>
    <row r="227" spans="1:8" ht="15.75" hidden="1" customHeight="1">
      <c r="A227" s="64"/>
      <c r="B227" s="66"/>
      <c r="C227" s="66"/>
      <c r="D227" s="66"/>
      <c r="E227" s="24" t="s">
        <v>580</v>
      </c>
      <c r="F227" s="24"/>
      <c r="G227" s="25">
        <v>0</v>
      </c>
      <c r="H227" s="2"/>
    </row>
    <row r="228" spans="1:8" ht="15.75" hidden="1" customHeight="1">
      <c r="A228" s="64"/>
      <c r="B228" s="11">
        <v>45785</v>
      </c>
      <c r="C228" s="12">
        <v>0</v>
      </c>
      <c r="D228" s="12">
        <v>13105</v>
      </c>
      <c r="E228" s="76" t="s">
        <v>80</v>
      </c>
      <c r="F228" s="27">
        <v>50801</v>
      </c>
      <c r="G228" s="28">
        <v>494.37</v>
      </c>
      <c r="H228" s="2"/>
    </row>
    <row r="229" spans="1:8" ht="15.75" hidden="1" customHeight="1">
      <c r="A229" s="64"/>
      <c r="B229" s="71"/>
      <c r="C229" s="71"/>
      <c r="D229" s="71"/>
      <c r="E229" s="13" t="s">
        <v>81</v>
      </c>
      <c r="F229" s="13"/>
      <c r="G229" s="30">
        <v>0</v>
      </c>
      <c r="H229" s="2"/>
    </row>
    <row r="230" spans="1:8" ht="15.75" hidden="1" customHeight="1">
      <c r="A230" s="64"/>
      <c r="B230" s="17">
        <v>45785</v>
      </c>
      <c r="C230" s="18">
        <v>0</v>
      </c>
      <c r="D230" s="18">
        <v>13105</v>
      </c>
      <c r="E230" s="65" t="s">
        <v>31</v>
      </c>
      <c r="F230" s="20">
        <v>50802</v>
      </c>
      <c r="G230" s="31">
        <v>1794.26</v>
      </c>
      <c r="H230" s="2"/>
    </row>
    <row r="231" spans="1:8" ht="28.5" hidden="1" customHeight="1">
      <c r="A231" s="64"/>
      <c r="B231" s="66"/>
      <c r="C231" s="66"/>
      <c r="D231" s="66"/>
      <c r="E231" s="24" t="s">
        <v>95</v>
      </c>
      <c r="F231" s="24"/>
      <c r="G231" s="25">
        <v>0</v>
      </c>
      <c r="H231" s="2"/>
    </row>
    <row r="232" spans="1:8" ht="15.75" hidden="1" customHeight="1">
      <c r="A232" s="64"/>
      <c r="B232" s="11">
        <v>45785</v>
      </c>
      <c r="C232" s="12">
        <v>0</v>
      </c>
      <c r="D232" s="12">
        <v>13105</v>
      </c>
      <c r="E232" s="76" t="s">
        <v>31</v>
      </c>
      <c r="F232" s="27">
        <v>50803</v>
      </c>
      <c r="G232" s="28">
        <v>282.10000000000002</v>
      </c>
      <c r="H232" s="2"/>
    </row>
    <row r="233" spans="1:8" ht="15.75" hidden="1" customHeight="1">
      <c r="A233" s="64"/>
      <c r="B233" s="71"/>
      <c r="C233" s="71"/>
      <c r="D233" s="71"/>
      <c r="E233" s="13" t="s">
        <v>111</v>
      </c>
      <c r="F233" s="13"/>
      <c r="G233" s="30">
        <v>0</v>
      </c>
      <c r="H233" s="2"/>
    </row>
    <row r="234" spans="1:8" ht="15.75" hidden="1" customHeight="1">
      <c r="A234" s="64"/>
      <c r="B234" s="17">
        <v>45785</v>
      </c>
      <c r="C234" s="18">
        <v>0</v>
      </c>
      <c r="D234" s="18">
        <v>13105</v>
      </c>
      <c r="E234" s="65" t="s">
        <v>31</v>
      </c>
      <c r="F234" s="20">
        <v>50804</v>
      </c>
      <c r="G234" s="31">
        <v>201.27</v>
      </c>
      <c r="H234" s="2"/>
    </row>
    <row r="235" spans="1:8" ht="15.75" hidden="1" customHeight="1">
      <c r="A235" s="64"/>
      <c r="B235" s="66"/>
      <c r="C235" s="66"/>
      <c r="D235" s="66"/>
      <c r="E235" s="24" t="s">
        <v>111</v>
      </c>
      <c r="F235" s="24"/>
      <c r="G235" s="25">
        <v>0</v>
      </c>
      <c r="H235" s="2"/>
    </row>
    <row r="236" spans="1:8" ht="15.75" hidden="1" customHeight="1">
      <c r="A236" s="64"/>
      <c r="B236" s="11">
        <v>45785</v>
      </c>
      <c r="C236" s="12">
        <v>0</v>
      </c>
      <c r="D236" s="12">
        <v>13105</v>
      </c>
      <c r="E236" s="76" t="s">
        <v>31</v>
      </c>
      <c r="F236" s="27">
        <v>50805</v>
      </c>
      <c r="G236" s="28">
        <v>350.85</v>
      </c>
      <c r="H236" s="2"/>
    </row>
    <row r="237" spans="1:8" ht="15.75" hidden="1" customHeight="1">
      <c r="A237" s="64"/>
      <c r="B237" s="71"/>
      <c r="C237" s="71"/>
      <c r="D237" s="71"/>
      <c r="E237" s="13" t="s">
        <v>78</v>
      </c>
      <c r="F237" s="13"/>
      <c r="G237" s="30">
        <v>0</v>
      </c>
      <c r="H237" s="2"/>
    </row>
    <row r="238" spans="1:8" ht="15.75" hidden="1" customHeight="1">
      <c r="A238" s="64"/>
      <c r="B238" s="17">
        <v>45785</v>
      </c>
      <c r="C238" s="18">
        <v>0</v>
      </c>
      <c r="D238" s="18">
        <v>13105</v>
      </c>
      <c r="E238" s="65" t="s">
        <v>31</v>
      </c>
      <c r="F238" s="20">
        <v>50806</v>
      </c>
      <c r="G238" s="31">
        <v>788.01</v>
      </c>
      <c r="H238" s="2"/>
    </row>
    <row r="239" spans="1:8" ht="15.75" hidden="1" customHeight="1">
      <c r="A239" s="64"/>
      <c r="B239" s="66"/>
      <c r="C239" s="66"/>
      <c r="D239" s="66"/>
      <c r="E239" s="24" t="s">
        <v>46</v>
      </c>
      <c r="F239" s="24"/>
      <c r="G239" s="25">
        <v>0</v>
      </c>
      <c r="H239" s="2"/>
    </row>
    <row r="240" spans="1:8" ht="15.75" hidden="1" customHeight="1">
      <c r="A240" s="64"/>
      <c r="B240" s="11">
        <v>45785</v>
      </c>
      <c r="C240" s="12">
        <v>0</v>
      </c>
      <c r="D240" s="12">
        <v>13105</v>
      </c>
      <c r="E240" s="76" t="s">
        <v>31</v>
      </c>
      <c r="F240" s="27">
        <v>50807</v>
      </c>
      <c r="G240" s="28">
        <v>770.17</v>
      </c>
      <c r="H240" s="2"/>
    </row>
    <row r="241" spans="1:9" ht="15.75" hidden="1" customHeight="1">
      <c r="A241" s="64"/>
      <c r="B241" s="71"/>
      <c r="C241" s="71"/>
      <c r="D241" s="71"/>
      <c r="E241" s="13" t="s">
        <v>46</v>
      </c>
      <c r="F241" s="13"/>
      <c r="G241" s="30">
        <v>0</v>
      </c>
      <c r="H241" s="2"/>
    </row>
    <row r="242" spans="1:9" ht="15.75" hidden="1" customHeight="1">
      <c r="A242" s="64"/>
      <c r="B242" s="17">
        <v>45785</v>
      </c>
      <c r="C242" s="18">
        <v>0</v>
      </c>
      <c r="D242" s="18">
        <v>13105</v>
      </c>
      <c r="E242" s="65" t="s">
        <v>31</v>
      </c>
      <c r="F242" s="20">
        <v>50808</v>
      </c>
      <c r="G242" s="31">
        <v>5113.3100000000004</v>
      </c>
      <c r="H242" s="2"/>
    </row>
    <row r="243" spans="1:9" ht="15.75" hidden="1" customHeight="1">
      <c r="A243" s="64"/>
      <c r="B243" s="66"/>
      <c r="C243" s="66"/>
      <c r="D243" s="66"/>
      <c r="E243" s="24" t="s">
        <v>66</v>
      </c>
      <c r="F243" s="24"/>
      <c r="G243" s="25">
        <v>0</v>
      </c>
      <c r="H243" s="2"/>
    </row>
    <row r="244" spans="1:9" ht="15.75" hidden="1" customHeight="1">
      <c r="A244" s="64"/>
      <c r="B244" s="11">
        <v>45785</v>
      </c>
      <c r="C244" s="12">
        <v>0</v>
      </c>
      <c r="D244" s="12">
        <v>13105</v>
      </c>
      <c r="E244" s="76" t="s">
        <v>31</v>
      </c>
      <c r="F244" s="27">
        <v>50809</v>
      </c>
      <c r="G244" s="28">
        <v>3370.78</v>
      </c>
      <c r="H244" s="2"/>
    </row>
    <row r="245" spans="1:9" ht="15.75" hidden="1" customHeight="1">
      <c r="A245" s="64"/>
      <c r="B245" s="71"/>
      <c r="C245" s="71"/>
      <c r="D245" s="71"/>
      <c r="E245" s="13" t="s">
        <v>55</v>
      </c>
      <c r="F245" s="13"/>
      <c r="G245" s="30">
        <v>0</v>
      </c>
      <c r="H245" s="2"/>
    </row>
    <row r="246" spans="1:9" ht="15.75" hidden="1" customHeight="1">
      <c r="A246" s="64"/>
      <c r="B246" s="17">
        <v>45785</v>
      </c>
      <c r="C246" s="18">
        <v>0</v>
      </c>
      <c r="D246" s="18">
        <v>0</v>
      </c>
      <c r="E246" s="65" t="s">
        <v>59</v>
      </c>
      <c r="F246" s="20">
        <v>9903</v>
      </c>
      <c r="G246" s="31">
        <v>2043.87</v>
      </c>
      <c r="H246" s="2"/>
    </row>
    <row r="247" spans="1:9" ht="15.75" hidden="1" customHeight="1">
      <c r="A247" s="64"/>
      <c r="B247" s="66"/>
      <c r="C247" s="66"/>
      <c r="D247" s="66"/>
      <c r="E247" s="24" t="s">
        <v>53</v>
      </c>
      <c r="F247" s="24"/>
      <c r="G247" s="25">
        <v>0</v>
      </c>
      <c r="H247" s="2"/>
    </row>
    <row r="248" spans="1:9" ht="15.75" customHeight="1">
      <c r="A248" s="130" t="s">
        <v>140</v>
      </c>
      <c r="B248" s="34">
        <v>45786</v>
      </c>
      <c r="C248" s="35">
        <v>0</v>
      </c>
      <c r="D248" s="35">
        <v>14138</v>
      </c>
      <c r="E248" s="68" t="s">
        <v>141</v>
      </c>
      <c r="F248" s="69">
        <v>202505080002572</v>
      </c>
      <c r="G248" s="70">
        <v>2982.43</v>
      </c>
      <c r="H248" s="2">
        <v>3510</v>
      </c>
      <c r="I248" s="79" t="s">
        <v>428</v>
      </c>
    </row>
    <row r="249" spans="1:9" ht="15.75" hidden="1" customHeight="1">
      <c r="A249" s="64"/>
      <c r="B249" s="71"/>
      <c r="C249" s="71"/>
      <c r="D249" s="71"/>
      <c r="E249" s="13" t="s">
        <v>143</v>
      </c>
      <c r="F249" s="13"/>
      <c r="G249" s="30">
        <v>0</v>
      </c>
      <c r="H249" s="2"/>
    </row>
    <row r="250" spans="1:9" ht="15.75" customHeight="1">
      <c r="A250" s="130" t="s">
        <v>140</v>
      </c>
      <c r="B250" s="41">
        <v>45786</v>
      </c>
      <c r="C250" s="42">
        <v>0</v>
      </c>
      <c r="D250" s="42">
        <v>14138</v>
      </c>
      <c r="E250" s="73" t="s">
        <v>141</v>
      </c>
      <c r="F250" s="74">
        <v>202505080002574</v>
      </c>
      <c r="G250" s="75">
        <v>1232.8399999999999</v>
      </c>
      <c r="H250" s="2">
        <v>3494</v>
      </c>
      <c r="I250" s="79" t="s">
        <v>428</v>
      </c>
    </row>
    <row r="251" spans="1:9" ht="15.75" hidden="1" customHeight="1">
      <c r="A251" s="64"/>
      <c r="B251" s="66"/>
      <c r="C251" s="66"/>
      <c r="D251" s="66"/>
      <c r="E251" s="24" t="s">
        <v>143</v>
      </c>
      <c r="F251" s="24"/>
      <c r="G251" s="25">
        <v>0</v>
      </c>
      <c r="H251" s="2"/>
    </row>
    <row r="252" spans="1:9" ht="15.75" hidden="1" customHeight="1">
      <c r="A252" s="64"/>
      <c r="B252" s="11">
        <v>45786</v>
      </c>
      <c r="C252" s="12">
        <v>0</v>
      </c>
      <c r="D252" s="12">
        <v>13105</v>
      </c>
      <c r="E252" s="76" t="s">
        <v>31</v>
      </c>
      <c r="F252" s="27">
        <v>50901</v>
      </c>
      <c r="G252" s="28">
        <v>159.78</v>
      </c>
      <c r="H252" s="2"/>
    </row>
    <row r="253" spans="1:9" ht="15.75" hidden="1" customHeight="1">
      <c r="A253" s="64"/>
      <c r="B253" s="71"/>
      <c r="C253" s="71"/>
      <c r="D253" s="71"/>
      <c r="E253" s="13" t="s">
        <v>66</v>
      </c>
      <c r="F253" s="13"/>
      <c r="G253" s="30">
        <v>0</v>
      </c>
      <c r="H253" s="2"/>
    </row>
    <row r="254" spans="1:9" ht="15.75" hidden="1" customHeight="1">
      <c r="A254" s="64"/>
      <c r="B254" s="17">
        <v>45786</v>
      </c>
      <c r="C254" s="18">
        <v>0</v>
      </c>
      <c r="D254" s="18">
        <v>13105</v>
      </c>
      <c r="E254" s="65" t="s">
        <v>31</v>
      </c>
      <c r="F254" s="20">
        <v>50902</v>
      </c>
      <c r="G254" s="31">
        <v>311.69</v>
      </c>
      <c r="H254" s="2"/>
    </row>
    <row r="255" spans="1:9" ht="15.75" hidden="1" customHeight="1">
      <c r="A255" s="64"/>
      <c r="B255" s="66"/>
      <c r="C255" s="66"/>
      <c r="D255" s="66"/>
      <c r="E255" s="24" t="s">
        <v>66</v>
      </c>
      <c r="F255" s="24"/>
      <c r="G255" s="25">
        <v>0</v>
      </c>
      <c r="H255" s="2"/>
    </row>
    <row r="256" spans="1:9" ht="15.75" hidden="1" customHeight="1">
      <c r="A256" s="64"/>
      <c r="B256" s="11">
        <v>45786</v>
      </c>
      <c r="C256" s="12">
        <v>0</v>
      </c>
      <c r="D256" s="12">
        <v>13105</v>
      </c>
      <c r="E256" s="76" t="s">
        <v>31</v>
      </c>
      <c r="F256" s="27">
        <v>50903</v>
      </c>
      <c r="G256" s="28">
        <v>1949.09</v>
      </c>
      <c r="H256" s="2"/>
    </row>
    <row r="257" spans="1:8" ht="28.5" hidden="1" customHeight="1">
      <c r="A257" s="64"/>
      <c r="B257" s="71"/>
      <c r="C257" s="71"/>
      <c r="D257" s="71"/>
      <c r="E257" s="13" t="s">
        <v>37</v>
      </c>
      <c r="F257" s="13"/>
      <c r="G257" s="30">
        <v>0</v>
      </c>
      <c r="H257" s="2"/>
    </row>
    <row r="258" spans="1:8" ht="15.75" hidden="1" customHeight="1">
      <c r="A258" s="64"/>
      <c r="B258" s="17">
        <v>45786</v>
      </c>
      <c r="C258" s="18">
        <v>0</v>
      </c>
      <c r="D258" s="18">
        <v>13105</v>
      </c>
      <c r="E258" s="65" t="s">
        <v>31</v>
      </c>
      <c r="F258" s="20">
        <v>50904</v>
      </c>
      <c r="G258" s="31">
        <v>170</v>
      </c>
      <c r="H258" s="2"/>
    </row>
    <row r="259" spans="1:8" ht="28.5" hidden="1" customHeight="1">
      <c r="A259" s="64"/>
      <c r="B259" s="66"/>
      <c r="C259" s="66"/>
      <c r="D259" s="66"/>
      <c r="E259" s="24" t="s">
        <v>41</v>
      </c>
      <c r="F259" s="24"/>
      <c r="G259" s="25">
        <v>0</v>
      </c>
      <c r="H259" s="2"/>
    </row>
    <row r="260" spans="1:8" ht="15.75" hidden="1" customHeight="1">
      <c r="A260" s="64"/>
      <c r="B260" s="11">
        <v>45786</v>
      </c>
      <c r="C260" s="12">
        <v>0</v>
      </c>
      <c r="D260" s="12">
        <v>13105</v>
      </c>
      <c r="E260" s="76" t="s">
        <v>80</v>
      </c>
      <c r="F260" s="27">
        <v>50905</v>
      </c>
      <c r="G260" s="28">
        <v>530.1</v>
      </c>
      <c r="H260" s="2"/>
    </row>
    <row r="261" spans="1:8" ht="15.75" hidden="1" customHeight="1">
      <c r="A261" s="64"/>
      <c r="B261" s="71"/>
      <c r="C261" s="71"/>
      <c r="D261" s="71"/>
      <c r="E261" s="13" t="s">
        <v>81</v>
      </c>
      <c r="F261" s="13"/>
      <c r="G261" s="30">
        <v>0</v>
      </c>
      <c r="H261" s="2"/>
    </row>
    <row r="262" spans="1:8" ht="15.75" hidden="1" customHeight="1">
      <c r="A262" s="64"/>
      <c r="B262" s="17">
        <v>45786</v>
      </c>
      <c r="C262" s="18">
        <v>0</v>
      </c>
      <c r="D262" s="18">
        <v>13105</v>
      </c>
      <c r="E262" s="65" t="s">
        <v>31</v>
      </c>
      <c r="F262" s="20">
        <v>50906</v>
      </c>
      <c r="G262" s="31">
        <v>169.99</v>
      </c>
      <c r="H262" s="2"/>
    </row>
    <row r="263" spans="1:8" ht="15.75" hidden="1" customHeight="1">
      <c r="A263" s="64"/>
      <c r="B263" s="66"/>
      <c r="C263" s="66"/>
      <c r="D263" s="66"/>
      <c r="E263" s="24" t="s">
        <v>125</v>
      </c>
      <c r="F263" s="24"/>
      <c r="G263" s="25">
        <v>0</v>
      </c>
      <c r="H263" s="2"/>
    </row>
    <row r="264" spans="1:8" ht="15.75" hidden="1" customHeight="1">
      <c r="A264" s="64"/>
      <c r="B264" s="11">
        <v>45786</v>
      </c>
      <c r="C264" s="12">
        <v>0</v>
      </c>
      <c r="D264" s="12">
        <v>13105</v>
      </c>
      <c r="E264" s="76" t="s">
        <v>31</v>
      </c>
      <c r="F264" s="27">
        <v>50907</v>
      </c>
      <c r="G264" s="28">
        <v>375.16</v>
      </c>
      <c r="H264" s="2"/>
    </row>
    <row r="265" spans="1:8" ht="15.75" hidden="1" customHeight="1">
      <c r="A265" s="64"/>
      <c r="B265" s="71"/>
      <c r="C265" s="71"/>
      <c r="D265" s="71"/>
      <c r="E265" s="13" t="s">
        <v>231</v>
      </c>
      <c r="F265" s="13"/>
      <c r="G265" s="30">
        <v>0</v>
      </c>
      <c r="H265" s="2"/>
    </row>
    <row r="266" spans="1:8" ht="15.75" hidden="1" customHeight="1">
      <c r="A266" s="64"/>
      <c r="B266" s="17">
        <v>45786</v>
      </c>
      <c r="C266" s="18">
        <v>0</v>
      </c>
      <c r="D266" s="18">
        <v>13105</v>
      </c>
      <c r="E266" s="65" t="s">
        <v>31</v>
      </c>
      <c r="F266" s="20">
        <v>50908</v>
      </c>
      <c r="G266" s="31">
        <v>32.79</v>
      </c>
      <c r="H266" s="2"/>
    </row>
    <row r="267" spans="1:8" ht="15.75" hidden="1" customHeight="1">
      <c r="A267" s="64"/>
      <c r="B267" s="66"/>
      <c r="C267" s="66"/>
      <c r="D267" s="66"/>
      <c r="E267" s="24" t="s">
        <v>56</v>
      </c>
      <c r="F267" s="24"/>
      <c r="G267" s="25">
        <v>0</v>
      </c>
      <c r="H267" s="2"/>
    </row>
    <row r="268" spans="1:8" ht="15.75" hidden="1" customHeight="1">
      <c r="A268" s="64"/>
      <c r="B268" s="11">
        <v>45786</v>
      </c>
      <c r="C268" s="12">
        <v>0</v>
      </c>
      <c r="D268" s="12">
        <v>13105</v>
      </c>
      <c r="E268" s="76" t="s">
        <v>31</v>
      </c>
      <c r="F268" s="27">
        <v>50909</v>
      </c>
      <c r="G268" s="28">
        <v>32.770000000000003</v>
      </c>
      <c r="H268" s="2"/>
    </row>
    <row r="269" spans="1:8" ht="15.75" hidden="1" customHeight="1">
      <c r="A269" s="64"/>
      <c r="B269" s="71"/>
      <c r="C269" s="71"/>
      <c r="D269" s="71"/>
      <c r="E269" s="13" t="s">
        <v>56</v>
      </c>
      <c r="F269" s="13"/>
      <c r="G269" s="30">
        <v>0</v>
      </c>
      <c r="H269" s="2"/>
    </row>
    <row r="270" spans="1:8" ht="15.75" hidden="1" customHeight="1">
      <c r="A270" s="64"/>
      <c r="B270" s="17">
        <v>45786</v>
      </c>
      <c r="C270" s="18">
        <v>0</v>
      </c>
      <c r="D270" s="18">
        <v>13105</v>
      </c>
      <c r="E270" s="65" t="s">
        <v>31</v>
      </c>
      <c r="F270" s="20">
        <v>50910</v>
      </c>
      <c r="G270" s="31">
        <v>109.34</v>
      </c>
      <c r="H270" s="2"/>
    </row>
    <row r="271" spans="1:8" ht="15.75" hidden="1" customHeight="1">
      <c r="A271" s="64"/>
      <c r="B271" s="66"/>
      <c r="C271" s="66"/>
      <c r="D271" s="66"/>
      <c r="E271" s="24" t="s">
        <v>56</v>
      </c>
      <c r="F271" s="24"/>
      <c r="G271" s="25">
        <v>0</v>
      </c>
      <c r="H271" s="2"/>
    </row>
    <row r="272" spans="1:8" ht="15.75" hidden="1" customHeight="1">
      <c r="A272" s="64"/>
      <c r="B272" s="11">
        <v>45786</v>
      </c>
      <c r="C272" s="12">
        <v>0</v>
      </c>
      <c r="D272" s="12">
        <v>13105</v>
      </c>
      <c r="E272" s="76" t="s">
        <v>31</v>
      </c>
      <c r="F272" s="27">
        <v>50911</v>
      </c>
      <c r="G272" s="28">
        <v>109.27</v>
      </c>
      <c r="H272" s="2"/>
    </row>
    <row r="273" spans="1:8" ht="15.75" hidden="1" customHeight="1">
      <c r="A273" s="64"/>
      <c r="B273" s="71"/>
      <c r="C273" s="71"/>
      <c r="D273" s="71"/>
      <c r="E273" s="13" t="s">
        <v>56</v>
      </c>
      <c r="F273" s="13"/>
      <c r="G273" s="30">
        <v>0</v>
      </c>
      <c r="H273" s="2"/>
    </row>
    <row r="274" spans="1:8" ht="15.75" hidden="1" customHeight="1">
      <c r="A274" s="64"/>
      <c r="B274" s="17">
        <v>45786</v>
      </c>
      <c r="C274" s="18">
        <v>0</v>
      </c>
      <c r="D274" s="18">
        <v>0</v>
      </c>
      <c r="E274" s="65" t="s">
        <v>59</v>
      </c>
      <c r="F274" s="20">
        <v>9903</v>
      </c>
      <c r="G274" s="31">
        <v>265.29000000000002</v>
      </c>
      <c r="H274" s="2"/>
    </row>
    <row r="275" spans="1:8" ht="15.75" hidden="1" customHeight="1">
      <c r="A275" s="64"/>
      <c r="B275" s="66"/>
      <c r="C275" s="66"/>
      <c r="D275" s="66"/>
      <c r="E275" s="24" t="s">
        <v>53</v>
      </c>
      <c r="F275" s="24"/>
      <c r="G275" s="25">
        <v>0</v>
      </c>
      <c r="H275" s="2"/>
    </row>
    <row r="276" spans="1:8" ht="15.75" hidden="1" customHeight="1">
      <c r="A276" s="64"/>
      <c r="B276" s="11">
        <v>45789</v>
      </c>
      <c r="C276" s="12">
        <v>0</v>
      </c>
      <c r="D276" s="12">
        <v>14397</v>
      </c>
      <c r="E276" s="76" t="s">
        <v>57</v>
      </c>
      <c r="F276" s="27">
        <v>121130399724242</v>
      </c>
      <c r="G276" s="15">
        <v>240</v>
      </c>
      <c r="H276" s="2"/>
    </row>
    <row r="277" spans="1:8" ht="28.5" hidden="1" customHeight="1">
      <c r="A277" s="64"/>
      <c r="B277" s="71"/>
      <c r="C277" s="71"/>
      <c r="D277" s="71"/>
      <c r="E277" s="13" t="s">
        <v>581</v>
      </c>
      <c r="F277" s="13"/>
      <c r="G277" s="30">
        <v>0</v>
      </c>
      <c r="H277" s="2"/>
    </row>
    <row r="278" spans="1:8" ht="15.75" hidden="1" customHeight="1">
      <c r="A278" s="64"/>
      <c r="B278" s="17">
        <v>45789</v>
      </c>
      <c r="C278" s="18">
        <v>0</v>
      </c>
      <c r="D278" s="18">
        <v>14397</v>
      </c>
      <c r="E278" s="65" t="s">
        <v>57</v>
      </c>
      <c r="F278" s="20">
        <v>470603225483741</v>
      </c>
      <c r="G278" s="21">
        <v>320</v>
      </c>
      <c r="H278" s="2"/>
    </row>
    <row r="279" spans="1:8" ht="28.5" hidden="1" customHeight="1">
      <c r="A279" s="64"/>
      <c r="B279" s="66"/>
      <c r="C279" s="66"/>
      <c r="D279" s="66"/>
      <c r="E279" s="24" t="s">
        <v>582</v>
      </c>
      <c r="F279" s="24"/>
      <c r="G279" s="25">
        <v>0</v>
      </c>
      <c r="H279" s="2"/>
    </row>
    <row r="280" spans="1:8" ht="15.75" hidden="1" customHeight="1">
      <c r="A280" s="64"/>
      <c r="B280" s="11">
        <v>45789</v>
      </c>
      <c r="C280" s="12">
        <v>0</v>
      </c>
      <c r="D280" s="12">
        <v>14397</v>
      </c>
      <c r="E280" s="76" t="s">
        <v>57</v>
      </c>
      <c r="F280" s="27">
        <v>470618620367031</v>
      </c>
      <c r="G280" s="15">
        <v>6500</v>
      </c>
      <c r="H280" s="2"/>
    </row>
    <row r="281" spans="1:8" ht="28.5" hidden="1" customHeight="1">
      <c r="A281" s="64"/>
      <c r="B281" s="71"/>
      <c r="C281" s="71"/>
      <c r="D281" s="71"/>
      <c r="E281" s="13" t="s">
        <v>583</v>
      </c>
      <c r="F281" s="13"/>
      <c r="G281" s="30">
        <v>0</v>
      </c>
      <c r="H281" s="2"/>
    </row>
    <row r="282" spans="1:8" ht="15.75" hidden="1" customHeight="1">
      <c r="A282" s="64"/>
      <c r="B282" s="17">
        <v>45789</v>
      </c>
      <c r="C282" s="18">
        <v>0</v>
      </c>
      <c r="D282" s="18">
        <v>14397</v>
      </c>
      <c r="E282" s="65" t="s">
        <v>57</v>
      </c>
      <c r="F282" s="20">
        <v>470722149829131</v>
      </c>
      <c r="G282" s="21">
        <v>648.20000000000005</v>
      </c>
      <c r="H282" s="2"/>
    </row>
    <row r="283" spans="1:8" ht="28.5" hidden="1" customHeight="1">
      <c r="A283" s="64"/>
      <c r="B283" s="66"/>
      <c r="C283" s="66"/>
      <c r="D283" s="66"/>
      <c r="E283" s="24" t="s">
        <v>584</v>
      </c>
      <c r="F283" s="24"/>
      <c r="G283" s="25">
        <v>0</v>
      </c>
      <c r="H283" s="2"/>
    </row>
    <row r="284" spans="1:8" ht="15.75" hidden="1" customHeight="1">
      <c r="A284" s="64"/>
      <c r="B284" s="11">
        <v>45789</v>
      </c>
      <c r="C284" s="12">
        <v>0</v>
      </c>
      <c r="D284" s="12">
        <v>14397</v>
      </c>
      <c r="E284" s="76" t="s">
        <v>57</v>
      </c>
      <c r="F284" s="27">
        <v>470886416317351</v>
      </c>
      <c r="G284" s="15">
        <v>1808</v>
      </c>
      <c r="H284" s="2"/>
    </row>
    <row r="285" spans="1:8" ht="28.5" hidden="1" customHeight="1">
      <c r="A285" s="64"/>
      <c r="B285" s="71"/>
      <c r="C285" s="71"/>
      <c r="D285" s="71"/>
      <c r="E285" s="13" t="s">
        <v>585</v>
      </c>
      <c r="F285" s="13"/>
      <c r="G285" s="30">
        <v>0</v>
      </c>
      <c r="H285" s="2"/>
    </row>
    <row r="286" spans="1:8" ht="15.75" hidden="1" customHeight="1">
      <c r="A286" s="64"/>
      <c r="B286" s="17">
        <v>45789</v>
      </c>
      <c r="C286" s="18">
        <v>1533</v>
      </c>
      <c r="D286" s="18">
        <v>99008</v>
      </c>
      <c r="E286" s="65" t="s">
        <v>29</v>
      </c>
      <c r="F286" s="20">
        <v>76654</v>
      </c>
      <c r="G286" s="31">
        <v>190.84</v>
      </c>
      <c r="H286" s="2"/>
    </row>
    <row r="287" spans="1:8" ht="15.75" hidden="1" customHeight="1">
      <c r="A287" s="64"/>
      <c r="B287" s="66"/>
      <c r="C287" s="66"/>
      <c r="D287" s="66"/>
      <c r="E287" s="24" t="s">
        <v>586</v>
      </c>
      <c r="F287" s="24"/>
      <c r="G287" s="25">
        <v>0</v>
      </c>
      <c r="H287" s="2"/>
    </row>
    <row r="288" spans="1:8" ht="15.75" hidden="1" customHeight="1">
      <c r="A288" s="64"/>
      <c r="B288" s="11">
        <v>45789</v>
      </c>
      <c r="C288" s="12">
        <v>0</v>
      </c>
      <c r="D288" s="12">
        <v>13105</v>
      </c>
      <c r="E288" s="76" t="s">
        <v>80</v>
      </c>
      <c r="F288" s="27">
        <v>51201</v>
      </c>
      <c r="G288" s="28">
        <v>69.98</v>
      </c>
      <c r="H288" s="2"/>
    </row>
    <row r="289" spans="1:8" ht="15.75" hidden="1" customHeight="1">
      <c r="A289" s="64"/>
      <c r="B289" s="71"/>
      <c r="C289" s="71"/>
      <c r="D289" s="71"/>
      <c r="E289" s="13" t="s">
        <v>81</v>
      </c>
      <c r="F289" s="13"/>
      <c r="G289" s="30">
        <v>0</v>
      </c>
      <c r="H289" s="2"/>
    </row>
    <row r="290" spans="1:8" ht="15.75" hidden="1" customHeight="1">
      <c r="A290" s="64"/>
      <c r="B290" s="17">
        <v>45789</v>
      </c>
      <c r="C290" s="18">
        <v>0</v>
      </c>
      <c r="D290" s="18">
        <v>13105</v>
      </c>
      <c r="E290" s="65" t="s">
        <v>80</v>
      </c>
      <c r="F290" s="20">
        <v>51202</v>
      </c>
      <c r="G290" s="31">
        <v>302.14</v>
      </c>
      <c r="H290" s="2"/>
    </row>
    <row r="291" spans="1:8" ht="15.75" hidden="1" customHeight="1">
      <c r="A291" s="64"/>
      <c r="B291" s="66"/>
      <c r="C291" s="66"/>
      <c r="D291" s="66"/>
      <c r="E291" s="24" t="s">
        <v>81</v>
      </c>
      <c r="F291" s="24"/>
      <c r="G291" s="25">
        <v>0</v>
      </c>
      <c r="H291" s="2"/>
    </row>
    <row r="292" spans="1:8" ht="15.75" hidden="1" customHeight="1">
      <c r="A292" s="64"/>
      <c r="B292" s="11">
        <v>45789</v>
      </c>
      <c r="C292" s="12">
        <v>0</v>
      </c>
      <c r="D292" s="12">
        <v>13105</v>
      </c>
      <c r="E292" s="76" t="s">
        <v>80</v>
      </c>
      <c r="F292" s="27">
        <v>51203</v>
      </c>
      <c r="G292" s="28">
        <v>374.07</v>
      </c>
      <c r="H292" s="2"/>
    </row>
    <row r="293" spans="1:8" ht="15.75" hidden="1" customHeight="1">
      <c r="A293" s="64"/>
      <c r="B293" s="71"/>
      <c r="C293" s="71"/>
      <c r="D293" s="71"/>
      <c r="E293" s="13" t="s">
        <v>81</v>
      </c>
      <c r="F293" s="13"/>
      <c r="G293" s="30">
        <v>0</v>
      </c>
      <c r="H293" s="2"/>
    </row>
    <row r="294" spans="1:8" ht="15.75" hidden="1" customHeight="1">
      <c r="A294" s="64"/>
      <c r="B294" s="17">
        <v>45789</v>
      </c>
      <c r="C294" s="18">
        <v>0</v>
      </c>
      <c r="D294" s="18">
        <v>13105</v>
      </c>
      <c r="E294" s="65" t="s">
        <v>31</v>
      </c>
      <c r="F294" s="20">
        <v>51204</v>
      </c>
      <c r="G294" s="31">
        <v>300</v>
      </c>
      <c r="H294" s="2"/>
    </row>
    <row r="295" spans="1:8" ht="15.75" hidden="1" customHeight="1">
      <c r="A295" s="64"/>
      <c r="B295" s="66"/>
      <c r="C295" s="66"/>
      <c r="D295" s="66"/>
      <c r="E295" s="24" t="s">
        <v>86</v>
      </c>
      <c r="F295" s="24"/>
      <c r="G295" s="25">
        <v>0</v>
      </c>
      <c r="H295" s="2"/>
    </row>
    <row r="296" spans="1:8" ht="15.75" hidden="1" customHeight="1">
      <c r="A296" s="64"/>
      <c r="B296" s="11">
        <v>45789</v>
      </c>
      <c r="C296" s="12">
        <v>0</v>
      </c>
      <c r="D296" s="12">
        <v>13105</v>
      </c>
      <c r="E296" s="76" t="s">
        <v>31</v>
      </c>
      <c r="F296" s="27">
        <v>51205</v>
      </c>
      <c r="G296" s="28">
        <v>98</v>
      </c>
      <c r="H296" s="2"/>
    </row>
    <row r="297" spans="1:8" ht="15.75" hidden="1" customHeight="1">
      <c r="A297" s="64"/>
      <c r="B297" s="71"/>
      <c r="C297" s="71"/>
      <c r="D297" s="71"/>
      <c r="E297" s="13" t="s">
        <v>67</v>
      </c>
      <c r="F297" s="13"/>
      <c r="G297" s="30">
        <v>0</v>
      </c>
      <c r="H297" s="2"/>
    </row>
    <row r="298" spans="1:8" ht="15.75" hidden="1" customHeight="1">
      <c r="A298" s="64"/>
      <c r="B298" s="17">
        <v>45789</v>
      </c>
      <c r="C298" s="18">
        <v>0</v>
      </c>
      <c r="D298" s="18">
        <v>13105</v>
      </c>
      <c r="E298" s="65" t="s">
        <v>31</v>
      </c>
      <c r="F298" s="20">
        <v>51206</v>
      </c>
      <c r="G298" s="31">
        <v>269.74</v>
      </c>
      <c r="H298" s="2"/>
    </row>
    <row r="299" spans="1:8" ht="15.75" hidden="1" customHeight="1">
      <c r="A299" s="64"/>
      <c r="B299" s="66"/>
      <c r="C299" s="66"/>
      <c r="D299" s="66"/>
      <c r="E299" s="24" t="s">
        <v>163</v>
      </c>
      <c r="F299" s="24"/>
      <c r="G299" s="25">
        <v>0</v>
      </c>
      <c r="H299" s="2"/>
    </row>
    <row r="300" spans="1:8" ht="15.75" hidden="1" customHeight="1">
      <c r="A300" s="64"/>
      <c r="B300" s="11">
        <v>45789</v>
      </c>
      <c r="C300" s="12">
        <v>0</v>
      </c>
      <c r="D300" s="12">
        <v>13105</v>
      </c>
      <c r="E300" s="76" t="s">
        <v>31</v>
      </c>
      <c r="F300" s="27">
        <v>51207</v>
      </c>
      <c r="G300" s="28">
        <v>1980</v>
      </c>
      <c r="H300" s="2"/>
    </row>
    <row r="301" spans="1:8" ht="15.75" hidden="1" customHeight="1">
      <c r="A301" s="64"/>
      <c r="B301" s="71"/>
      <c r="C301" s="71"/>
      <c r="D301" s="71"/>
      <c r="E301" s="13" t="s">
        <v>587</v>
      </c>
      <c r="F301" s="13"/>
      <c r="G301" s="30">
        <v>0</v>
      </c>
      <c r="H301" s="2"/>
    </row>
    <row r="302" spans="1:8" ht="15.75" hidden="1" customHeight="1">
      <c r="A302" s="64"/>
      <c r="B302" s="17">
        <v>45789</v>
      </c>
      <c r="C302" s="18">
        <v>0</v>
      </c>
      <c r="D302" s="18">
        <v>13105</v>
      </c>
      <c r="E302" s="65" t="s">
        <v>31</v>
      </c>
      <c r="F302" s="20">
        <v>51208</v>
      </c>
      <c r="G302" s="31">
        <v>602.69000000000005</v>
      </c>
      <c r="H302" s="2"/>
    </row>
    <row r="303" spans="1:8" ht="28.5" hidden="1" customHeight="1">
      <c r="A303" s="64"/>
      <c r="B303" s="66"/>
      <c r="C303" s="66"/>
      <c r="D303" s="66"/>
      <c r="E303" s="24" t="s">
        <v>464</v>
      </c>
      <c r="F303" s="24"/>
      <c r="G303" s="25">
        <v>0</v>
      </c>
      <c r="H303" s="2"/>
    </row>
    <row r="304" spans="1:8" ht="15.75" hidden="1" customHeight="1">
      <c r="A304" s="64"/>
      <c r="B304" s="11">
        <v>45789</v>
      </c>
      <c r="C304" s="12">
        <v>0</v>
      </c>
      <c r="D304" s="12">
        <v>13105</v>
      </c>
      <c r="E304" s="76" t="s">
        <v>34</v>
      </c>
      <c r="F304" s="27">
        <v>51209</v>
      </c>
      <c r="G304" s="28">
        <v>101.21</v>
      </c>
      <c r="H304" s="2"/>
    </row>
    <row r="305" spans="1:8" ht="15.75" hidden="1" customHeight="1">
      <c r="A305" s="64"/>
      <c r="B305" s="71"/>
      <c r="C305" s="71"/>
      <c r="D305" s="71"/>
      <c r="E305" s="13" t="s">
        <v>108</v>
      </c>
      <c r="F305" s="13"/>
      <c r="G305" s="30">
        <v>0</v>
      </c>
      <c r="H305" s="2"/>
    </row>
    <row r="306" spans="1:8" ht="15.75" hidden="1" customHeight="1">
      <c r="A306" s="64"/>
      <c r="B306" s="17">
        <v>45789</v>
      </c>
      <c r="C306" s="18">
        <v>0</v>
      </c>
      <c r="D306" s="18">
        <v>13105</v>
      </c>
      <c r="E306" s="65" t="s">
        <v>31</v>
      </c>
      <c r="F306" s="20">
        <v>51210</v>
      </c>
      <c r="G306" s="31">
        <v>1320</v>
      </c>
      <c r="H306" s="2"/>
    </row>
    <row r="307" spans="1:8" ht="15.75" hidden="1" customHeight="1">
      <c r="A307" s="64"/>
      <c r="B307" s="66"/>
      <c r="C307" s="66"/>
      <c r="D307" s="66"/>
      <c r="E307" s="24" t="s">
        <v>85</v>
      </c>
      <c r="F307" s="24"/>
      <c r="G307" s="25">
        <v>0</v>
      </c>
      <c r="H307" s="2"/>
    </row>
    <row r="308" spans="1:8" ht="15.75" hidden="1" customHeight="1">
      <c r="A308" s="64"/>
      <c r="B308" s="11">
        <v>45789</v>
      </c>
      <c r="C308" s="12">
        <v>0</v>
      </c>
      <c r="D308" s="12">
        <v>13105</v>
      </c>
      <c r="E308" s="76" t="s">
        <v>31</v>
      </c>
      <c r="F308" s="27">
        <v>51211</v>
      </c>
      <c r="G308" s="28">
        <v>338.76</v>
      </c>
      <c r="H308" s="2"/>
    </row>
    <row r="309" spans="1:8" ht="15.75" hidden="1" customHeight="1">
      <c r="A309" s="64"/>
      <c r="B309" s="71"/>
      <c r="C309" s="71"/>
      <c r="D309" s="71"/>
      <c r="E309" s="13" t="s">
        <v>439</v>
      </c>
      <c r="F309" s="13"/>
      <c r="G309" s="30">
        <v>0</v>
      </c>
      <c r="H309" s="2"/>
    </row>
    <row r="310" spans="1:8" ht="15.75" hidden="1" customHeight="1">
      <c r="A310" s="64"/>
      <c r="B310" s="17">
        <v>45789</v>
      </c>
      <c r="C310" s="18">
        <v>0</v>
      </c>
      <c r="D310" s="18">
        <v>13105</v>
      </c>
      <c r="E310" s="65" t="s">
        <v>31</v>
      </c>
      <c r="F310" s="20">
        <v>51212</v>
      </c>
      <c r="G310" s="31">
        <v>1678.72</v>
      </c>
      <c r="H310" s="2"/>
    </row>
    <row r="311" spans="1:8" ht="28.5" hidden="1" customHeight="1">
      <c r="A311" s="64"/>
      <c r="B311" s="66"/>
      <c r="C311" s="66"/>
      <c r="D311" s="66"/>
      <c r="E311" s="24" t="s">
        <v>65</v>
      </c>
      <c r="F311" s="24"/>
      <c r="G311" s="25">
        <v>0</v>
      </c>
      <c r="H311" s="2"/>
    </row>
    <row r="312" spans="1:8" ht="15.75" hidden="1" customHeight="1">
      <c r="A312" s="64"/>
      <c r="B312" s="11">
        <v>45789</v>
      </c>
      <c r="C312" s="12">
        <v>0</v>
      </c>
      <c r="D312" s="12">
        <v>13105</v>
      </c>
      <c r="E312" s="76" t="s">
        <v>31</v>
      </c>
      <c r="F312" s="27">
        <v>51213</v>
      </c>
      <c r="G312" s="28">
        <v>1316.92</v>
      </c>
      <c r="H312" s="2"/>
    </row>
    <row r="313" spans="1:8" ht="15.75" hidden="1" customHeight="1">
      <c r="A313" s="64"/>
      <c r="B313" s="71"/>
      <c r="C313" s="71"/>
      <c r="D313" s="71"/>
      <c r="E313" s="13" t="s">
        <v>165</v>
      </c>
      <c r="F313" s="13"/>
      <c r="G313" s="30">
        <v>0</v>
      </c>
      <c r="H313" s="2"/>
    </row>
    <row r="314" spans="1:8" ht="15.75" hidden="1" customHeight="1">
      <c r="A314" s="64"/>
      <c r="B314" s="17">
        <v>45789</v>
      </c>
      <c r="C314" s="18">
        <v>0</v>
      </c>
      <c r="D314" s="18">
        <v>13105</v>
      </c>
      <c r="E314" s="65" t="s">
        <v>31</v>
      </c>
      <c r="F314" s="20">
        <v>51214</v>
      </c>
      <c r="G314" s="31">
        <v>166.9</v>
      </c>
      <c r="H314" s="2"/>
    </row>
    <row r="315" spans="1:8" ht="15.75" hidden="1" customHeight="1">
      <c r="A315" s="64"/>
      <c r="B315" s="66"/>
      <c r="C315" s="66"/>
      <c r="D315" s="66"/>
      <c r="E315" s="24" t="s">
        <v>111</v>
      </c>
      <c r="F315" s="24"/>
      <c r="G315" s="25">
        <v>0</v>
      </c>
      <c r="H315" s="2"/>
    </row>
    <row r="316" spans="1:8" ht="15.75" hidden="1" customHeight="1">
      <c r="A316" s="64"/>
      <c r="B316" s="11">
        <v>45789</v>
      </c>
      <c r="C316" s="12">
        <v>0</v>
      </c>
      <c r="D316" s="12">
        <v>13105</v>
      </c>
      <c r="E316" s="76" t="s">
        <v>31</v>
      </c>
      <c r="F316" s="27">
        <v>51215</v>
      </c>
      <c r="G316" s="28">
        <v>289.73</v>
      </c>
      <c r="H316" s="2"/>
    </row>
    <row r="317" spans="1:8" ht="28.5" hidden="1" customHeight="1">
      <c r="A317" s="64"/>
      <c r="B317" s="71"/>
      <c r="C317" s="71"/>
      <c r="D317" s="71"/>
      <c r="E317" s="13" t="s">
        <v>45</v>
      </c>
      <c r="F317" s="13"/>
      <c r="G317" s="30">
        <v>0</v>
      </c>
      <c r="H317" s="2"/>
    </row>
    <row r="318" spans="1:8" ht="15.75" hidden="1" customHeight="1">
      <c r="A318" s="64"/>
      <c r="B318" s="17">
        <v>45789</v>
      </c>
      <c r="C318" s="18">
        <v>0</v>
      </c>
      <c r="D318" s="18">
        <v>13105</v>
      </c>
      <c r="E318" s="65" t="s">
        <v>31</v>
      </c>
      <c r="F318" s="20">
        <v>51216</v>
      </c>
      <c r="G318" s="31">
        <v>387.38</v>
      </c>
      <c r="H318" s="2"/>
    </row>
    <row r="319" spans="1:8" ht="28.5" hidden="1" customHeight="1">
      <c r="A319" s="64"/>
      <c r="B319" s="66"/>
      <c r="C319" s="66"/>
      <c r="D319" s="66"/>
      <c r="E319" s="24" t="s">
        <v>45</v>
      </c>
      <c r="F319" s="24"/>
      <c r="G319" s="25">
        <v>0</v>
      </c>
      <c r="H319" s="2"/>
    </row>
    <row r="320" spans="1:8" ht="15.75" hidden="1" customHeight="1">
      <c r="A320" s="64"/>
      <c r="B320" s="11">
        <v>45789</v>
      </c>
      <c r="C320" s="12">
        <v>0</v>
      </c>
      <c r="D320" s="12">
        <v>13105</v>
      </c>
      <c r="E320" s="76" t="s">
        <v>31</v>
      </c>
      <c r="F320" s="27">
        <v>51217</v>
      </c>
      <c r="G320" s="28">
        <v>38.659999999999997</v>
      </c>
      <c r="H320" s="2"/>
    </row>
    <row r="321" spans="1:9" ht="15.75" hidden="1" customHeight="1">
      <c r="A321" s="64"/>
      <c r="B321" s="71"/>
      <c r="C321" s="71"/>
      <c r="D321" s="71"/>
      <c r="E321" s="13" t="s">
        <v>46</v>
      </c>
      <c r="F321" s="13"/>
      <c r="G321" s="30">
        <v>0</v>
      </c>
      <c r="H321" s="2"/>
    </row>
    <row r="322" spans="1:9" ht="15.75" hidden="1" customHeight="1">
      <c r="A322" s="64"/>
      <c r="B322" s="17">
        <v>45789</v>
      </c>
      <c r="C322" s="18">
        <v>0</v>
      </c>
      <c r="D322" s="18">
        <v>13105</v>
      </c>
      <c r="E322" s="65" t="s">
        <v>31</v>
      </c>
      <c r="F322" s="20">
        <v>51218</v>
      </c>
      <c r="G322" s="31">
        <v>68.599999999999994</v>
      </c>
      <c r="H322" s="2"/>
    </row>
    <row r="323" spans="1:9" ht="15.75" hidden="1" customHeight="1">
      <c r="A323" s="64"/>
      <c r="B323" s="66"/>
      <c r="C323" s="66"/>
      <c r="D323" s="66"/>
      <c r="E323" s="24" t="s">
        <v>46</v>
      </c>
      <c r="F323" s="24"/>
      <c r="G323" s="25">
        <v>0</v>
      </c>
      <c r="H323" s="2"/>
    </row>
    <row r="324" spans="1:9" ht="15.75" hidden="1" customHeight="1">
      <c r="A324" s="64"/>
      <c r="B324" s="11">
        <v>45789</v>
      </c>
      <c r="C324" s="12">
        <v>0</v>
      </c>
      <c r="D324" s="12">
        <v>13105</v>
      </c>
      <c r="E324" s="76" t="s">
        <v>31</v>
      </c>
      <c r="F324" s="27">
        <v>51219</v>
      </c>
      <c r="G324" s="28">
        <v>81.88</v>
      </c>
      <c r="H324" s="2"/>
    </row>
    <row r="325" spans="1:9" ht="15.75" hidden="1" customHeight="1">
      <c r="A325" s="64"/>
      <c r="B325" s="71"/>
      <c r="C325" s="71"/>
      <c r="D325" s="71"/>
      <c r="E325" s="13" t="s">
        <v>46</v>
      </c>
      <c r="F325" s="13"/>
      <c r="G325" s="30">
        <v>0</v>
      </c>
      <c r="H325" s="2"/>
    </row>
    <row r="326" spans="1:9" ht="15.75" hidden="1" customHeight="1">
      <c r="A326" s="64"/>
      <c r="B326" s="17">
        <v>45789</v>
      </c>
      <c r="C326" s="18">
        <v>0</v>
      </c>
      <c r="D326" s="18">
        <v>13105</v>
      </c>
      <c r="E326" s="65" t="s">
        <v>31</v>
      </c>
      <c r="F326" s="20">
        <v>51220</v>
      </c>
      <c r="G326" s="31">
        <v>157.56</v>
      </c>
      <c r="H326" s="2"/>
    </row>
    <row r="327" spans="1:9" ht="15.75" hidden="1" customHeight="1">
      <c r="A327" s="64"/>
      <c r="B327" s="66"/>
      <c r="C327" s="66"/>
      <c r="D327" s="66"/>
      <c r="E327" s="24" t="s">
        <v>46</v>
      </c>
      <c r="F327" s="24"/>
      <c r="G327" s="25">
        <v>0</v>
      </c>
      <c r="H327" s="2"/>
    </row>
    <row r="328" spans="1:9" ht="15.75" hidden="1" customHeight="1">
      <c r="A328" s="64"/>
      <c r="B328" s="11">
        <v>45789</v>
      </c>
      <c r="C328" s="12">
        <v>0</v>
      </c>
      <c r="D328" s="12">
        <v>13105</v>
      </c>
      <c r="E328" s="76" t="s">
        <v>31</v>
      </c>
      <c r="F328" s="27">
        <v>51221</v>
      </c>
      <c r="G328" s="28">
        <v>265.66000000000003</v>
      </c>
      <c r="H328" s="2"/>
    </row>
    <row r="329" spans="1:9" ht="28.5" hidden="1" customHeight="1">
      <c r="A329" s="64"/>
      <c r="B329" s="71"/>
      <c r="C329" s="71"/>
      <c r="D329" s="71"/>
      <c r="E329" s="13" t="s">
        <v>41</v>
      </c>
      <c r="F329" s="13"/>
      <c r="G329" s="30">
        <v>0</v>
      </c>
      <c r="H329" s="2"/>
    </row>
    <row r="330" spans="1:9" ht="15.75" hidden="1" customHeight="1">
      <c r="A330" s="64"/>
      <c r="B330" s="17">
        <v>45789</v>
      </c>
      <c r="C330" s="18">
        <v>0</v>
      </c>
      <c r="D330" s="18">
        <v>13105</v>
      </c>
      <c r="E330" s="65" t="s">
        <v>80</v>
      </c>
      <c r="F330" s="20">
        <v>51222</v>
      </c>
      <c r="G330" s="31">
        <v>47.35</v>
      </c>
      <c r="H330" s="2"/>
    </row>
    <row r="331" spans="1:9" ht="15.75" hidden="1" customHeight="1">
      <c r="A331" s="64"/>
      <c r="B331" s="66"/>
      <c r="C331" s="66"/>
      <c r="D331" s="66"/>
      <c r="E331" s="24" t="s">
        <v>81</v>
      </c>
      <c r="F331" s="24"/>
      <c r="G331" s="25">
        <v>0</v>
      </c>
      <c r="H331" s="2"/>
    </row>
    <row r="332" spans="1:9" ht="15.75" hidden="1" customHeight="1">
      <c r="A332" s="64"/>
      <c r="B332" s="11">
        <v>45789</v>
      </c>
      <c r="C332" s="12">
        <v>0</v>
      </c>
      <c r="D332" s="12">
        <v>13013</v>
      </c>
      <c r="E332" s="76" t="s">
        <v>87</v>
      </c>
      <c r="F332" s="27">
        <v>46301</v>
      </c>
      <c r="G332" s="28">
        <v>54.12</v>
      </c>
      <c r="H332" s="2"/>
    </row>
    <row r="333" spans="1:9" ht="15.75" hidden="1" customHeight="1">
      <c r="A333" s="64"/>
      <c r="B333" s="71"/>
      <c r="C333" s="71"/>
      <c r="D333" s="71"/>
      <c r="E333" s="13" t="s">
        <v>88</v>
      </c>
      <c r="F333" s="13"/>
      <c r="G333" s="30">
        <v>0</v>
      </c>
      <c r="H333" s="2"/>
    </row>
    <row r="334" spans="1:9" ht="15.75" hidden="1" customHeight="1">
      <c r="A334" s="64"/>
      <c r="B334" s="17">
        <v>45789</v>
      </c>
      <c r="C334" s="18">
        <v>0</v>
      </c>
      <c r="D334" s="18">
        <v>0</v>
      </c>
      <c r="E334" s="65" t="s">
        <v>52</v>
      </c>
      <c r="F334" s="20">
        <v>9903</v>
      </c>
      <c r="G334" s="21">
        <v>984.71</v>
      </c>
      <c r="H334" s="2"/>
    </row>
    <row r="335" spans="1:9" ht="15.75" hidden="1" customHeight="1">
      <c r="A335" s="64"/>
      <c r="B335" s="66"/>
      <c r="C335" s="66"/>
      <c r="D335" s="66"/>
      <c r="E335" s="24" t="s">
        <v>53</v>
      </c>
      <c r="F335" s="24"/>
      <c r="G335" s="25">
        <v>0</v>
      </c>
      <c r="H335" s="2"/>
    </row>
    <row r="336" spans="1:9" ht="15.75" customHeight="1">
      <c r="A336" s="130" t="s">
        <v>140</v>
      </c>
      <c r="B336" s="34">
        <v>45790</v>
      </c>
      <c r="C336" s="35">
        <v>0</v>
      </c>
      <c r="D336" s="35">
        <v>14138</v>
      </c>
      <c r="E336" s="68" t="s">
        <v>141</v>
      </c>
      <c r="F336" s="69">
        <v>202505120058176</v>
      </c>
      <c r="G336" s="70">
        <v>1668.08</v>
      </c>
      <c r="H336" s="2">
        <v>3482</v>
      </c>
      <c r="I336" s="79" t="s">
        <v>428</v>
      </c>
    </row>
    <row r="337" spans="1:9" ht="15.75" hidden="1" customHeight="1">
      <c r="A337" s="64"/>
      <c r="B337" s="71"/>
      <c r="C337" s="71"/>
      <c r="D337" s="71"/>
      <c r="E337" s="13" t="s">
        <v>143</v>
      </c>
      <c r="F337" s="13"/>
      <c r="G337" s="30">
        <v>0</v>
      </c>
      <c r="H337" s="2"/>
    </row>
    <row r="338" spans="1:9" ht="15.75" customHeight="1">
      <c r="A338" s="130" t="s">
        <v>140</v>
      </c>
      <c r="B338" s="41">
        <v>45790</v>
      </c>
      <c r="C338" s="42">
        <v>0</v>
      </c>
      <c r="D338" s="42">
        <v>14138</v>
      </c>
      <c r="E338" s="73" t="s">
        <v>141</v>
      </c>
      <c r="F338" s="74">
        <v>202505120058178</v>
      </c>
      <c r="G338" s="75">
        <v>2322.69</v>
      </c>
      <c r="H338" s="2">
        <v>3523</v>
      </c>
      <c r="I338" s="79" t="s">
        <v>428</v>
      </c>
    </row>
    <row r="339" spans="1:9" ht="15.75" hidden="1" customHeight="1">
      <c r="A339" s="64"/>
      <c r="B339" s="66"/>
      <c r="C339" s="66"/>
      <c r="D339" s="66"/>
      <c r="E339" s="24" t="s">
        <v>143</v>
      </c>
      <c r="F339" s="24"/>
      <c r="G339" s="25">
        <v>0</v>
      </c>
      <c r="H339" s="2"/>
    </row>
    <row r="340" spans="1:9" ht="15.75" customHeight="1">
      <c r="A340" s="130" t="s">
        <v>140</v>
      </c>
      <c r="B340" s="34">
        <v>45790</v>
      </c>
      <c r="C340" s="35">
        <v>0</v>
      </c>
      <c r="D340" s="35">
        <v>14138</v>
      </c>
      <c r="E340" s="68" t="s">
        <v>141</v>
      </c>
      <c r="F340" s="69">
        <v>202505120058180</v>
      </c>
      <c r="G340" s="70">
        <v>609.28</v>
      </c>
      <c r="H340" s="2">
        <v>3501</v>
      </c>
      <c r="I340" s="79" t="s">
        <v>419</v>
      </c>
    </row>
    <row r="341" spans="1:9" ht="15.75" hidden="1" customHeight="1">
      <c r="A341" s="64"/>
      <c r="B341" s="71"/>
      <c r="C341" s="71"/>
      <c r="D341" s="71"/>
      <c r="E341" s="13" t="s">
        <v>143</v>
      </c>
      <c r="F341" s="13"/>
      <c r="G341" s="30">
        <v>0</v>
      </c>
      <c r="H341" s="2"/>
    </row>
    <row r="342" spans="1:9" ht="15.75" customHeight="1">
      <c r="A342" s="130" t="s">
        <v>140</v>
      </c>
      <c r="B342" s="41">
        <v>45790</v>
      </c>
      <c r="C342" s="42">
        <v>0</v>
      </c>
      <c r="D342" s="42">
        <v>14138</v>
      </c>
      <c r="E342" s="73" t="s">
        <v>141</v>
      </c>
      <c r="F342" s="74">
        <v>202505120058200</v>
      </c>
      <c r="G342" s="75">
        <v>294.17</v>
      </c>
      <c r="H342" s="2">
        <v>3539</v>
      </c>
      <c r="I342" s="79" t="s">
        <v>419</v>
      </c>
    </row>
    <row r="343" spans="1:9" ht="15.75" hidden="1" customHeight="1">
      <c r="A343" s="64"/>
      <c r="B343" s="66"/>
      <c r="C343" s="66"/>
      <c r="D343" s="66"/>
      <c r="E343" s="24" t="s">
        <v>143</v>
      </c>
      <c r="F343" s="24"/>
      <c r="G343" s="25">
        <v>0</v>
      </c>
      <c r="H343" s="2"/>
    </row>
    <row r="344" spans="1:9" ht="15.75" customHeight="1">
      <c r="A344" s="130" t="s">
        <v>140</v>
      </c>
      <c r="B344" s="34">
        <v>45790</v>
      </c>
      <c r="C344" s="35">
        <v>0</v>
      </c>
      <c r="D344" s="35">
        <v>14138</v>
      </c>
      <c r="E344" s="68" t="s">
        <v>141</v>
      </c>
      <c r="F344" s="69">
        <v>202505120058242</v>
      </c>
      <c r="G344" s="70">
        <v>609.28</v>
      </c>
      <c r="H344" s="2">
        <v>3507</v>
      </c>
      <c r="I344" s="79" t="s">
        <v>419</v>
      </c>
    </row>
    <row r="345" spans="1:9" ht="15.75" hidden="1" customHeight="1">
      <c r="A345" s="64"/>
      <c r="B345" s="71"/>
      <c r="C345" s="71"/>
      <c r="D345" s="71"/>
      <c r="E345" s="13" t="s">
        <v>143</v>
      </c>
      <c r="F345" s="13"/>
      <c r="G345" s="30">
        <v>0</v>
      </c>
      <c r="H345" s="2"/>
    </row>
    <row r="346" spans="1:9" ht="15.75" customHeight="1">
      <c r="A346" s="130" t="s">
        <v>140</v>
      </c>
      <c r="B346" s="41">
        <v>45790</v>
      </c>
      <c r="C346" s="42">
        <v>0</v>
      </c>
      <c r="D346" s="42">
        <v>14138</v>
      </c>
      <c r="E346" s="73" t="s">
        <v>141</v>
      </c>
      <c r="F346" s="74">
        <v>202505120058247</v>
      </c>
      <c r="G346" s="75">
        <v>451.06</v>
      </c>
      <c r="H346" s="2">
        <v>3536</v>
      </c>
      <c r="I346" s="79" t="s">
        <v>419</v>
      </c>
    </row>
    <row r="347" spans="1:9" ht="15.75" hidden="1" customHeight="1">
      <c r="A347" s="64"/>
      <c r="B347" s="66"/>
      <c r="C347" s="66"/>
      <c r="D347" s="66"/>
      <c r="E347" s="24" t="s">
        <v>143</v>
      </c>
      <c r="F347" s="24"/>
      <c r="G347" s="25">
        <v>0</v>
      </c>
      <c r="H347" s="2"/>
    </row>
    <row r="348" spans="1:9" ht="15.75" hidden="1" customHeight="1">
      <c r="A348" s="64"/>
      <c r="B348" s="11">
        <v>45790</v>
      </c>
      <c r="C348" s="12">
        <v>0</v>
      </c>
      <c r="D348" s="12">
        <v>14397</v>
      </c>
      <c r="E348" s="76" t="s">
        <v>57</v>
      </c>
      <c r="F348" s="27">
        <v>471354438041661</v>
      </c>
      <c r="G348" s="15">
        <v>1627</v>
      </c>
      <c r="H348" s="2"/>
    </row>
    <row r="349" spans="1:9" ht="28.5" hidden="1" customHeight="1">
      <c r="A349" s="64"/>
      <c r="B349" s="71"/>
      <c r="C349" s="71"/>
      <c r="D349" s="71"/>
      <c r="E349" s="13" t="s">
        <v>588</v>
      </c>
      <c r="F349" s="13"/>
      <c r="G349" s="30">
        <v>0</v>
      </c>
      <c r="H349" s="2"/>
    </row>
    <row r="350" spans="1:9" ht="15.75" hidden="1" customHeight="1">
      <c r="A350" s="64"/>
      <c r="B350" s="17">
        <v>45790</v>
      </c>
      <c r="C350" s="18">
        <v>1533</v>
      </c>
      <c r="D350" s="18">
        <v>99008</v>
      </c>
      <c r="E350" s="65" t="s">
        <v>29</v>
      </c>
      <c r="F350" s="20">
        <v>284943</v>
      </c>
      <c r="G350" s="31">
        <v>194.55</v>
      </c>
      <c r="H350" s="2"/>
    </row>
    <row r="351" spans="1:9" ht="15.75" hidden="1" customHeight="1">
      <c r="A351" s="64"/>
      <c r="B351" s="66"/>
      <c r="C351" s="66"/>
      <c r="D351" s="66"/>
      <c r="E351" s="24" t="s">
        <v>589</v>
      </c>
      <c r="F351" s="24"/>
      <c r="G351" s="25">
        <v>0</v>
      </c>
      <c r="H351" s="2"/>
    </row>
    <row r="352" spans="1:9" ht="15.75" hidden="1" customHeight="1">
      <c r="A352" s="64"/>
      <c r="B352" s="11">
        <v>45790</v>
      </c>
      <c r="C352" s="12">
        <v>0</v>
      </c>
      <c r="D352" s="12">
        <v>13105</v>
      </c>
      <c r="E352" s="76" t="s">
        <v>31</v>
      </c>
      <c r="F352" s="27">
        <v>51301</v>
      </c>
      <c r="G352" s="28">
        <v>2750</v>
      </c>
      <c r="H352" s="2"/>
    </row>
    <row r="353" spans="1:8" ht="28.5" hidden="1" customHeight="1">
      <c r="A353" s="64"/>
      <c r="B353" s="71"/>
      <c r="C353" s="71"/>
      <c r="D353" s="71"/>
      <c r="E353" s="13" t="s">
        <v>362</v>
      </c>
      <c r="F353" s="13"/>
      <c r="G353" s="30">
        <v>0</v>
      </c>
      <c r="H353" s="2"/>
    </row>
    <row r="354" spans="1:8" ht="15.75" hidden="1" customHeight="1">
      <c r="A354" s="64"/>
      <c r="B354" s="17">
        <v>45790</v>
      </c>
      <c r="C354" s="18">
        <v>0</v>
      </c>
      <c r="D354" s="18">
        <v>13105</v>
      </c>
      <c r="E354" s="65" t="s">
        <v>31</v>
      </c>
      <c r="F354" s="20">
        <v>51302</v>
      </c>
      <c r="G354" s="31">
        <v>934.24</v>
      </c>
      <c r="H354" s="2"/>
    </row>
    <row r="355" spans="1:8" ht="15.75" hidden="1" customHeight="1">
      <c r="A355" s="64"/>
      <c r="B355" s="66"/>
      <c r="C355" s="66"/>
      <c r="D355" s="66"/>
      <c r="E355" s="24" t="s">
        <v>441</v>
      </c>
      <c r="F355" s="24"/>
      <c r="G355" s="25">
        <v>0</v>
      </c>
      <c r="H355" s="2"/>
    </row>
    <row r="356" spans="1:8" ht="15.75" hidden="1" customHeight="1">
      <c r="A356" s="64"/>
      <c r="B356" s="11">
        <v>45790</v>
      </c>
      <c r="C356" s="12">
        <v>0</v>
      </c>
      <c r="D356" s="12">
        <v>13105</v>
      </c>
      <c r="E356" s="76" t="s">
        <v>31</v>
      </c>
      <c r="F356" s="27">
        <v>51303</v>
      </c>
      <c r="G356" s="28">
        <v>1056</v>
      </c>
      <c r="H356" s="2"/>
    </row>
    <row r="357" spans="1:8" ht="15.75" hidden="1" customHeight="1">
      <c r="A357" s="64"/>
      <c r="B357" s="71"/>
      <c r="C357" s="71"/>
      <c r="D357" s="71"/>
      <c r="E357" s="13" t="s">
        <v>85</v>
      </c>
      <c r="F357" s="13"/>
      <c r="G357" s="30">
        <v>0</v>
      </c>
      <c r="H357" s="2"/>
    </row>
    <row r="358" spans="1:8" ht="15.75" hidden="1" customHeight="1">
      <c r="A358" s="64"/>
      <c r="B358" s="17">
        <v>45790</v>
      </c>
      <c r="C358" s="18">
        <v>0</v>
      </c>
      <c r="D358" s="18">
        <v>13105</v>
      </c>
      <c r="E358" s="65" t="s">
        <v>31</v>
      </c>
      <c r="F358" s="20">
        <v>51304</v>
      </c>
      <c r="G358" s="31">
        <v>366.95</v>
      </c>
      <c r="H358" s="2"/>
    </row>
    <row r="359" spans="1:8" ht="15.75" hidden="1" customHeight="1">
      <c r="A359" s="64"/>
      <c r="B359" s="66"/>
      <c r="C359" s="66"/>
      <c r="D359" s="66"/>
      <c r="E359" s="24" t="s">
        <v>51</v>
      </c>
      <c r="F359" s="24"/>
      <c r="G359" s="25">
        <v>0</v>
      </c>
      <c r="H359" s="2"/>
    </row>
    <row r="360" spans="1:8" ht="15.75" hidden="1" customHeight="1">
      <c r="A360" s="64"/>
      <c r="B360" s="11">
        <v>45790</v>
      </c>
      <c r="C360" s="12">
        <v>0</v>
      </c>
      <c r="D360" s="12">
        <v>13105</v>
      </c>
      <c r="E360" s="76" t="s">
        <v>31</v>
      </c>
      <c r="F360" s="27">
        <v>51305</v>
      </c>
      <c r="G360" s="28">
        <v>1216.52</v>
      </c>
      <c r="H360" s="2"/>
    </row>
    <row r="361" spans="1:8" ht="15.75" hidden="1" customHeight="1">
      <c r="A361" s="64"/>
      <c r="B361" s="71"/>
      <c r="C361" s="71"/>
      <c r="D361" s="71"/>
      <c r="E361" s="13" t="s">
        <v>46</v>
      </c>
      <c r="F361" s="13"/>
      <c r="G361" s="30">
        <v>0</v>
      </c>
      <c r="H361" s="2"/>
    </row>
    <row r="362" spans="1:8" ht="15.75" hidden="1" customHeight="1">
      <c r="A362" s="64"/>
      <c r="B362" s="17">
        <v>45790</v>
      </c>
      <c r="C362" s="18">
        <v>0</v>
      </c>
      <c r="D362" s="18">
        <v>13105</v>
      </c>
      <c r="E362" s="65" t="s">
        <v>31</v>
      </c>
      <c r="F362" s="20">
        <v>51306</v>
      </c>
      <c r="G362" s="31">
        <v>326.91000000000003</v>
      </c>
      <c r="H362" s="2"/>
    </row>
    <row r="363" spans="1:8" ht="15.75" hidden="1" customHeight="1">
      <c r="A363" s="64"/>
      <c r="B363" s="66"/>
      <c r="C363" s="66"/>
      <c r="D363" s="66"/>
      <c r="E363" s="24" t="s">
        <v>231</v>
      </c>
      <c r="F363" s="24"/>
      <c r="G363" s="25">
        <v>0</v>
      </c>
      <c r="H363" s="2"/>
    </row>
    <row r="364" spans="1:8" ht="15.75" hidden="1" customHeight="1">
      <c r="A364" s="64"/>
      <c r="B364" s="11">
        <v>45790</v>
      </c>
      <c r="C364" s="12">
        <v>0</v>
      </c>
      <c r="D364" s="12">
        <v>13105</v>
      </c>
      <c r="E364" s="76" t="s">
        <v>31</v>
      </c>
      <c r="F364" s="27">
        <v>51307</v>
      </c>
      <c r="G364" s="28">
        <v>544.39</v>
      </c>
      <c r="H364" s="2"/>
    </row>
    <row r="365" spans="1:8" ht="15.75" hidden="1" customHeight="1">
      <c r="A365" s="64"/>
      <c r="B365" s="71"/>
      <c r="C365" s="71"/>
      <c r="D365" s="71"/>
      <c r="E365" s="13" t="s">
        <v>78</v>
      </c>
      <c r="F365" s="13"/>
      <c r="G365" s="30">
        <v>0</v>
      </c>
      <c r="H365" s="2"/>
    </row>
    <row r="366" spans="1:8" ht="15.75" hidden="1" customHeight="1">
      <c r="A366" s="64"/>
      <c r="B366" s="17">
        <v>45790</v>
      </c>
      <c r="C366" s="18">
        <v>0</v>
      </c>
      <c r="D366" s="18">
        <v>13105</v>
      </c>
      <c r="E366" s="65" t="s">
        <v>31</v>
      </c>
      <c r="F366" s="20">
        <v>51308</v>
      </c>
      <c r="G366" s="31">
        <v>196.54</v>
      </c>
      <c r="H366" s="2"/>
    </row>
    <row r="367" spans="1:8" ht="15.75" hidden="1" customHeight="1">
      <c r="A367" s="64"/>
      <c r="B367" s="66"/>
      <c r="C367" s="66"/>
      <c r="D367" s="66"/>
      <c r="E367" s="24" t="s">
        <v>111</v>
      </c>
      <c r="F367" s="24"/>
      <c r="G367" s="25">
        <v>0</v>
      </c>
      <c r="H367" s="2"/>
    </row>
    <row r="368" spans="1:8" ht="15.75" hidden="1" customHeight="1">
      <c r="A368" s="64"/>
      <c r="B368" s="11">
        <v>45790</v>
      </c>
      <c r="C368" s="12">
        <v>0</v>
      </c>
      <c r="D368" s="12">
        <v>13105</v>
      </c>
      <c r="E368" s="76" t="s">
        <v>31</v>
      </c>
      <c r="F368" s="27">
        <v>51309</v>
      </c>
      <c r="G368" s="28">
        <v>214.74</v>
      </c>
      <c r="H368" s="2"/>
    </row>
    <row r="369" spans="1:8" ht="15.75" hidden="1" customHeight="1">
      <c r="A369" s="64"/>
      <c r="B369" s="71"/>
      <c r="C369" s="71"/>
      <c r="D369" s="71"/>
      <c r="E369" s="13" t="s">
        <v>111</v>
      </c>
      <c r="F369" s="13"/>
      <c r="G369" s="30">
        <v>0</v>
      </c>
      <c r="H369" s="2"/>
    </row>
    <row r="370" spans="1:8" ht="15.75" hidden="1" customHeight="1">
      <c r="A370" s="64"/>
      <c r="B370" s="17">
        <v>45790</v>
      </c>
      <c r="C370" s="18">
        <v>0</v>
      </c>
      <c r="D370" s="18">
        <v>13105</v>
      </c>
      <c r="E370" s="65" t="s">
        <v>31</v>
      </c>
      <c r="F370" s="20">
        <v>51310</v>
      </c>
      <c r="G370" s="31">
        <v>120.94</v>
      </c>
      <c r="H370" s="2"/>
    </row>
    <row r="371" spans="1:8" ht="15.75" hidden="1" customHeight="1">
      <c r="A371" s="64"/>
      <c r="B371" s="66"/>
      <c r="C371" s="66"/>
      <c r="D371" s="66"/>
      <c r="E371" s="24" t="s">
        <v>247</v>
      </c>
      <c r="F371" s="24"/>
      <c r="G371" s="25">
        <v>0</v>
      </c>
      <c r="H371" s="2"/>
    </row>
    <row r="372" spans="1:8" ht="15.75" hidden="1" customHeight="1">
      <c r="A372" s="64"/>
      <c r="B372" s="11">
        <v>45790</v>
      </c>
      <c r="C372" s="12">
        <v>0</v>
      </c>
      <c r="D372" s="12">
        <v>13105</v>
      </c>
      <c r="E372" s="76" t="s">
        <v>31</v>
      </c>
      <c r="F372" s="27">
        <v>51311</v>
      </c>
      <c r="G372" s="28">
        <v>233.32</v>
      </c>
      <c r="H372" s="2"/>
    </row>
    <row r="373" spans="1:8" ht="28.5" hidden="1" customHeight="1">
      <c r="A373" s="64"/>
      <c r="B373" s="71"/>
      <c r="C373" s="71"/>
      <c r="D373" s="71"/>
      <c r="E373" s="13" t="s">
        <v>45</v>
      </c>
      <c r="F373" s="13"/>
      <c r="G373" s="30">
        <v>0</v>
      </c>
      <c r="H373" s="2"/>
    </row>
    <row r="374" spans="1:8" ht="15.75" hidden="1" customHeight="1">
      <c r="A374" s="64"/>
      <c r="B374" s="17">
        <v>45790</v>
      </c>
      <c r="C374" s="18">
        <v>0</v>
      </c>
      <c r="D374" s="18">
        <v>13105</v>
      </c>
      <c r="E374" s="65" t="s">
        <v>31</v>
      </c>
      <c r="F374" s="20">
        <v>51312</v>
      </c>
      <c r="G374" s="31">
        <v>299.55</v>
      </c>
      <c r="H374" s="2"/>
    </row>
    <row r="375" spans="1:8" ht="28.5" hidden="1" customHeight="1">
      <c r="A375" s="64"/>
      <c r="B375" s="66"/>
      <c r="C375" s="66"/>
      <c r="D375" s="66"/>
      <c r="E375" s="24" t="s">
        <v>45</v>
      </c>
      <c r="F375" s="24"/>
      <c r="G375" s="25">
        <v>0</v>
      </c>
      <c r="H375" s="2"/>
    </row>
    <row r="376" spans="1:8" ht="15.75" hidden="1" customHeight="1">
      <c r="A376" s="64"/>
      <c r="B376" s="11">
        <v>45790</v>
      </c>
      <c r="C376" s="12">
        <v>0</v>
      </c>
      <c r="D376" s="12">
        <v>13105</v>
      </c>
      <c r="E376" s="76" t="s">
        <v>31</v>
      </c>
      <c r="F376" s="27">
        <v>51313</v>
      </c>
      <c r="G376" s="28">
        <v>336.82</v>
      </c>
      <c r="H376" s="2"/>
    </row>
    <row r="377" spans="1:8" ht="15.75" hidden="1" customHeight="1">
      <c r="A377" s="64"/>
      <c r="B377" s="71"/>
      <c r="C377" s="71"/>
      <c r="D377" s="71"/>
      <c r="E377" s="13" t="s">
        <v>109</v>
      </c>
      <c r="F377" s="13"/>
      <c r="G377" s="30">
        <v>0</v>
      </c>
      <c r="H377" s="2"/>
    </row>
    <row r="378" spans="1:8" ht="15.75" hidden="1" customHeight="1">
      <c r="A378" s="64"/>
      <c r="B378" s="17">
        <v>45790</v>
      </c>
      <c r="C378" s="18">
        <v>0</v>
      </c>
      <c r="D378" s="18">
        <v>13105</v>
      </c>
      <c r="E378" s="65" t="s">
        <v>31</v>
      </c>
      <c r="F378" s="20">
        <v>51314</v>
      </c>
      <c r="G378" s="31">
        <v>210.93</v>
      </c>
      <c r="H378" s="2"/>
    </row>
    <row r="379" spans="1:8" ht="15.75" hidden="1" customHeight="1">
      <c r="A379" s="64"/>
      <c r="B379" s="66"/>
      <c r="C379" s="66"/>
      <c r="D379" s="66"/>
      <c r="E379" s="24" t="s">
        <v>47</v>
      </c>
      <c r="F379" s="24"/>
      <c r="G379" s="25">
        <v>0</v>
      </c>
      <c r="H379" s="2"/>
    </row>
    <row r="380" spans="1:8" ht="15.75" hidden="1" customHeight="1">
      <c r="A380" s="64"/>
      <c r="B380" s="11">
        <v>45790</v>
      </c>
      <c r="C380" s="12">
        <v>0</v>
      </c>
      <c r="D380" s="12">
        <v>13105</v>
      </c>
      <c r="E380" s="76" t="s">
        <v>31</v>
      </c>
      <c r="F380" s="27">
        <v>51315</v>
      </c>
      <c r="G380" s="28">
        <v>297.88</v>
      </c>
      <c r="H380" s="2"/>
    </row>
    <row r="381" spans="1:8" ht="15.75" hidden="1" customHeight="1">
      <c r="A381" s="64"/>
      <c r="B381" s="71"/>
      <c r="C381" s="71"/>
      <c r="D381" s="71"/>
      <c r="E381" s="13" t="s">
        <v>47</v>
      </c>
      <c r="F381" s="13"/>
      <c r="G381" s="30">
        <v>0</v>
      </c>
      <c r="H381" s="2"/>
    </row>
    <row r="382" spans="1:8" ht="15.75" hidden="1" customHeight="1">
      <c r="A382" s="64"/>
      <c r="B382" s="17">
        <v>45790</v>
      </c>
      <c r="C382" s="18">
        <v>0</v>
      </c>
      <c r="D382" s="18">
        <v>0</v>
      </c>
      <c r="E382" s="65" t="s">
        <v>52</v>
      </c>
      <c r="F382" s="20">
        <v>9903</v>
      </c>
      <c r="G382" s="21">
        <v>1718.72</v>
      </c>
      <c r="H382" s="2"/>
    </row>
    <row r="383" spans="1:8" ht="15.75" hidden="1" customHeight="1">
      <c r="A383" s="64"/>
      <c r="B383" s="66"/>
      <c r="C383" s="66"/>
      <c r="D383" s="66"/>
      <c r="E383" s="24" t="s">
        <v>53</v>
      </c>
      <c r="F383" s="24"/>
      <c r="G383" s="25">
        <v>0</v>
      </c>
      <c r="H383" s="2"/>
    </row>
    <row r="384" spans="1:8" ht="15.75" hidden="1" customHeight="1">
      <c r="A384" s="64"/>
      <c r="B384" s="11">
        <v>45791</v>
      </c>
      <c r="C384" s="12">
        <v>0</v>
      </c>
      <c r="D384" s="12">
        <v>14397</v>
      </c>
      <c r="E384" s="76" t="s">
        <v>57</v>
      </c>
      <c r="F384" s="27">
        <v>141112145283352</v>
      </c>
      <c r="G384" s="15">
        <v>109.72</v>
      </c>
      <c r="H384" s="2"/>
    </row>
    <row r="385" spans="1:9" ht="28.5" hidden="1" customHeight="1">
      <c r="A385" s="64"/>
      <c r="B385" s="71"/>
      <c r="C385" s="71"/>
      <c r="D385" s="71"/>
      <c r="E385" s="13" t="s">
        <v>590</v>
      </c>
      <c r="F385" s="13"/>
      <c r="G385" s="30">
        <v>0</v>
      </c>
      <c r="H385" s="2"/>
    </row>
    <row r="386" spans="1:9" ht="15.75" hidden="1" customHeight="1">
      <c r="A386" s="64"/>
      <c r="B386" s="17">
        <v>45791</v>
      </c>
      <c r="C386" s="18">
        <v>0</v>
      </c>
      <c r="D386" s="18">
        <v>14397</v>
      </c>
      <c r="E386" s="65" t="s">
        <v>57</v>
      </c>
      <c r="F386" s="20">
        <v>141505067716522</v>
      </c>
      <c r="G386" s="21">
        <v>1282.98</v>
      </c>
      <c r="H386" s="2"/>
    </row>
    <row r="387" spans="1:9" ht="28.5" hidden="1" customHeight="1">
      <c r="A387" s="64"/>
      <c r="B387" s="66"/>
      <c r="C387" s="66"/>
      <c r="D387" s="66"/>
      <c r="E387" s="24" t="s">
        <v>591</v>
      </c>
      <c r="F387" s="24"/>
      <c r="G387" s="25">
        <v>0</v>
      </c>
      <c r="H387" s="2"/>
    </row>
    <row r="388" spans="1:9" ht="15.75" hidden="1" customHeight="1">
      <c r="A388" s="64"/>
      <c r="B388" s="11">
        <v>45791</v>
      </c>
      <c r="C388" s="12">
        <v>0</v>
      </c>
      <c r="D388" s="12">
        <v>14397</v>
      </c>
      <c r="E388" s="76" t="s">
        <v>57</v>
      </c>
      <c r="F388" s="27">
        <v>141542527596362</v>
      </c>
      <c r="G388" s="15">
        <v>126.6</v>
      </c>
      <c r="H388" s="2"/>
    </row>
    <row r="389" spans="1:9" ht="28.5" hidden="1" customHeight="1">
      <c r="A389" s="64"/>
      <c r="B389" s="71"/>
      <c r="C389" s="71"/>
      <c r="D389" s="71"/>
      <c r="E389" s="13" t="s">
        <v>592</v>
      </c>
      <c r="F389" s="13"/>
      <c r="G389" s="30">
        <v>0</v>
      </c>
      <c r="H389" s="2"/>
    </row>
    <row r="390" spans="1:9" ht="15.75" customHeight="1">
      <c r="A390" s="130" t="s">
        <v>140</v>
      </c>
      <c r="B390" s="102">
        <v>45791</v>
      </c>
      <c r="C390" s="103">
        <v>0</v>
      </c>
      <c r="D390" s="103">
        <v>14138</v>
      </c>
      <c r="E390" s="132" t="s">
        <v>141</v>
      </c>
      <c r="F390" s="105">
        <v>202505130002095</v>
      </c>
      <c r="G390" s="98">
        <v>38198.97</v>
      </c>
      <c r="H390" s="2" t="s">
        <v>593</v>
      </c>
    </row>
    <row r="391" spans="1:9" ht="15.75" hidden="1" customHeight="1">
      <c r="A391" s="64"/>
      <c r="B391" s="66"/>
      <c r="C391" s="66"/>
      <c r="D391" s="66"/>
      <c r="E391" s="24" t="s">
        <v>143</v>
      </c>
      <c r="F391" s="24"/>
      <c r="G391" s="25">
        <v>0</v>
      </c>
      <c r="H391" s="2"/>
    </row>
    <row r="392" spans="1:9" ht="15.75" customHeight="1">
      <c r="A392" s="130" t="s">
        <v>140</v>
      </c>
      <c r="B392" s="34">
        <v>45791</v>
      </c>
      <c r="C392" s="35">
        <v>0</v>
      </c>
      <c r="D392" s="35">
        <v>14138</v>
      </c>
      <c r="E392" s="68" t="s">
        <v>141</v>
      </c>
      <c r="F392" s="69">
        <v>202505130004888</v>
      </c>
      <c r="G392" s="70">
        <v>337.34</v>
      </c>
      <c r="H392" s="2">
        <v>3219</v>
      </c>
      <c r="I392" s="79" t="s">
        <v>419</v>
      </c>
    </row>
    <row r="393" spans="1:9" ht="15.75" hidden="1" customHeight="1">
      <c r="A393" s="64"/>
      <c r="B393" s="71"/>
      <c r="C393" s="71"/>
      <c r="D393" s="71"/>
      <c r="E393" s="13" t="s">
        <v>143</v>
      </c>
      <c r="F393" s="13"/>
      <c r="G393" s="30">
        <v>0</v>
      </c>
      <c r="H393" s="2"/>
    </row>
    <row r="394" spans="1:9" ht="15.75" customHeight="1">
      <c r="A394" s="130" t="s">
        <v>140</v>
      </c>
      <c r="B394" s="41">
        <v>45791</v>
      </c>
      <c r="C394" s="42">
        <v>0</v>
      </c>
      <c r="D394" s="42">
        <v>14138</v>
      </c>
      <c r="E394" s="73" t="s">
        <v>141</v>
      </c>
      <c r="F394" s="74">
        <v>202505130004890</v>
      </c>
      <c r="G394" s="75">
        <v>191.54</v>
      </c>
      <c r="H394" s="2">
        <v>3148</v>
      </c>
      <c r="I394" s="79" t="s">
        <v>419</v>
      </c>
    </row>
    <row r="395" spans="1:9" ht="15.75" hidden="1" customHeight="1">
      <c r="A395" s="64"/>
      <c r="B395" s="66"/>
      <c r="C395" s="66"/>
      <c r="D395" s="66"/>
      <c r="E395" s="24" t="s">
        <v>143</v>
      </c>
      <c r="F395" s="24"/>
      <c r="G395" s="25">
        <v>0</v>
      </c>
      <c r="H395" s="2"/>
    </row>
    <row r="396" spans="1:9" ht="15.75" customHeight="1">
      <c r="A396" s="130" t="s">
        <v>140</v>
      </c>
      <c r="B396" s="34">
        <v>45791</v>
      </c>
      <c r="C396" s="35">
        <v>0</v>
      </c>
      <c r="D396" s="35">
        <v>14138</v>
      </c>
      <c r="E396" s="68" t="s">
        <v>141</v>
      </c>
      <c r="F396" s="69">
        <v>202505130004891</v>
      </c>
      <c r="G396" s="70">
        <v>238</v>
      </c>
      <c r="H396" s="2">
        <v>3185</v>
      </c>
      <c r="I396" s="79" t="s">
        <v>419</v>
      </c>
    </row>
    <row r="397" spans="1:9" ht="15.75" hidden="1" customHeight="1">
      <c r="A397" s="64"/>
      <c r="B397" s="71"/>
      <c r="C397" s="71"/>
      <c r="D397" s="71"/>
      <c r="E397" s="13" t="s">
        <v>143</v>
      </c>
      <c r="F397" s="13"/>
      <c r="G397" s="30">
        <v>0</v>
      </c>
      <c r="H397" s="2"/>
    </row>
    <row r="398" spans="1:9" ht="15.75" customHeight="1">
      <c r="A398" s="130" t="s">
        <v>140</v>
      </c>
      <c r="B398" s="41">
        <v>45791</v>
      </c>
      <c r="C398" s="42">
        <v>0</v>
      </c>
      <c r="D398" s="42">
        <v>14138</v>
      </c>
      <c r="E398" s="73" t="s">
        <v>141</v>
      </c>
      <c r="F398" s="74">
        <v>202505130004892</v>
      </c>
      <c r="G398" s="75">
        <v>609.28</v>
      </c>
      <c r="H398" s="2">
        <v>3098</v>
      </c>
      <c r="I398" s="79" t="s">
        <v>419</v>
      </c>
    </row>
    <row r="399" spans="1:9" ht="15.75" hidden="1" customHeight="1">
      <c r="A399" s="64"/>
      <c r="B399" s="66"/>
      <c r="C399" s="66"/>
      <c r="D399" s="66"/>
      <c r="E399" s="24" t="s">
        <v>143</v>
      </c>
      <c r="F399" s="24"/>
      <c r="G399" s="25">
        <v>0</v>
      </c>
      <c r="H399" s="2"/>
    </row>
    <row r="400" spans="1:9" ht="15.75" customHeight="1">
      <c r="A400" s="130" t="s">
        <v>140</v>
      </c>
      <c r="B400" s="34">
        <v>45791</v>
      </c>
      <c r="C400" s="35">
        <v>0</v>
      </c>
      <c r="D400" s="35">
        <v>14138</v>
      </c>
      <c r="E400" s="68" t="s">
        <v>141</v>
      </c>
      <c r="F400" s="69">
        <v>202505130004893</v>
      </c>
      <c r="G400" s="70">
        <v>248.09</v>
      </c>
      <c r="H400" s="2">
        <v>3286</v>
      </c>
      <c r="I400" s="79" t="s">
        <v>419</v>
      </c>
    </row>
    <row r="401" spans="1:9" ht="15.75" hidden="1" customHeight="1">
      <c r="A401" s="64"/>
      <c r="B401" s="71"/>
      <c r="C401" s="71"/>
      <c r="D401" s="71"/>
      <c r="E401" s="13" t="s">
        <v>143</v>
      </c>
      <c r="F401" s="13"/>
      <c r="G401" s="30">
        <v>0</v>
      </c>
      <c r="H401" s="2"/>
    </row>
    <row r="402" spans="1:9" ht="15.75" customHeight="1">
      <c r="A402" s="130" t="s">
        <v>140</v>
      </c>
      <c r="B402" s="41">
        <v>45791</v>
      </c>
      <c r="C402" s="42">
        <v>0</v>
      </c>
      <c r="D402" s="42">
        <v>14138</v>
      </c>
      <c r="E402" s="73" t="s">
        <v>141</v>
      </c>
      <c r="F402" s="74">
        <v>202505130004894</v>
      </c>
      <c r="G402" s="75">
        <v>238</v>
      </c>
      <c r="H402" s="2">
        <v>3255</v>
      </c>
      <c r="I402" s="79" t="s">
        <v>419</v>
      </c>
    </row>
    <row r="403" spans="1:9" ht="15.75" hidden="1" customHeight="1">
      <c r="A403" s="64"/>
      <c r="B403" s="66"/>
      <c r="C403" s="66"/>
      <c r="D403" s="66"/>
      <c r="E403" s="24" t="s">
        <v>143</v>
      </c>
      <c r="F403" s="24"/>
      <c r="G403" s="25">
        <v>0</v>
      </c>
      <c r="H403" s="2"/>
    </row>
    <row r="404" spans="1:9" ht="15.75" customHeight="1">
      <c r="A404" s="130" t="s">
        <v>140</v>
      </c>
      <c r="B404" s="34">
        <v>45791</v>
      </c>
      <c r="C404" s="35">
        <v>0</v>
      </c>
      <c r="D404" s="35">
        <v>14138</v>
      </c>
      <c r="E404" s="68" t="s">
        <v>141</v>
      </c>
      <c r="F404" s="69">
        <v>202505130004904</v>
      </c>
      <c r="G404" s="70">
        <v>382.42</v>
      </c>
      <c r="H404" s="2">
        <v>3224</v>
      </c>
      <c r="I404" s="79" t="s">
        <v>419</v>
      </c>
    </row>
    <row r="405" spans="1:9" ht="15.75" hidden="1" customHeight="1">
      <c r="A405" s="64"/>
      <c r="B405" s="71"/>
      <c r="C405" s="71"/>
      <c r="D405" s="71"/>
      <c r="E405" s="13" t="s">
        <v>143</v>
      </c>
      <c r="F405" s="13"/>
      <c r="G405" s="30">
        <v>0</v>
      </c>
      <c r="H405" s="2"/>
    </row>
    <row r="406" spans="1:9" ht="15.75" customHeight="1">
      <c r="A406" s="130" t="s">
        <v>140</v>
      </c>
      <c r="B406" s="41">
        <v>45791</v>
      </c>
      <c r="C406" s="42">
        <v>0</v>
      </c>
      <c r="D406" s="42">
        <v>14138</v>
      </c>
      <c r="E406" s="73" t="s">
        <v>141</v>
      </c>
      <c r="F406" s="74">
        <v>202505130004905</v>
      </c>
      <c r="G406" s="75">
        <v>460.86</v>
      </c>
      <c r="H406" s="2">
        <v>3280</v>
      </c>
      <c r="I406" s="79" t="s">
        <v>419</v>
      </c>
    </row>
    <row r="407" spans="1:9" ht="15.75" hidden="1" customHeight="1">
      <c r="A407" s="64"/>
      <c r="B407" s="66"/>
      <c r="C407" s="66"/>
      <c r="D407" s="66"/>
      <c r="E407" s="24" t="s">
        <v>143</v>
      </c>
      <c r="F407" s="24"/>
      <c r="G407" s="25">
        <v>0</v>
      </c>
      <c r="H407" s="2"/>
    </row>
    <row r="408" spans="1:9" ht="15.75" customHeight="1">
      <c r="A408" s="130" t="s">
        <v>140</v>
      </c>
      <c r="B408" s="34">
        <v>45791</v>
      </c>
      <c r="C408" s="35">
        <v>0</v>
      </c>
      <c r="D408" s="35">
        <v>14138</v>
      </c>
      <c r="E408" s="68" t="s">
        <v>141</v>
      </c>
      <c r="F408" s="69">
        <v>202505130004906</v>
      </c>
      <c r="G408" s="70">
        <v>609.28</v>
      </c>
      <c r="H408" s="2">
        <v>3251</v>
      </c>
      <c r="I408" s="79" t="s">
        <v>419</v>
      </c>
    </row>
    <row r="409" spans="1:9" ht="15.75" hidden="1" customHeight="1">
      <c r="A409" s="64"/>
      <c r="B409" s="71"/>
      <c r="C409" s="71"/>
      <c r="D409" s="71"/>
      <c r="E409" s="13" t="s">
        <v>143</v>
      </c>
      <c r="F409" s="13"/>
      <c r="G409" s="30">
        <v>0</v>
      </c>
      <c r="H409" s="2"/>
    </row>
    <row r="410" spans="1:9" ht="15.75" customHeight="1">
      <c r="A410" s="130" t="s">
        <v>140</v>
      </c>
      <c r="B410" s="41">
        <v>45791</v>
      </c>
      <c r="C410" s="42">
        <v>0</v>
      </c>
      <c r="D410" s="42">
        <v>14138</v>
      </c>
      <c r="E410" s="73" t="s">
        <v>141</v>
      </c>
      <c r="F410" s="74">
        <v>202505130004908</v>
      </c>
      <c r="G410" s="75">
        <v>609.28</v>
      </c>
      <c r="H410" s="2">
        <v>3181</v>
      </c>
      <c r="I410" s="79" t="s">
        <v>419</v>
      </c>
    </row>
    <row r="411" spans="1:9" ht="15.75" hidden="1" customHeight="1">
      <c r="A411" s="64"/>
      <c r="B411" s="66"/>
      <c r="C411" s="66"/>
      <c r="D411" s="66"/>
      <c r="E411" s="24" t="s">
        <v>143</v>
      </c>
      <c r="F411" s="24"/>
      <c r="G411" s="25">
        <v>0</v>
      </c>
      <c r="H411" s="2"/>
    </row>
    <row r="412" spans="1:9" ht="15.75" customHeight="1">
      <c r="A412" s="130" t="s">
        <v>140</v>
      </c>
      <c r="B412" s="34">
        <v>45791</v>
      </c>
      <c r="C412" s="35">
        <v>0</v>
      </c>
      <c r="D412" s="35">
        <v>14138</v>
      </c>
      <c r="E412" s="68" t="s">
        <v>141</v>
      </c>
      <c r="F412" s="69">
        <v>202505130004909</v>
      </c>
      <c r="G412" s="70">
        <v>1668.08</v>
      </c>
      <c r="H412" s="2">
        <v>3314</v>
      </c>
      <c r="I412" s="79" t="s">
        <v>428</v>
      </c>
    </row>
    <row r="413" spans="1:9" ht="15.75" hidden="1" customHeight="1">
      <c r="A413" s="64"/>
      <c r="B413" s="71"/>
      <c r="C413" s="71"/>
      <c r="D413" s="71"/>
      <c r="E413" s="13" t="s">
        <v>143</v>
      </c>
      <c r="F413" s="13"/>
      <c r="G413" s="30">
        <v>0</v>
      </c>
      <c r="H413" s="2"/>
    </row>
    <row r="414" spans="1:9" ht="15.75" customHeight="1">
      <c r="A414" s="130" t="s">
        <v>140</v>
      </c>
      <c r="B414" s="41">
        <v>45791</v>
      </c>
      <c r="C414" s="42">
        <v>0</v>
      </c>
      <c r="D414" s="42">
        <v>14138</v>
      </c>
      <c r="E414" s="73" t="s">
        <v>141</v>
      </c>
      <c r="F414" s="74">
        <v>202505130004911</v>
      </c>
      <c r="G414" s="75">
        <v>1097.47</v>
      </c>
      <c r="H414" s="2">
        <v>3365</v>
      </c>
      <c r="I414" s="79" t="s">
        <v>428</v>
      </c>
    </row>
    <row r="415" spans="1:9" ht="15.75" hidden="1" customHeight="1">
      <c r="A415" s="64"/>
      <c r="B415" s="66"/>
      <c r="C415" s="66"/>
      <c r="D415" s="66"/>
      <c r="E415" s="24" t="s">
        <v>143</v>
      </c>
      <c r="F415" s="24"/>
      <c r="G415" s="25">
        <v>0</v>
      </c>
      <c r="H415" s="2"/>
    </row>
    <row r="416" spans="1:9" ht="15.75" customHeight="1">
      <c r="A416" s="130" t="s">
        <v>140</v>
      </c>
      <c r="B416" s="34">
        <v>45791</v>
      </c>
      <c r="C416" s="35">
        <v>0</v>
      </c>
      <c r="D416" s="35">
        <v>14138</v>
      </c>
      <c r="E416" s="68" t="s">
        <v>141</v>
      </c>
      <c r="F416" s="69">
        <v>202505130004912</v>
      </c>
      <c r="G416" s="70">
        <v>609.28</v>
      </c>
      <c r="H416" s="2">
        <v>3184</v>
      </c>
      <c r="I416" s="79" t="s">
        <v>419</v>
      </c>
    </row>
    <row r="417" spans="1:9" ht="15.75" hidden="1" customHeight="1">
      <c r="A417" s="64"/>
      <c r="B417" s="71"/>
      <c r="C417" s="71"/>
      <c r="D417" s="71"/>
      <c r="E417" s="13" t="s">
        <v>143</v>
      </c>
      <c r="F417" s="13"/>
      <c r="G417" s="30">
        <v>0</v>
      </c>
      <c r="H417" s="2"/>
    </row>
    <row r="418" spans="1:9" ht="15.75" customHeight="1">
      <c r="A418" s="130" t="s">
        <v>140</v>
      </c>
      <c r="B418" s="41">
        <v>45791</v>
      </c>
      <c r="C418" s="42">
        <v>0</v>
      </c>
      <c r="D418" s="42">
        <v>14138</v>
      </c>
      <c r="E418" s="73" t="s">
        <v>141</v>
      </c>
      <c r="F418" s="74">
        <v>202505130004913</v>
      </c>
      <c r="G418" s="75">
        <v>609.28</v>
      </c>
      <c r="H418" s="2">
        <v>3254</v>
      </c>
      <c r="I418" s="79" t="s">
        <v>419</v>
      </c>
    </row>
    <row r="419" spans="1:9" ht="15.75" hidden="1" customHeight="1">
      <c r="A419" s="64"/>
      <c r="B419" s="66"/>
      <c r="C419" s="66"/>
      <c r="D419" s="66"/>
      <c r="E419" s="24" t="s">
        <v>143</v>
      </c>
      <c r="F419" s="24"/>
      <c r="G419" s="25">
        <v>0</v>
      </c>
      <c r="H419" s="2"/>
    </row>
    <row r="420" spans="1:9" ht="15.75" customHeight="1">
      <c r="A420" s="130" t="s">
        <v>140</v>
      </c>
      <c r="B420" s="34">
        <v>45791</v>
      </c>
      <c r="C420" s="35">
        <v>0</v>
      </c>
      <c r="D420" s="35">
        <v>14138</v>
      </c>
      <c r="E420" s="68" t="s">
        <v>141</v>
      </c>
      <c r="F420" s="69">
        <v>202505130004914</v>
      </c>
      <c r="G420" s="70">
        <v>176.5</v>
      </c>
      <c r="H420" s="2">
        <v>3024</v>
      </c>
      <c r="I420" s="79" t="s">
        <v>419</v>
      </c>
    </row>
    <row r="421" spans="1:9" ht="15.75" hidden="1" customHeight="1">
      <c r="A421" s="64"/>
      <c r="B421" s="71"/>
      <c r="C421" s="71"/>
      <c r="D421" s="71"/>
      <c r="E421" s="13" t="s">
        <v>143</v>
      </c>
      <c r="F421" s="13"/>
      <c r="G421" s="30">
        <v>0</v>
      </c>
      <c r="H421" s="2"/>
    </row>
    <row r="422" spans="1:9" ht="15.75" customHeight="1">
      <c r="A422" s="130" t="s">
        <v>140</v>
      </c>
      <c r="B422" s="41">
        <v>45791</v>
      </c>
      <c r="C422" s="42">
        <v>0</v>
      </c>
      <c r="D422" s="42">
        <v>14138</v>
      </c>
      <c r="E422" s="73" t="s">
        <v>141</v>
      </c>
      <c r="F422" s="74">
        <v>202505130004915</v>
      </c>
      <c r="G422" s="75">
        <v>73.540000000000006</v>
      </c>
      <c r="H422" s="2">
        <v>3218</v>
      </c>
      <c r="I422" s="79" t="s">
        <v>419</v>
      </c>
    </row>
    <row r="423" spans="1:9" ht="15.75" hidden="1" customHeight="1">
      <c r="A423" s="64"/>
      <c r="B423" s="66"/>
      <c r="C423" s="66"/>
      <c r="D423" s="66"/>
      <c r="E423" s="24" t="s">
        <v>143</v>
      </c>
      <c r="F423" s="24"/>
      <c r="G423" s="25">
        <v>0</v>
      </c>
      <c r="H423" s="2"/>
    </row>
    <row r="424" spans="1:9" ht="15.75" customHeight="1">
      <c r="A424" s="130" t="s">
        <v>140</v>
      </c>
      <c r="B424" s="34">
        <v>45791</v>
      </c>
      <c r="C424" s="35">
        <v>0</v>
      </c>
      <c r="D424" s="35">
        <v>14138</v>
      </c>
      <c r="E424" s="68" t="s">
        <v>141</v>
      </c>
      <c r="F424" s="69">
        <v>202505130004916</v>
      </c>
      <c r="G424" s="70">
        <v>238</v>
      </c>
      <c r="H424" s="2">
        <v>2998</v>
      </c>
      <c r="I424" s="79" t="s">
        <v>419</v>
      </c>
    </row>
    <row r="425" spans="1:9" ht="15.75" hidden="1" customHeight="1">
      <c r="A425" s="64"/>
      <c r="B425" s="71"/>
      <c r="C425" s="71"/>
      <c r="D425" s="71"/>
      <c r="E425" s="13" t="s">
        <v>143</v>
      </c>
      <c r="F425" s="13"/>
      <c r="G425" s="30">
        <v>0</v>
      </c>
      <c r="H425" s="2"/>
    </row>
    <row r="426" spans="1:9" ht="15.75" customHeight="1">
      <c r="A426" s="130" t="s">
        <v>140</v>
      </c>
      <c r="B426" s="41">
        <v>45791</v>
      </c>
      <c r="C426" s="42">
        <v>0</v>
      </c>
      <c r="D426" s="42">
        <v>14138</v>
      </c>
      <c r="E426" s="73" t="s">
        <v>141</v>
      </c>
      <c r="F426" s="74">
        <v>202505130004918</v>
      </c>
      <c r="G426" s="75">
        <v>1208.47</v>
      </c>
      <c r="H426" s="2">
        <v>3363</v>
      </c>
      <c r="I426" s="79" t="s">
        <v>428</v>
      </c>
    </row>
    <row r="427" spans="1:9" ht="15.75" hidden="1" customHeight="1">
      <c r="A427" s="64"/>
      <c r="B427" s="66"/>
      <c r="C427" s="66"/>
      <c r="D427" s="66"/>
      <c r="E427" s="24" t="s">
        <v>143</v>
      </c>
      <c r="F427" s="24"/>
      <c r="G427" s="25">
        <v>0</v>
      </c>
      <c r="H427" s="2"/>
    </row>
    <row r="428" spans="1:9" ht="15.75" customHeight="1">
      <c r="A428" s="130" t="s">
        <v>140</v>
      </c>
      <c r="B428" s="34">
        <v>45791</v>
      </c>
      <c r="C428" s="35">
        <v>0</v>
      </c>
      <c r="D428" s="35">
        <v>14138</v>
      </c>
      <c r="E428" s="68" t="s">
        <v>141</v>
      </c>
      <c r="F428" s="69">
        <v>202505130004919</v>
      </c>
      <c r="G428" s="70">
        <v>181.4</v>
      </c>
      <c r="H428" s="2">
        <v>3282</v>
      </c>
      <c r="I428" s="79" t="s">
        <v>419</v>
      </c>
    </row>
    <row r="429" spans="1:9" ht="15.75" hidden="1" customHeight="1">
      <c r="A429" s="64"/>
      <c r="B429" s="71"/>
      <c r="C429" s="71"/>
      <c r="D429" s="71"/>
      <c r="E429" s="13" t="s">
        <v>143</v>
      </c>
      <c r="F429" s="13"/>
      <c r="G429" s="30">
        <v>0</v>
      </c>
      <c r="H429" s="2"/>
    </row>
    <row r="430" spans="1:9" ht="15.75" customHeight="1">
      <c r="A430" s="130" t="s">
        <v>140</v>
      </c>
      <c r="B430" s="41">
        <v>45791</v>
      </c>
      <c r="C430" s="42">
        <v>0</v>
      </c>
      <c r="D430" s="42">
        <v>14138</v>
      </c>
      <c r="E430" s="73" t="s">
        <v>141</v>
      </c>
      <c r="F430" s="74">
        <v>202505130004921</v>
      </c>
      <c r="G430" s="75">
        <v>862.89</v>
      </c>
      <c r="H430" s="2">
        <v>3137</v>
      </c>
      <c r="I430" s="79" t="s">
        <v>419</v>
      </c>
    </row>
    <row r="431" spans="1:9" ht="15.75" hidden="1" customHeight="1">
      <c r="A431" s="64"/>
      <c r="B431" s="66"/>
      <c r="C431" s="66"/>
      <c r="D431" s="66"/>
      <c r="E431" s="24" t="s">
        <v>143</v>
      </c>
      <c r="F431" s="24"/>
      <c r="G431" s="25">
        <v>0</v>
      </c>
      <c r="H431" s="2"/>
    </row>
    <row r="432" spans="1:9" ht="15.75" customHeight="1">
      <c r="A432" s="130" t="s">
        <v>140</v>
      </c>
      <c r="B432" s="34">
        <v>45791</v>
      </c>
      <c r="C432" s="35">
        <v>0</v>
      </c>
      <c r="D432" s="35">
        <v>14138</v>
      </c>
      <c r="E432" s="68" t="s">
        <v>141</v>
      </c>
      <c r="F432" s="69">
        <v>202505130004922</v>
      </c>
      <c r="G432" s="70">
        <v>609.28</v>
      </c>
      <c r="H432" s="2">
        <v>3097</v>
      </c>
      <c r="I432" s="79" t="s">
        <v>419</v>
      </c>
    </row>
    <row r="433" spans="1:9" ht="15.75" hidden="1" customHeight="1">
      <c r="A433" s="64"/>
      <c r="B433" s="71"/>
      <c r="C433" s="71"/>
      <c r="D433" s="71"/>
      <c r="E433" s="13" t="s">
        <v>143</v>
      </c>
      <c r="F433" s="13"/>
      <c r="G433" s="30">
        <v>0</v>
      </c>
      <c r="H433" s="2"/>
    </row>
    <row r="434" spans="1:9" ht="15.75" customHeight="1">
      <c r="A434" s="130" t="s">
        <v>140</v>
      </c>
      <c r="B434" s="41">
        <v>45791</v>
      </c>
      <c r="C434" s="42">
        <v>0</v>
      </c>
      <c r="D434" s="42">
        <v>14138</v>
      </c>
      <c r="E434" s="73" t="s">
        <v>141</v>
      </c>
      <c r="F434" s="74">
        <v>202505130004923</v>
      </c>
      <c r="G434" s="75">
        <v>773.07</v>
      </c>
      <c r="H434" s="2" t="s">
        <v>594</v>
      </c>
      <c r="I434" s="79" t="s">
        <v>419</v>
      </c>
    </row>
    <row r="435" spans="1:9" ht="15.75" hidden="1" customHeight="1">
      <c r="A435" s="64"/>
      <c r="B435" s="66"/>
      <c r="C435" s="66"/>
      <c r="D435" s="66"/>
      <c r="E435" s="24" t="s">
        <v>143</v>
      </c>
      <c r="F435" s="24"/>
      <c r="G435" s="25">
        <v>0</v>
      </c>
      <c r="H435" s="2"/>
    </row>
    <row r="436" spans="1:9" ht="15.75" customHeight="1">
      <c r="A436" s="130" t="s">
        <v>140</v>
      </c>
      <c r="B436" s="34">
        <v>45791</v>
      </c>
      <c r="C436" s="35">
        <v>0</v>
      </c>
      <c r="D436" s="35">
        <v>14138</v>
      </c>
      <c r="E436" s="68" t="s">
        <v>141</v>
      </c>
      <c r="F436" s="69">
        <v>202505130004924</v>
      </c>
      <c r="G436" s="70">
        <v>460.86</v>
      </c>
      <c r="H436" s="2">
        <v>3051</v>
      </c>
      <c r="I436" s="79" t="s">
        <v>419</v>
      </c>
    </row>
    <row r="437" spans="1:9" ht="15.75" hidden="1" customHeight="1">
      <c r="A437" s="64"/>
      <c r="B437" s="71"/>
      <c r="C437" s="71"/>
      <c r="D437" s="71"/>
      <c r="E437" s="13" t="s">
        <v>143</v>
      </c>
      <c r="F437" s="13"/>
      <c r="G437" s="30">
        <v>0</v>
      </c>
      <c r="H437" s="2"/>
    </row>
    <row r="438" spans="1:9" ht="15.75" customHeight="1">
      <c r="A438" s="130" t="s">
        <v>140</v>
      </c>
      <c r="B438" s="41">
        <v>45791</v>
      </c>
      <c r="C438" s="42">
        <v>0</v>
      </c>
      <c r="D438" s="42">
        <v>14138</v>
      </c>
      <c r="E438" s="73" t="s">
        <v>141</v>
      </c>
      <c r="F438" s="74">
        <v>202505130004926</v>
      </c>
      <c r="G438" s="75">
        <v>238</v>
      </c>
      <c r="H438" s="2">
        <v>2995</v>
      </c>
      <c r="I438" s="79" t="s">
        <v>419</v>
      </c>
    </row>
    <row r="439" spans="1:9" ht="15.75" hidden="1" customHeight="1">
      <c r="A439" s="64"/>
      <c r="B439" s="66"/>
      <c r="C439" s="66"/>
      <c r="D439" s="66"/>
      <c r="E439" s="24" t="s">
        <v>143</v>
      </c>
      <c r="F439" s="24"/>
      <c r="G439" s="25">
        <v>0</v>
      </c>
      <c r="H439" s="2"/>
    </row>
    <row r="440" spans="1:9" ht="15.75" customHeight="1">
      <c r="A440" s="130" t="s">
        <v>140</v>
      </c>
      <c r="B440" s="34">
        <v>45791</v>
      </c>
      <c r="C440" s="35">
        <v>0</v>
      </c>
      <c r="D440" s="35">
        <v>14138</v>
      </c>
      <c r="E440" s="68" t="s">
        <v>141</v>
      </c>
      <c r="F440" s="69">
        <v>202505130004942</v>
      </c>
      <c r="G440" s="70">
        <v>182.21</v>
      </c>
      <c r="H440" s="2">
        <v>2687</v>
      </c>
      <c r="I440" s="79" t="s">
        <v>428</v>
      </c>
    </row>
    <row r="441" spans="1:9" ht="15.75" hidden="1" customHeight="1">
      <c r="A441" s="64"/>
      <c r="B441" s="71"/>
      <c r="C441" s="71"/>
      <c r="D441" s="71"/>
      <c r="E441" s="13" t="s">
        <v>143</v>
      </c>
      <c r="F441" s="13"/>
      <c r="G441" s="30">
        <v>0</v>
      </c>
      <c r="H441" s="2"/>
    </row>
    <row r="442" spans="1:9" ht="15.75" customHeight="1">
      <c r="A442" s="130" t="s">
        <v>140</v>
      </c>
      <c r="B442" s="41">
        <v>45791</v>
      </c>
      <c r="C442" s="42">
        <v>0</v>
      </c>
      <c r="D442" s="42">
        <v>14138</v>
      </c>
      <c r="E442" s="73" t="s">
        <v>141</v>
      </c>
      <c r="F442" s="74">
        <v>202505130004943</v>
      </c>
      <c r="G442" s="75">
        <v>1668.08</v>
      </c>
      <c r="H442" s="2">
        <v>2629</v>
      </c>
      <c r="I442" s="79" t="s">
        <v>428</v>
      </c>
    </row>
    <row r="443" spans="1:9" ht="15.75" hidden="1" customHeight="1">
      <c r="A443" s="64"/>
      <c r="B443" s="66"/>
      <c r="C443" s="66"/>
      <c r="D443" s="66"/>
      <c r="E443" s="24" t="s">
        <v>143</v>
      </c>
      <c r="F443" s="24"/>
      <c r="G443" s="25">
        <v>0</v>
      </c>
      <c r="H443" s="2"/>
    </row>
    <row r="444" spans="1:9" ht="15.75" customHeight="1">
      <c r="A444" s="130" t="s">
        <v>140</v>
      </c>
      <c r="B444" s="34">
        <v>45791</v>
      </c>
      <c r="C444" s="35">
        <v>0</v>
      </c>
      <c r="D444" s="35">
        <v>14138</v>
      </c>
      <c r="E444" s="68" t="s">
        <v>141</v>
      </c>
      <c r="F444" s="69">
        <v>202505130004947</v>
      </c>
      <c r="G444" s="70">
        <v>1309</v>
      </c>
      <c r="H444" s="2">
        <v>2811</v>
      </c>
      <c r="I444" s="79" t="s">
        <v>428</v>
      </c>
    </row>
    <row r="445" spans="1:9" ht="15.75" hidden="1" customHeight="1">
      <c r="A445" s="64"/>
      <c r="B445" s="71"/>
      <c r="C445" s="71"/>
      <c r="D445" s="71"/>
      <c r="E445" s="13" t="s">
        <v>143</v>
      </c>
      <c r="F445" s="13"/>
      <c r="G445" s="30">
        <v>0</v>
      </c>
      <c r="H445" s="2"/>
    </row>
    <row r="446" spans="1:9" ht="15.75" customHeight="1">
      <c r="A446" s="130" t="s">
        <v>140</v>
      </c>
      <c r="B446" s="41">
        <v>45791</v>
      </c>
      <c r="C446" s="42">
        <v>0</v>
      </c>
      <c r="D446" s="42">
        <v>14138</v>
      </c>
      <c r="E446" s="73" t="s">
        <v>141</v>
      </c>
      <c r="F446" s="74">
        <v>202505130004948</v>
      </c>
      <c r="G446" s="75">
        <v>957.14</v>
      </c>
      <c r="H446" s="2">
        <v>2749</v>
      </c>
      <c r="I446" s="79" t="s">
        <v>595</v>
      </c>
    </row>
    <row r="447" spans="1:9" ht="15.75" hidden="1" customHeight="1">
      <c r="A447" s="64"/>
      <c r="B447" s="66"/>
      <c r="C447" s="66"/>
      <c r="D447" s="66"/>
      <c r="E447" s="24" t="s">
        <v>143</v>
      </c>
      <c r="F447" s="24"/>
      <c r="G447" s="25">
        <v>0</v>
      </c>
      <c r="H447" s="2"/>
    </row>
    <row r="448" spans="1:9" ht="15.75" customHeight="1">
      <c r="A448" s="130" t="s">
        <v>140</v>
      </c>
      <c r="B448" s="34">
        <v>45791</v>
      </c>
      <c r="C448" s="35">
        <v>0</v>
      </c>
      <c r="D448" s="35">
        <v>14138</v>
      </c>
      <c r="E448" s="68" t="s">
        <v>141</v>
      </c>
      <c r="F448" s="69">
        <v>202505130004949</v>
      </c>
      <c r="G448" s="70">
        <v>1668.08</v>
      </c>
      <c r="H448" s="2">
        <v>2726</v>
      </c>
      <c r="I448" s="79" t="s">
        <v>428</v>
      </c>
    </row>
    <row r="449" spans="1:9" ht="15.75" hidden="1" customHeight="1">
      <c r="A449" s="64"/>
      <c r="B449" s="71"/>
      <c r="C449" s="71"/>
      <c r="D449" s="71"/>
      <c r="E449" s="13" t="s">
        <v>143</v>
      </c>
      <c r="F449" s="13"/>
      <c r="G449" s="30">
        <v>0</v>
      </c>
      <c r="H449" s="2"/>
    </row>
    <row r="450" spans="1:9" ht="15.75" customHeight="1">
      <c r="A450" s="130" t="s">
        <v>140</v>
      </c>
      <c r="B450" s="41">
        <v>45791</v>
      </c>
      <c r="C450" s="42">
        <v>0</v>
      </c>
      <c r="D450" s="42">
        <v>14138</v>
      </c>
      <c r="E450" s="73" t="s">
        <v>141</v>
      </c>
      <c r="F450" s="74">
        <v>202505130004952</v>
      </c>
      <c r="G450" s="75">
        <v>1668.08</v>
      </c>
      <c r="H450" s="2">
        <v>2717</v>
      </c>
      <c r="I450" s="79" t="s">
        <v>428</v>
      </c>
    </row>
    <row r="451" spans="1:9" ht="15.75" hidden="1" customHeight="1">
      <c r="A451" s="64"/>
      <c r="B451" s="66"/>
      <c r="C451" s="66"/>
      <c r="D451" s="66"/>
      <c r="E451" s="24" t="s">
        <v>143</v>
      </c>
      <c r="F451" s="24"/>
      <c r="G451" s="25">
        <v>0</v>
      </c>
      <c r="H451" s="2"/>
    </row>
    <row r="452" spans="1:9" ht="15.75" customHeight="1">
      <c r="A452" s="130" t="s">
        <v>140</v>
      </c>
      <c r="B452" s="34">
        <v>45791</v>
      </c>
      <c r="C452" s="35">
        <v>0</v>
      </c>
      <c r="D452" s="35">
        <v>14138</v>
      </c>
      <c r="E452" s="68" t="s">
        <v>141</v>
      </c>
      <c r="F452" s="69">
        <v>202505130004953</v>
      </c>
      <c r="G452" s="70">
        <v>176.41</v>
      </c>
      <c r="H452" s="2">
        <v>3221</v>
      </c>
      <c r="I452" s="79" t="s">
        <v>419</v>
      </c>
    </row>
    <row r="453" spans="1:9" ht="15.75" hidden="1" customHeight="1">
      <c r="A453" s="64"/>
      <c r="B453" s="71"/>
      <c r="C453" s="71"/>
      <c r="D453" s="71"/>
      <c r="E453" s="13" t="s">
        <v>143</v>
      </c>
      <c r="F453" s="13"/>
      <c r="G453" s="30">
        <v>0</v>
      </c>
      <c r="H453" s="2"/>
    </row>
    <row r="454" spans="1:9" ht="15.75" customHeight="1">
      <c r="A454" s="130" t="s">
        <v>140</v>
      </c>
      <c r="B454" s="41">
        <v>45791</v>
      </c>
      <c r="C454" s="42">
        <v>0</v>
      </c>
      <c r="D454" s="42">
        <v>14138</v>
      </c>
      <c r="E454" s="73" t="s">
        <v>141</v>
      </c>
      <c r="F454" s="74">
        <v>202505130004954</v>
      </c>
      <c r="G454" s="75">
        <v>318.52999999999997</v>
      </c>
      <c r="H454" s="2">
        <v>3285</v>
      </c>
      <c r="I454" s="79" t="s">
        <v>419</v>
      </c>
    </row>
    <row r="455" spans="1:9" ht="15.75" hidden="1" customHeight="1">
      <c r="A455" s="64"/>
      <c r="B455" s="66"/>
      <c r="C455" s="66"/>
      <c r="D455" s="66"/>
      <c r="E455" s="24" t="s">
        <v>143</v>
      </c>
      <c r="F455" s="24"/>
      <c r="G455" s="25">
        <v>0</v>
      </c>
      <c r="H455" s="2"/>
    </row>
    <row r="456" spans="1:9" ht="15.75" customHeight="1">
      <c r="A456" s="130" t="s">
        <v>140</v>
      </c>
      <c r="B456" s="34">
        <v>45791</v>
      </c>
      <c r="C456" s="35">
        <v>0</v>
      </c>
      <c r="D456" s="35">
        <v>14138</v>
      </c>
      <c r="E456" s="68" t="s">
        <v>141</v>
      </c>
      <c r="F456" s="69">
        <v>202505130004955</v>
      </c>
      <c r="G456" s="70">
        <v>609.28</v>
      </c>
      <c r="H456" s="2">
        <v>3187</v>
      </c>
      <c r="I456" s="79" t="s">
        <v>419</v>
      </c>
    </row>
    <row r="457" spans="1:9" ht="15.75" hidden="1" customHeight="1">
      <c r="A457" s="64"/>
      <c r="B457" s="71"/>
      <c r="C457" s="71"/>
      <c r="D457" s="71"/>
      <c r="E457" s="13" t="s">
        <v>143</v>
      </c>
      <c r="F457" s="13"/>
      <c r="G457" s="30">
        <v>0</v>
      </c>
      <c r="H457" s="2"/>
    </row>
    <row r="458" spans="1:9" ht="15.75" customHeight="1">
      <c r="A458" s="130" t="s">
        <v>140</v>
      </c>
      <c r="B458" s="41">
        <v>45791</v>
      </c>
      <c r="C458" s="42">
        <v>0</v>
      </c>
      <c r="D458" s="42">
        <v>14138</v>
      </c>
      <c r="E458" s="73" t="s">
        <v>141</v>
      </c>
      <c r="F458" s="74">
        <v>202505130004956</v>
      </c>
      <c r="G458" s="75">
        <v>609.28</v>
      </c>
      <c r="H458" s="2">
        <v>3257</v>
      </c>
      <c r="I458" s="79" t="s">
        <v>419</v>
      </c>
    </row>
    <row r="459" spans="1:9" ht="15.75" hidden="1" customHeight="1">
      <c r="A459" s="64"/>
      <c r="B459" s="66"/>
      <c r="C459" s="66"/>
      <c r="D459" s="66"/>
      <c r="E459" s="24" t="s">
        <v>143</v>
      </c>
      <c r="F459" s="24"/>
      <c r="G459" s="25">
        <v>0</v>
      </c>
      <c r="H459" s="2"/>
    </row>
    <row r="460" spans="1:9" ht="15.75" customHeight="1">
      <c r="A460" s="130" t="s">
        <v>140</v>
      </c>
      <c r="B460" s="34">
        <v>45791</v>
      </c>
      <c r="C460" s="35">
        <v>0</v>
      </c>
      <c r="D460" s="35">
        <v>14138</v>
      </c>
      <c r="E460" s="68" t="s">
        <v>141</v>
      </c>
      <c r="F460" s="69">
        <v>202505130004959</v>
      </c>
      <c r="G460" s="70">
        <v>238</v>
      </c>
      <c r="H460" s="2">
        <v>2996</v>
      </c>
      <c r="I460" s="79" t="s">
        <v>419</v>
      </c>
    </row>
    <row r="461" spans="1:9" ht="15.75" hidden="1" customHeight="1">
      <c r="A461" s="64"/>
      <c r="B461" s="71"/>
      <c r="C461" s="71"/>
      <c r="D461" s="71"/>
      <c r="E461" s="13" t="s">
        <v>143</v>
      </c>
      <c r="F461" s="13"/>
      <c r="G461" s="30">
        <v>0</v>
      </c>
      <c r="H461" s="2"/>
    </row>
    <row r="462" spans="1:9" ht="15.75" customHeight="1">
      <c r="A462" s="130" t="s">
        <v>140</v>
      </c>
      <c r="B462" s="41">
        <v>45791</v>
      </c>
      <c r="C462" s="42">
        <v>0</v>
      </c>
      <c r="D462" s="42">
        <v>14138</v>
      </c>
      <c r="E462" s="73" t="s">
        <v>141</v>
      </c>
      <c r="F462" s="74">
        <v>202505130004960</v>
      </c>
      <c r="G462" s="75">
        <v>1043.33</v>
      </c>
      <c r="H462" s="2">
        <v>2672</v>
      </c>
      <c r="I462" s="79" t="s">
        <v>428</v>
      </c>
    </row>
    <row r="463" spans="1:9" ht="15.75" hidden="1" customHeight="1">
      <c r="A463" s="64"/>
      <c r="B463" s="66"/>
      <c r="C463" s="66"/>
      <c r="D463" s="66"/>
      <c r="E463" s="24" t="s">
        <v>143</v>
      </c>
      <c r="F463" s="24"/>
      <c r="G463" s="25">
        <v>0</v>
      </c>
      <c r="H463" s="2"/>
    </row>
    <row r="464" spans="1:9" ht="15.75" customHeight="1">
      <c r="A464" s="130" t="s">
        <v>140</v>
      </c>
      <c r="B464" s="34">
        <v>45791</v>
      </c>
      <c r="C464" s="35">
        <v>0</v>
      </c>
      <c r="D464" s="35">
        <v>14138</v>
      </c>
      <c r="E464" s="68" t="s">
        <v>141</v>
      </c>
      <c r="F464" s="69">
        <v>202505130004961</v>
      </c>
      <c r="G464" s="70">
        <v>1668.08</v>
      </c>
      <c r="H464" s="2">
        <v>2632</v>
      </c>
      <c r="I464" s="79" t="s">
        <v>428</v>
      </c>
    </row>
    <row r="465" spans="1:9" ht="15.75" hidden="1" customHeight="1">
      <c r="A465" s="64"/>
      <c r="B465" s="71"/>
      <c r="C465" s="71"/>
      <c r="D465" s="71"/>
      <c r="E465" s="13" t="s">
        <v>143</v>
      </c>
      <c r="F465" s="13"/>
      <c r="G465" s="30">
        <v>0</v>
      </c>
      <c r="H465" s="2"/>
    </row>
    <row r="466" spans="1:9" ht="15.75" customHeight="1">
      <c r="A466" s="130" t="s">
        <v>140</v>
      </c>
      <c r="B466" s="41">
        <v>45791</v>
      </c>
      <c r="C466" s="42">
        <v>0</v>
      </c>
      <c r="D466" s="42">
        <v>14138</v>
      </c>
      <c r="E466" s="73" t="s">
        <v>141</v>
      </c>
      <c r="F466" s="74">
        <v>202505130004962</v>
      </c>
      <c r="G466" s="75">
        <v>238</v>
      </c>
      <c r="H466" s="2">
        <v>2870</v>
      </c>
      <c r="I466" s="79" t="s">
        <v>419</v>
      </c>
    </row>
    <row r="467" spans="1:9" ht="15.75" hidden="1" customHeight="1">
      <c r="A467" s="64"/>
      <c r="B467" s="66"/>
      <c r="C467" s="66"/>
      <c r="D467" s="66"/>
      <c r="E467" s="24" t="s">
        <v>143</v>
      </c>
      <c r="F467" s="24"/>
      <c r="G467" s="25">
        <v>0</v>
      </c>
      <c r="H467" s="2"/>
    </row>
    <row r="468" spans="1:9" ht="15.75" hidden="1" customHeight="1">
      <c r="A468" s="64"/>
      <c r="B468" s="11">
        <v>45791</v>
      </c>
      <c r="C468" s="12">
        <v>0</v>
      </c>
      <c r="D468" s="12">
        <v>14397</v>
      </c>
      <c r="E468" s="76" t="s">
        <v>57</v>
      </c>
      <c r="F468" s="27">
        <v>472316468042861</v>
      </c>
      <c r="G468" s="15">
        <v>600</v>
      </c>
      <c r="H468" s="2"/>
    </row>
    <row r="469" spans="1:9" ht="28.5" hidden="1" customHeight="1">
      <c r="A469" s="64"/>
      <c r="B469" s="71"/>
      <c r="C469" s="71"/>
      <c r="D469" s="71"/>
      <c r="E469" s="13" t="s">
        <v>596</v>
      </c>
      <c r="F469" s="13"/>
      <c r="G469" s="30">
        <v>0</v>
      </c>
      <c r="H469" s="2"/>
    </row>
    <row r="470" spans="1:9" ht="15.75" hidden="1" customHeight="1">
      <c r="A470" s="64"/>
      <c r="B470" s="17">
        <v>45791</v>
      </c>
      <c r="C470" s="18">
        <v>0</v>
      </c>
      <c r="D470" s="18">
        <v>13105</v>
      </c>
      <c r="E470" s="65" t="s">
        <v>118</v>
      </c>
      <c r="F470" s="20">
        <v>51401</v>
      </c>
      <c r="G470" s="31">
        <v>278.56</v>
      </c>
      <c r="H470" s="2"/>
    </row>
    <row r="471" spans="1:9" ht="28.5" hidden="1" customHeight="1">
      <c r="A471" s="64"/>
      <c r="B471" s="66"/>
      <c r="C471" s="66"/>
      <c r="D471" s="66"/>
      <c r="E471" s="24" t="s">
        <v>597</v>
      </c>
      <c r="F471" s="24"/>
      <c r="G471" s="25">
        <v>0</v>
      </c>
      <c r="H471" s="2"/>
    </row>
    <row r="472" spans="1:9" ht="15.75" hidden="1" customHeight="1">
      <c r="A472" s="64"/>
      <c r="B472" s="11">
        <v>45791</v>
      </c>
      <c r="C472" s="12">
        <v>0</v>
      </c>
      <c r="D472" s="12">
        <v>13105</v>
      </c>
      <c r="E472" s="76" t="s">
        <v>118</v>
      </c>
      <c r="F472" s="27">
        <v>51402</v>
      </c>
      <c r="G472" s="28">
        <v>252.24</v>
      </c>
      <c r="H472" s="2"/>
    </row>
    <row r="473" spans="1:9" ht="28.5" hidden="1" customHeight="1">
      <c r="A473" s="64"/>
      <c r="B473" s="71"/>
      <c r="C473" s="71"/>
      <c r="D473" s="71"/>
      <c r="E473" s="13" t="s">
        <v>598</v>
      </c>
      <c r="F473" s="13"/>
      <c r="G473" s="30">
        <v>0</v>
      </c>
      <c r="H473" s="2"/>
    </row>
    <row r="474" spans="1:9" ht="15.75" hidden="1" customHeight="1">
      <c r="A474" s="64"/>
      <c r="B474" s="17">
        <v>45791</v>
      </c>
      <c r="C474" s="18">
        <v>0</v>
      </c>
      <c r="D474" s="18">
        <v>13105</v>
      </c>
      <c r="E474" s="65" t="s">
        <v>80</v>
      </c>
      <c r="F474" s="20">
        <v>51403</v>
      </c>
      <c r="G474" s="31">
        <v>4613.38</v>
      </c>
      <c r="H474" s="2"/>
    </row>
    <row r="475" spans="1:9" ht="15.75" hidden="1" customHeight="1">
      <c r="A475" s="64"/>
      <c r="B475" s="66"/>
      <c r="C475" s="66"/>
      <c r="D475" s="66"/>
      <c r="E475" s="24" t="s">
        <v>172</v>
      </c>
      <c r="F475" s="24"/>
      <c r="G475" s="25">
        <v>0</v>
      </c>
      <c r="H475" s="2"/>
    </row>
    <row r="476" spans="1:9" ht="15.75" hidden="1" customHeight="1">
      <c r="A476" s="64"/>
      <c r="B476" s="11">
        <v>45791</v>
      </c>
      <c r="C476" s="12">
        <v>0</v>
      </c>
      <c r="D476" s="12">
        <v>13105</v>
      </c>
      <c r="E476" s="76" t="s">
        <v>80</v>
      </c>
      <c r="F476" s="27">
        <v>51404</v>
      </c>
      <c r="G476" s="28">
        <v>80.08</v>
      </c>
      <c r="H476" s="2"/>
    </row>
    <row r="477" spans="1:9" ht="15.75" hidden="1" customHeight="1">
      <c r="A477" s="64"/>
      <c r="B477" s="71"/>
      <c r="C477" s="71"/>
      <c r="D477" s="71"/>
      <c r="E477" s="13" t="s">
        <v>81</v>
      </c>
      <c r="F477" s="13"/>
      <c r="G477" s="30">
        <v>0</v>
      </c>
      <c r="H477" s="2"/>
    </row>
    <row r="478" spans="1:9" ht="15.75" hidden="1" customHeight="1">
      <c r="A478" s="64"/>
      <c r="B478" s="17">
        <v>45791</v>
      </c>
      <c r="C478" s="18">
        <v>0</v>
      </c>
      <c r="D478" s="18">
        <v>13105</v>
      </c>
      <c r="E478" s="65" t="s">
        <v>80</v>
      </c>
      <c r="F478" s="20">
        <v>51405</v>
      </c>
      <c r="G478" s="31">
        <v>251.74</v>
      </c>
      <c r="H478" s="2"/>
    </row>
    <row r="479" spans="1:9" ht="15.75" hidden="1" customHeight="1">
      <c r="A479" s="64"/>
      <c r="B479" s="66"/>
      <c r="C479" s="66"/>
      <c r="D479" s="66"/>
      <c r="E479" s="24" t="s">
        <v>81</v>
      </c>
      <c r="F479" s="24"/>
      <c r="G479" s="25">
        <v>0</v>
      </c>
      <c r="H479" s="2"/>
    </row>
    <row r="480" spans="1:9" ht="15.75" hidden="1" customHeight="1">
      <c r="A480" s="64"/>
      <c r="B480" s="11">
        <v>45791</v>
      </c>
      <c r="C480" s="12">
        <v>0</v>
      </c>
      <c r="D480" s="12">
        <v>13105</v>
      </c>
      <c r="E480" s="76" t="s">
        <v>80</v>
      </c>
      <c r="F480" s="27">
        <v>51406</v>
      </c>
      <c r="G480" s="28">
        <v>47.34</v>
      </c>
      <c r="H480" s="2"/>
    </row>
    <row r="481" spans="1:8" ht="15.75" hidden="1" customHeight="1">
      <c r="A481" s="64"/>
      <c r="B481" s="71"/>
      <c r="C481" s="71"/>
      <c r="D481" s="71"/>
      <c r="E481" s="13" t="s">
        <v>81</v>
      </c>
      <c r="F481" s="13"/>
      <c r="G481" s="30">
        <v>0</v>
      </c>
      <c r="H481" s="2"/>
    </row>
    <row r="482" spans="1:8" ht="15.75" hidden="1" customHeight="1">
      <c r="A482" s="64"/>
      <c r="B482" s="17">
        <v>45791</v>
      </c>
      <c r="C482" s="18">
        <v>0</v>
      </c>
      <c r="D482" s="18">
        <v>13105</v>
      </c>
      <c r="E482" s="65" t="s">
        <v>80</v>
      </c>
      <c r="F482" s="20">
        <v>51407</v>
      </c>
      <c r="G482" s="31">
        <v>6886.7</v>
      </c>
      <c r="H482" s="2"/>
    </row>
    <row r="483" spans="1:8" ht="15.75" hidden="1" customHeight="1">
      <c r="A483" s="64"/>
      <c r="B483" s="66"/>
      <c r="C483" s="66"/>
      <c r="D483" s="66"/>
      <c r="E483" s="24" t="s">
        <v>81</v>
      </c>
      <c r="F483" s="24"/>
      <c r="G483" s="25">
        <v>0</v>
      </c>
      <c r="H483" s="2"/>
    </row>
    <row r="484" spans="1:8" ht="15.75" hidden="1" customHeight="1">
      <c r="A484" s="64"/>
      <c r="B484" s="11">
        <v>45791</v>
      </c>
      <c r="C484" s="12">
        <v>0</v>
      </c>
      <c r="D484" s="12">
        <v>13105</v>
      </c>
      <c r="E484" s="76" t="s">
        <v>80</v>
      </c>
      <c r="F484" s="27">
        <v>51408</v>
      </c>
      <c r="G484" s="28">
        <v>897.29</v>
      </c>
      <c r="H484" s="2"/>
    </row>
    <row r="485" spans="1:8" ht="15.75" hidden="1" customHeight="1">
      <c r="A485" s="64"/>
      <c r="B485" s="71"/>
      <c r="C485" s="71"/>
      <c r="D485" s="71"/>
      <c r="E485" s="13" t="s">
        <v>81</v>
      </c>
      <c r="F485" s="13"/>
      <c r="G485" s="30">
        <v>0</v>
      </c>
      <c r="H485" s="2"/>
    </row>
    <row r="486" spans="1:8" ht="15.75" hidden="1" customHeight="1">
      <c r="A486" s="64"/>
      <c r="B486" s="17">
        <v>45791</v>
      </c>
      <c r="C486" s="18">
        <v>0</v>
      </c>
      <c r="D486" s="18">
        <v>13105</v>
      </c>
      <c r="E486" s="65" t="s">
        <v>80</v>
      </c>
      <c r="F486" s="20">
        <v>51409</v>
      </c>
      <c r="G486" s="31">
        <v>824.29</v>
      </c>
      <c r="H486" s="2"/>
    </row>
    <row r="487" spans="1:8" ht="15.75" hidden="1" customHeight="1">
      <c r="A487" s="64"/>
      <c r="B487" s="66"/>
      <c r="C487" s="66"/>
      <c r="D487" s="66"/>
      <c r="E487" s="24" t="s">
        <v>81</v>
      </c>
      <c r="F487" s="24"/>
      <c r="G487" s="25">
        <v>0</v>
      </c>
      <c r="H487" s="2"/>
    </row>
    <row r="488" spans="1:8" ht="15.75" hidden="1" customHeight="1">
      <c r="A488" s="64"/>
      <c r="B488" s="11">
        <v>45791</v>
      </c>
      <c r="C488" s="12">
        <v>0</v>
      </c>
      <c r="D488" s="12">
        <v>13105</v>
      </c>
      <c r="E488" s="76" t="s">
        <v>31</v>
      </c>
      <c r="F488" s="27">
        <v>51410</v>
      </c>
      <c r="G488" s="28">
        <v>1798.8</v>
      </c>
      <c r="H488" s="2"/>
    </row>
    <row r="489" spans="1:8" ht="28.5" hidden="1" customHeight="1">
      <c r="A489" s="64"/>
      <c r="B489" s="71"/>
      <c r="C489" s="71"/>
      <c r="D489" s="71"/>
      <c r="E489" s="13" t="s">
        <v>65</v>
      </c>
      <c r="F489" s="13"/>
      <c r="G489" s="30">
        <v>0</v>
      </c>
      <c r="H489" s="2"/>
    </row>
    <row r="490" spans="1:8" ht="15.75" hidden="1" customHeight="1">
      <c r="A490" s="64"/>
      <c r="B490" s="17">
        <v>45791</v>
      </c>
      <c r="C490" s="18">
        <v>0</v>
      </c>
      <c r="D490" s="18">
        <v>13105</v>
      </c>
      <c r="E490" s="65" t="s">
        <v>31</v>
      </c>
      <c r="F490" s="20">
        <v>51411</v>
      </c>
      <c r="G490" s="31">
        <v>452.88</v>
      </c>
      <c r="H490" s="2"/>
    </row>
    <row r="491" spans="1:8" ht="28.5" hidden="1" customHeight="1">
      <c r="A491" s="64"/>
      <c r="B491" s="66"/>
      <c r="C491" s="66"/>
      <c r="D491" s="66"/>
      <c r="E491" s="24" t="s">
        <v>41</v>
      </c>
      <c r="F491" s="24"/>
      <c r="G491" s="25">
        <v>0</v>
      </c>
      <c r="H491" s="2"/>
    </row>
    <row r="492" spans="1:8" ht="15.75" hidden="1" customHeight="1">
      <c r="A492" s="64"/>
      <c r="B492" s="11">
        <v>45791</v>
      </c>
      <c r="C492" s="12">
        <v>0</v>
      </c>
      <c r="D492" s="12">
        <v>13105</v>
      </c>
      <c r="E492" s="76" t="s">
        <v>31</v>
      </c>
      <c r="F492" s="27">
        <v>51412</v>
      </c>
      <c r="G492" s="28">
        <v>393.9</v>
      </c>
      <c r="H492" s="2"/>
    </row>
    <row r="493" spans="1:8" ht="15.75" hidden="1" customHeight="1">
      <c r="A493" s="64"/>
      <c r="B493" s="71"/>
      <c r="C493" s="71"/>
      <c r="D493" s="71"/>
      <c r="E493" s="13" t="s">
        <v>340</v>
      </c>
      <c r="F493" s="13"/>
      <c r="G493" s="30">
        <v>0</v>
      </c>
      <c r="H493" s="2"/>
    </row>
    <row r="494" spans="1:8" ht="15.75" hidden="1" customHeight="1">
      <c r="A494" s="64"/>
      <c r="B494" s="17">
        <v>45791</v>
      </c>
      <c r="C494" s="18">
        <v>0</v>
      </c>
      <c r="D494" s="18">
        <v>13105</v>
      </c>
      <c r="E494" s="65" t="s">
        <v>31</v>
      </c>
      <c r="F494" s="20">
        <v>51413</v>
      </c>
      <c r="G494" s="31">
        <v>240.07</v>
      </c>
      <c r="H494" s="2"/>
    </row>
    <row r="495" spans="1:8" ht="15.75" hidden="1" customHeight="1">
      <c r="A495" s="64"/>
      <c r="B495" s="66"/>
      <c r="C495" s="66"/>
      <c r="D495" s="66"/>
      <c r="E495" s="24" t="s">
        <v>111</v>
      </c>
      <c r="F495" s="24"/>
      <c r="G495" s="25">
        <v>0</v>
      </c>
      <c r="H495" s="2"/>
    </row>
    <row r="496" spans="1:8" ht="15.75" hidden="1" customHeight="1">
      <c r="A496" s="64"/>
      <c r="B496" s="11">
        <v>45791</v>
      </c>
      <c r="C496" s="12">
        <v>0</v>
      </c>
      <c r="D496" s="12">
        <v>13105</v>
      </c>
      <c r="E496" s="76" t="s">
        <v>31</v>
      </c>
      <c r="F496" s="27">
        <v>51414</v>
      </c>
      <c r="G496" s="28">
        <v>1275</v>
      </c>
      <c r="H496" s="2"/>
    </row>
    <row r="497" spans="1:8" ht="15.75" hidden="1" customHeight="1">
      <c r="A497" s="64"/>
      <c r="B497" s="71"/>
      <c r="C497" s="71"/>
      <c r="D497" s="71"/>
      <c r="E497" s="13" t="s">
        <v>109</v>
      </c>
      <c r="F497" s="13"/>
      <c r="G497" s="30">
        <v>0</v>
      </c>
      <c r="H497" s="2"/>
    </row>
    <row r="498" spans="1:8" ht="15.75" hidden="1" customHeight="1">
      <c r="A498" s="64"/>
      <c r="B498" s="17">
        <v>45791</v>
      </c>
      <c r="C498" s="18">
        <v>0</v>
      </c>
      <c r="D498" s="18">
        <v>13105</v>
      </c>
      <c r="E498" s="65" t="s">
        <v>31</v>
      </c>
      <c r="F498" s="20">
        <v>51415</v>
      </c>
      <c r="G498" s="31">
        <v>394.8</v>
      </c>
      <c r="H498" s="2"/>
    </row>
    <row r="499" spans="1:8" ht="28.5" hidden="1" customHeight="1">
      <c r="A499" s="64"/>
      <c r="B499" s="66"/>
      <c r="C499" s="66"/>
      <c r="D499" s="66"/>
      <c r="E499" s="24" t="s">
        <v>110</v>
      </c>
      <c r="F499" s="24"/>
      <c r="G499" s="25">
        <v>0</v>
      </c>
      <c r="H499" s="2"/>
    </row>
    <row r="500" spans="1:8" ht="15.75" hidden="1" customHeight="1">
      <c r="A500" s="64"/>
      <c r="B500" s="11">
        <v>45791</v>
      </c>
      <c r="C500" s="12">
        <v>0</v>
      </c>
      <c r="D500" s="12">
        <v>13105</v>
      </c>
      <c r="E500" s="76" t="s">
        <v>31</v>
      </c>
      <c r="F500" s="27">
        <v>51416</v>
      </c>
      <c r="G500" s="28">
        <v>115.88</v>
      </c>
      <c r="H500" s="2"/>
    </row>
    <row r="501" spans="1:8" ht="28.5" hidden="1" customHeight="1">
      <c r="A501" s="64"/>
      <c r="B501" s="71"/>
      <c r="C501" s="71"/>
      <c r="D501" s="71"/>
      <c r="E501" s="13" t="s">
        <v>126</v>
      </c>
      <c r="F501" s="13"/>
      <c r="G501" s="30">
        <v>0</v>
      </c>
      <c r="H501" s="2"/>
    </row>
    <row r="502" spans="1:8" ht="15.75" hidden="1" customHeight="1">
      <c r="A502" s="64"/>
      <c r="B502" s="17">
        <v>45791</v>
      </c>
      <c r="C502" s="18">
        <v>0</v>
      </c>
      <c r="D502" s="18">
        <v>13105</v>
      </c>
      <c r="E502" s="65" t="s">
        <v>31</v>
      </c>
      <c r="F502" s="20">
        <v>51417</v>
      </c>
      <c r="G502" s="31">
        <v>107.72</v>
      </c>
      <c r="H502" s="2"/>
    </row>
    <row r="503" spans="1:8" ht="15.75" hidden="1" customHeight="1">
      <c r="A503" s="64"/>
      <c r="B503" s="66"/>
      <c r="C503" s="66"/>
      <c r="D503" s="66"/>
      <c r="E503" s="24" t="s">
        <v>125</v>
      </c>
      <c r="F503" s="24"/>
      <c r="G503" s="25">
        <v>0</v>
      </c>
      <c r="H503" s="2"/>
    </row>
    <row r="504" spans="1:8" ht="15.75" hidden="1" customHeight="1">
      <c r="A504" s="64"/>
      <c r="B504" s="11">
        <v>45791</v>
      </c>
      <c r="C504" s="12">
        <v>0</v>
      </c>
      <c r="D504" s="12">
        <v>13105</v>
      </c>
      <c r="E504" s="76" t="s">
        <v>31</v>
      </c>
      <c r="F504" s="27">
        <v>51418</v>
      </c>
      <c r="G504" s="28">
        <v>463.15</v>
      </c>
      <c r="H504" s="2"/>
    </row>
    <row r="505" spans="1:8" ht="15.75" hidden="1" customHeight="1">
      <c r="A505" s="64"/>
      <c r="B505" s="71"/>
      <c r="C505" s="71"/>
      <c r="D505" s="71"/>
      <c r="E505" s="13" t="s">
        <v>201</v>
      </c>
      <c r="F505" s="13"/>
      <c r="G505" s="30">
        <v>0</v>
      </c>
      <c r="H505" s="2"/>
    </row>
    <row r="506" spans="1:8" ht="15.75" hidden="1" customHeight="1">
      <c r="A506" s="64"/>
      <c r="B506" s="17">
        <v>45791</v>
      </c>
      <c r="C506" s="18">
        <v>0</v>
      </c>
      <c r="D506" s="18">
        <v>13105</v>
      </c>
      <c r="E506" s="65" t="s">
        <v>31</v>
      </c>
      <c r="F506" s="20">
        <v>51419</v>
      </c>
      <c r="G506" s="31">
        <v>3500</v>
      </c>
      <c r="H506" s="2"/>
    </row>
    <row r="507" spans="1:8" ht="15.75" hidden="1" customHeight="1">
      <c r="A507" s="64"/>
      <c r="B507" s="66"/>
      <c r="C507" s="66"/>
      <c r="D507" s="66"/>
      <c r="E507" s="24" t="s">
        <v>173</v>
      </c>
      <c r="F507" s="24"/>
      <c r="G507" s="25">
        <v>0</v>
      </c>
      <c r="H507" s="2"/>
    </row>
    <row r="508" spans="1:8" ht="15.75" hidden="1" customHeight="1">
      <c r="A508" s="64"/>
      <c r="B508" s="11">
        <v>45791</v>
      </c>
      <c r="C508" s="12">
        <v>0</v>
      </c>
      <c r="D508" s="12">
        <v>13105</v>
      </c>
      <c r="E508" s="76" t="s">
        <v>31</v>
      </c>
      <c r="F508" s="27">
        <v>51420</v>
      </c>
      <c r="G508" s="28">
        <v>2200</v>
      </c>
      <c r="H508" s="2"/>
    </row>
    <row r="509" spans="1:8" ht="15.75" hidden="1" customHeight="1">
      <c r="A509" s="64"/>
      <c r="B509" s="71"/>
      <c r="C509" s="71"/>
      <c r="D509" s="71"/>
      <c r="E509" s="13" t="s">
        <v>173</v>
      </c>
      <c r="F509" s="13"/>
      <c r="G509" s="30">
        <v>0</v>
      </c>
      <c r="H509" s="2"/>
    </row>
    <row r="510" spans="1:8" ht="15.75" hidden="1" customHeight="1">
      <c r="A510" s="64"/>
      <c r="B510" s="17">
        <v>45791</v>
      </c>
      <c r="C510" s="18">
        <v>0</v>
      </c>
      <c r="D510" s="18">
        <v>13105</v>
      </c>
      <c r="E510" s="65" t="s">
        <v>31</v>
      </c>
      <c r="F510" s="20">
        <v>51421</v>
      </c>
      <c r="G510" s="31">
        <v>5746.77</v>
      </c>
      <c r="H510" s="2"/>
    </row>
    <row r="511" spans="1:8" ht="28.5" hidden="1" customHeight="1">
      <c r="A511" s="64"/>
      <c r="B511" s="66"/>
      <c r="C511" s="66"/>
      <c r="D511" s="66"/>
      <c r="E511" s="24" t="s">
        <v>32</v>
      </c>
      <c r="F511" s="24"/>
      <c r="G511" s="25">
        <v>0</v>
      </c>
      <c r="H511" s="2"/>
    </row>
    <row r="512" spans="1:8" ht="15.75" hidden="1" customHeight="1">
      <c r="A512" s="64"/>
      <c r="B512" s="11">
        <v>45791</v>
      </c>
      <c r="C512" s="12">
        <v>0</v>
      </c>
      <c r="D512" s="12">
        <v>13105</v>
      </c>
      <c r="E512" s="76" t="s">
        <v>31</v>
      </c>
      <c r="F512" s="27">
        <v>51422</v>
      </c>
      <c r="G512" s="28">
        <v>3803.63</v>
      </c>
      <c r="H512" s="2"/>
    </row>
    <row r="513" spans="1:8" ht="28.5" hidden="1" customHeight="1">
      <c r="A513" s="64"/>
      <c r="B513" s="71"/>
      <c r="C513" s="71"/>
      <c r="D513" s="71"/>
      <c r="E513" s="13" t="s">
        <v>32</v>
      </c>
      <c r="F513" s="13"/>
      <c r="G513" s="30">
        <v>0</v>
      </c>
      <c r="H513" s="2"/>
    </row>
    <row r="514" spans="1:8" ht="15.75" hidden="1" customHeight="1">
      <c r="A514" s="64"/>
      <c r="B514" s="17">
        <v>45791</v>
      </c>
      <c r="C514" s="18">
        <v>0</v>
      </c>
      <c r="D514" s="18">
        <v>13105</v>
      </c>
      <c r="E514" s="65" t="s">
        <v>31</v>
      </c>
      <c r="F514" s="20">
        <v>51423</v>
      </c>
      <c r="G514" s="31">
        <v>1889.19</v>
      </c>
      <c r="H514" s="2"/>
    </row>
    <row r="515" spans="1:8" ht="15.75" hidden="1" customHeight="1">
      <c r="A515" s="64"/>
      <c r="B515" s="66"/>
      <c r="C515" s="66"/>
      <c r="D515" s="66"/>
      <c r="E515" s="24" t="s">
        <v>66</v>
      </c>
      <c r="F515" s="24"/>
      <c r="G515" s="25">
        <v>0</v>
      </c>
      <c r="H515" s="2"/>
    </row>
    <row r="516" spans="1:8" ht="15.75" hidden="1" customHeight="1">
      <c r="A516" s="64"/>
      <c r="B516" s="11">
        <v>45791</v>
      </c>
      <c r="C516" s="12">
        <v>0</v>
      </c>
      <c r="D516" s="12">
        <v>13105</v>
      </c>
      <c r="E516" s="76" t="s">
        <v>31</v>
      </c>
      <c r="F516" s="27">
        <v>51424</v>
      </c>
      <c r="G516" s="28">
        <v>5082.34</v>
      </c>
      <c r="H516" s="2"/>
    </row>
    <row r="517" spans="1:8" ht="28.5" hidden="1" customHeight="1">
      <c r="A517" s="64"/>
      <c r="B517" s="71"/>
      <c r="C517" s="71"/>
      <c r="D517" s="71"/>
      <c r="E517" s="13" t="s">
        <v>32</v>
      </c>
      <c r="F517" s="13"/>
      <c r="G517" s="30">
        <v>0</v>
      </c>
      <c r="H517" s="2"/>
    </row>
    <row r="518" spans="1:8" ht="15.75" hidden="1" customHeight="1">
      <c r="A518" s="64"/>
      <c r="B518" s="17">
        <v>45791</v>
      </c>
      <c r="C518" s="18">
        <v>0</v>
      </c>
      <c r="D518" s="18">
        <v>13105</v>
      </c>
      <c r="E518" s="65" t="s">
        <v>31</v>
      </c>
      <c r="F518" s="20">
        <v>51425</v>
      </c>
      <c r="G518" s="31">
        <v>5719.17</v>
      </c>
      <c r="H518" s="2"/>
    </row>
    <row r="519" spans="1:8" ht="28.5" hidden="1" customHeight="1">
      <c r="A519" s="64"/>
      <c r="B519" s="66"/>
      <c r="C519" s="66"/>
      <c r="D519" s="66"/>
      <c r="E519" s="24" t="s">
        <v>32</v>
      </c>
      <c r="F519" s="24"/>
      <c r="G519" s="25">
        <v>0</v>
      </c>
      <c r="H519" s="2"/>
    </row>
    <row r="520" spans="1:8" ht="15.75" hidden="1" customHeight="1">
      <c r="A520" s="64"/>
      <c r="B520" s="11">
        <v>45791</v>
      </c>
      <c r="C520" s="12">
        <v>0</v>
      </c>
      <c r="D520" s="12">
        <v>13105</v>
      </c>
      <c r="E520" s="76" t="s">
        <v>31</v>
      </c>
      <c r="F520" s="27">
        <v>51426</v>
      </c>
      <c r="G520" s="28">
        <v>528.54999999999995</v>
      </c>
      <c r="H520" s="2"/>
    </row>
    <row r="521" spans="1:8" ht="28.5" hidden="1" customHeight="1">
      <c r="A521" s="64"/>
      <c r="B521" s="71"/>
      <c r="C521" s="71"/>
      <c r="D521" s="71"/>
      <c r="E521" s="13" t="s">
        <v>45</v>
      </c>
      <c r="F521" s="13"/>
      <c r="G521" s="30">
        <v>0</v>
      </c>
      <c r="H521" s="2"/>
    </row>
    <row r="522" spans="1:8" ht="15.75" hidden="1" customHeight="1">
      <c r="A522" s="64"/>
      <c r="B522" s="17">
        <v>45791</v>
      </c>
      <c r="C522" s="18">
        <v>0</v>
      </c>
      <c r="D522" s="18">
        <v>13105</v>
      </c>
      <c r="E522" s="65" t="s">
        <v>31</v>
      </c>
      <c r="F522" s="20">
        <v>51427</v>
      </c>
      <c r="G522" s="31">
        <v>376.19</v>
      </c>
      <c r="H522" s="2"/>
    </row>
    <row r="523" spans="1:8" ht="28.5" hidden="1" customHeight="1">
      <c r="A523" s="64"/>
      <c r="B523" s="66"/>
      <c r="C523" s="66"/>
      <c r="D523" s="66"/>
      <c r="E523" s="24" t="s">
        <v>45</v>
      </c>
      <c r="F523" s="24"/>
      <c r="G523" s="25">
        <v>0</v>
      </c>
      <c r="H523" s="2"/>
    </row>
    <row r="524" spans="1:8" ht="15.75" hidden="1" customHeight="1">
      <c r="A524" s="64"/>
      <c r="B524" s="11">
        <v>45791</v>
      </c>
      <c r="C524" s="12">
        <v>0</v>
      </c>
      <c r="D524" s="12">
        <v>13105</v>
      </c>
      <c r="E524" s="76" t="s">
        <v>31</v>
      </c>
      <c r="F524" s="27">
        <v>51428</v>
      </c>
      <c r="G524" s="28">
        <v>1100.68</v>
      </c>
      <c r="H524" s="2"/>
    </row>
    <row r="525" spans="1:8" ht="28.5" hidden="1" customHeight="1">
      <c r="A525" s="64"/>
      <c r="B525" s="71"/>
      <c r="C525" s="71"/>
      <c r="D525" s="71"/>
      <c r="E525" s="13" t="s">
        <v>223</v>
      </c>
      <c r="F525" s="13"/>
      <c r="G525" s="30">
        <v>0</v>
      </c>
      <c r="H525" s="2"/>
    </row>
    <row r="526" spans="1:8" ht="15.75" hidden="1" customHeight="1">
      <c r="A526" s="64"/>
      <c r="B526" s="17">
        <v>45791</v>
      </c>
      <c r="C526" s="18">
        <v>0</v>
      </c>
      <c r="D526" s="18">
        <v>13105</v>
      </c>
      <c r="E526" s="65" t="s">
        <v>31</v>
      </c>
      <c r="F526" s="20">
        <v>51429</v>
      </c>
      <c r="G526" s="31">
        <v>510.54</v>
      </c>
      <c r="H526" s="2"/>
    </row>
    <row r="527" spans="1:8" ht="15.75" hidden="1" customHeight="1">
      <c r="A527" s="64"/>
      <c r="B527" s="66"/>
      <c r="C527" s="66"/>
      <c r="D527" s="66"/>
      <c r="E527" s="24" t="s">
        <v>46</v>
      </c>
      <c r="F527" s="24"/>
      <c r="G527" s="25">
        <v>0</v>
      </c>
      <c r="H527" s="2"/>
    </row>
    <row r="528" spans="1:8" ht="15.75" hidden="1" customHeight="1">
      <c r="A528" s="64"/>
      <c r="B528" s="11">
        <v>45791</v>
      </c>
      <c r="C528" s="12">
        <v>0</v>
      </c>
      <c r="D528" s="12">
        <v>13105</v>
      </c>
      <c r="E528" s="76" t="s">
        <v>31</v>
      </c>
      <c r="F528" s="27">
        <v>51430</v>
      </c>
      <c r="G528" s="28">
        <v>176</v>
      </c>
      <c r="H528" s="2"/>
    </row>
    <row r="529" spans="1:9" ht="15.75" hidden="1" customHeight="1">
      <c r="A529" s="64"/>
      <c r="B529" s="71"/>
      <c r="C529" s="71"/>
      <c r="D529" s="71"/>
      <c r="E529" s="13" t="s">
        <v>46</v>
      </c>
      <c r="F529" s="13"/>
      <c r="G529" s="30">
        <v>0</v>
      </c>
      <c r="H529" s="2"/>
    </row>
    <row r="530" spans="1:9" ht="15.75" hidden="1" customHeight="1">
      <c r="A530" s="64"/>
      <c r="B530" s="17">
        <v>45791</v>
      </c>
      <c r="C530" s="18">
        <v>0</v>
      </c>
      <c r="D530" s="18">
        <v>13105</v>
      </c>
      <c r="E530" s="65" t="s">
        <v>370</v>
      </c>
      <c r="F530" s="20">
        <v>51431</v>
      </c>
      <c r="G530" s="31">
        <v>15000</v>
      </c>
      <c r="H530" s="2"/>
    </row>
    <row r="531" spans="1:9" ht="28.5" hidden="1" customHeight="1">
      <c r="A531" s="64"/>
      <c r="B531" s="66"/>
      <c r="C531" s="66"/>
      <c r="D531" s="66"/>
      <c r="E531" s="24" t="s">
        <v>371</v>
      </c>
      <c r="F531" s="24"/>
      <c r="G531" s="25">
        <v>0</v>
      </c>
      <c r="H531" s="2"/>
    </row>
    <row r="532" spans="1:9" ht="15.75" hidden="1" customHeight="1">
      <c r="A532" s="64"/>
      <c r="B532" s="11">
        <v>45791</v>
      </c>
      <c r="C532" s="12">
        <v>0</v>
      </c>
      <c r="D532" s="12">
        <v>13105</v>
      </c>
      <c r="E532" s="76" t="s">
        <v>80</v>
      </c>
      <c r="F532" s="27">
        <v>51432</v>
      </c>
      <c r="G532" s="28">
        <v>174.26</v>
      </c>
      <c r="H532" s="2"/>
    </row>
    <row r="533" spans="1:9" ht="15.75" hidden="1" customHeight="1">
      <c r="A533" s="64"/>
      <c r="B533" s="71"/>
      <c r="C533" s="71"/>
      <c r="D533" s="71"/>
      <c r="E533" s="13" t="s">
        <v>81</v>
      </c>
      <c r="F533" s="13"/>
      <c r="G533" s="30">
        <v>0</v>
      </c>
      <c r="H533" s="2"/>
    </row>
    <row r="534" spans="1:9" ht="15.75" hidden="1" customHeight="1">
      <c r="A534" s="64"/>
      <c r="B534" s="17">
        <v>45791</v>
      </c>
      <c r="C534" s="18">
        <v>0</v>
      </c>
      <c r="D534" s="18">
        <v>13113</v>
      </c>
      <c r="E534" s="65" t="s">
        <v>511</v>
      </c>
      <c r="F534" s="20">
        <v>851341000009550</v>
      </c>
      <c r="G534" s="31">
        <v>13</v>
      </c>
      <c r="H534" s="2"/>
    </row>
    <row r="535" spans="1:9" ht="15.75" hidden="1" customHeight="1">
      <c r="A535" s="64"/>
      <c r="B535" s="66"/>
      <c r="C535" s="66"/>
      <c r="D535" s="66"/>
      <c r="E535" s="24" t="s">
        <v>599</v>
      </c>
      <c r="F535" s="24"/>
      <c r="G535" s="25">
        <v>0</v>
      </c>
      <c r="H535" s="2"/>
    </row>
    <row r="536" spans="1:9" ht="15.75" hidden="1" customHeight="1">
      <c r="A536" s="64"/>
      <c r="B536" s="11">
        <v>45791</v>
      </c>
      <c r="C536" s="12">
        <v>0</v>
      </c>
      <c r="D536" s="12">
        <v>0</v>
      </c>
      <c r="E536" s="76" t="s">
        <v>59</v>
      </c>
      <c r="F536" s="27">
        <v>9903</v>
      </c>
      <c r="G536" s="28">
        <v>207.84</v>
      </c>
      <c r="H536" s="2"/>
    </row>
    <row r="537" spans="1:9" ht="15.75" hidden="1" customHeight="1">
      <c r="A537" s="64"/>
      <c r="B537" s="71"/>
      <c r="C537" s="71"/>
      <c r="D537" s="71"/>
      <c r="E537" s="13" t="s">
        <v>53</v>
      </c>
      <c r="F537" s="13"/>
      <c r="G537" s="30">
        <v>0</v>
      </c>
      <c r="H537" s="2"/>
    </row>
    <row r="538" spans="1:9" ht="15.75" hidden="1" customHeight="1">
      <c r="A538" s="64"/>
      <c r="B538" s="17">
        <v>45792</v>
      </c>
      <c r="C538" s="18">
        <v>3525</v>
      </c>
      <c r="D538" s="18">
        <v>99021</v>
      </c>
      <c r="E538" s="65" t="s">
        <v>27</v>
      </c>
      <c r="F538" s="20">
        <v>613525000032047</v>
      </c>
      <c r="G538" s="21">
        <v>403.15</v>
      </c>
      <c r="H538" s="2" t="s">
        <v>600</v>
      </c>
    </row>
    <row r="539" spans="1:9" ht="28.5" hidden="1" customHeight="1">
      <c r="A539" s="64"/>
      <c r="B539" s="66"/>
      <c r="C539" s="66"/>
      <c r="D539" s="66"/>
      <c r="E539" s="24" t="s">
        <v>601</v>
      </c>
      <c r="F539" s="24"/>
      <c r="G539" s="25">
        <v>0</v>
      </c>
      <c r="H539" s="2"/>
    </row>
    <row r="540" spans="1:9" ht="15.75" hidden="1" customHeight="1">
      <c r="A540" s="64"/>
      <c r="B540" s="11">
        <v>45792</v>
      </c>
      <c r="C540" s="12">
        <v>3525</v>
      </c>
      <c r="D540" s="12">
        <v>99021</v>
      </c>
      <c r="E540" s="76" t="s">
        <v>27</v>
      </c>
      <c r="F540" s="27">
        <v>613525000032047</v>
      </c>
      <c r="G540" s="15">
        <v>91.54</v>
      </c>
      <c r="H540" s="2" t="s">
        <v>600</v>
      </c>
    </row>
    <row r="541" spans="1:9" ht="28.5" hidden="1" customHeight="1">
      <c r="A541" s="64"/>
      <c r="B541" s="71"/>
      <c r="C541" s="71"/>
      <c r="D541" s="71"/>
      <c r="E541" s="13" t="s">
        <v>602</v>
      </c>
      <c r="F541" s="13"/>
      <c r="G541" s="30">
        <v>0</v>
      </c>
      <c r="H541" s="2"/>
    </row>
    <row r="542" spans="1:9" ht="15.75" hidden="1" customHeight="1">
      <c r="A542" s="64"/>
      <c r="B542" s="17">
        <v>45792</v>
      </c>
      <c r="C542" s="18">
        <v>0</v>
      </c>
      <c r="D542" s="18">
        <v>14397</v>
      </c>
      <c r="E542" s="65" t="s">
        <v>57</v>
      </c>
      <c r="F542" s="20">
        <v>151039388117132</v>
      </c>
      <c r="G542" s="21">
        <v>1427.57</v>
      </c>
      <c r="H542" s="2"/>
    </row>
    <row r="543" spans="1:9" ht="28.5" hidden="1" customHeight="1">
      <c r="A543" s="64"/>
      <c r="B543" s="66"/>
      <c r="C543" s="66"/>
      <c r="D543" s="66"/>
      <c r="E543" s="24" t="s">
        <v>603</v>
      </c>
      <c r="F543" s="24"/>
      <c r="G543" s="25">
        <v>0</v>
      </c>
      <c r="H543" s="2"/>
    </row>
    <row r="544" spans="1:9" ht="15.75" customHeight="1">
      <c r="A544" s="130" t="s">
        <v>140</v>
      </c>
      <c r="B544" s="34">
        <v>45792</v>
      </c>
      <c r="C544" s="35">
        <v>0</v>
      </c>
      <c r="D544" s="35">
        <v>14138</v>
      </c>
      <c r="E544" s="68" t="s">
        <v>141</v>
      </c>
      <c r="F544" s="69">
        <v>202505140000017</v>
      </c>
      <c r="G544" s="70">
        <v>1232.8399999999999</v>
      </c>
      <c r="H544" s="2">
        <v>3321</v>
      </c>
      <c r="I544" s="79" t="s">
        <v>428</v>
      </c>
    </row>
    <row r="545" spans="1:9" ht="15.75" hidden="1" customHeight="1">
      <c r="A545" s="64"/>
      <c r="B545" s="71"/>
      <c r="C545" s="71"/>
      <c r="D545" s="71"/>
      <c r="E545" s="13" t="s">
        <v>143</v>
      </c>
      <c r="F545" s="13"/>
      <c r="G545" s="30">
        <v>0</v>
      </c>
      <c r="H545" s="2"/>
    </row>
    <row r="546" spans="1:9" ht="15.75" customHeight="1">
      <c r="A546" s="130" t="s">
        <v>140</v>
      </c>
      <c r="B546" s="41">
        <v>45792</v>
      </c>
      <c r="C546" s="42">
        <v>0</v>
      </c>
      <c r="D546" s="42">
        <v>14138</v>
      </c>
      <c r="E546" s="73" t="s">
        <v>141</v>
      </c>
      <c r="F546" s="74">
        <v>202505140000018</v>
      </c>
      <c r="G546" s="75">
        <v>613.66</v>
      </c>
      <c r="H546" s="2">
        <v>3358</v>
      </c>
      <c r="I546" s="79" t="s">
        <v>428</v>
      </c>
    </row>
    <row r="547" spans="1:9" ht="15.75" hidden="1" customHeight="1">
      <c r="A547" s="64"/>
      <c r="B547" s="66"/>
      <c r="C547" s="66"/>
      <c r="D547" s="66"/>
      <c r="E547" s="24" t="s">
        <v>143</v>
      </c>
      <c r="F547" s="24"/>
      <c r="G547" s="25">
        <v>0</v>
      </c>
      <c r="H547" s="2"/>
    </row>
    <row r="548" spans="1:9" ht="15.75" customHeight="1">
      <c r="A548" s="130" t="s">
        <v>140</v>
      </c>
      <c r="B548" s="34">
        <v>45792</v>
      </c>
      <c r="C548" s="35">
        <v>0</v>
      </c>
      <c r="D548" s="35">
        <v>14138</v>
      </c>
      <c r="E548" s="68" t="s">
        <v>141</v>
      </c>
      <c r="F548" s="69">
        <v>202505140000019</v>
      </c>
      <c r="G548" s="70">
        <v>3457.85</v>
      </c>
      <c r="H548" s="2">
        <v>2605</v>
      </c>
      <c r="I548" s="79" t="s">
        <v>428</v>
      </c>
    </row>
    <row r="549" spans="1:9" ht="15.75" hidden="1" customHeight="1">
      <c r="A549" s="64"/>
      <c r="B549" s="71"/>
      <c r="C549" s="71"/>
      <c r="D549" s="71"/>
      <c r="E549" s="13" t="s">
        <v>143</v>
      </c>
      <c r="F549" s="13"/>
      <c r="G549" s="30">
        <v>0</v>
      </c>
      <c r="H549" s="2"/>
    </row>
    <row r="550" spans="1:9" ht="15.75" customHeight="1">
      <c r="A550" s="130" t="s">
        <v>140</v>
      </c>
      <c r="B550" s="41">
        <v>45792</v>
      </c>
      <c r="C550" s="42">
        <v>0</v>
      </c>
      <c r="D550" s="42">
        <v>14138</v>
      </c>
      <c r="E550" s="73" t="s">
        <v>141</v>
      </c>
      <c r="F550" s="74">
        <v>202505140000020</v>
      </c>
      <c r="G550" s="75">
        <v>4172.04</v>
      </c>
      <c r="H550" s="2">
        <v>2606</v>
      </c>
      <c r="I550" s="79" t="s">
        <v>428</v>
      </c>
    </row>
    <row r="551" spans="1:9" ht="15.75" hidden="1" customHeight="1">
      <c r="A551" s="64"/>
      <c r="B551" s="66"/>
      <c r="C551" s="66"/>
      <c r="D551" s="66"/>
      <c r="E551" s="24" t="s">
        <v>143</v>
      </c>
      <c r="F551" s="24"/>
      <c r="G551" s="25">
        <v>0</v>
      </c>
      <c r="H551" s="2"/>
    </row>
    <row r="552" spans="1:9" ht="15.75" customHeight="1">
      <c r="A552" s="130" t="s">
        <v>140</v>
      </c>
      <c r="B552" s="34">
        <v>45792</v>
      </c>
      <c r="C552" s="35">
        <v>0</v>
      </c>
      <c r="D552" s="35">
        <v>14138</v>
      </c>
      <c r="E552" s="68" t="s">
        <v>141</v>
      </c>
      <c r="F552" s="69">
        <v>202505140000021</v>
      </c>
      <c r="G552" s="70">
        <v>1668.08</v>
      </c>
      <c r="H552" s="2">
        <v>3303</v>
      </c>
      <c r="I552" s="79" t="s">
        <v>428</v>
      </c>
    </row>
    <row r="553" spans="1:9" ht="15.75" hidden="1" customHeight="1">
      <c r="A553" s="64"/>
      <c r="B553" s="71"/>
      <c r="C553" s="71"/>
      <c r="D553" s="71"/>
      <c r="E553" s="13" t="s">
        <v>143</v>
      </c>
      <c r="F553" s="13"/>
      <c r="G553" s="30">
        <v>0</v>
      </c>
      <c r="H553" s="2"/>
    </row>
    <row r="554" spans="1:9" ht="15.75" customHeight="1">
      <c r="A554" s="130" t="s">
        <v>140</v>
      </c>
      <c r="B554" s="41">
        <v>45792</v>
      </c>
      <c r="C554" s="42">
        <v>0</v>
      </c>
      <c r="D554" s="42">
        <v>14138</v>
      </c>
      <c r="E554" s="73" t="s">
        <v>141</v>
      </c>
      <c r="F554" s="74">
        <v>202505140000022</v>
      </c>
      <c r="G554" s="75">
        <v>2452.54</v>
      </c>
      <c r="H554" s="2">
        <v>3345</v>
      </c>
      <c r="I554" s="79" t="s">
        <v>428</v>
      </c>
    </row>
    <row r="555" spans="1:9" ht="15.75" hidden="1" customHeight="1">
      <c r="A555" s="64"/>
      <c r="B555" s="66"/>
      <c r="C555" s="66"/>
      <c r="D555" s="66"/>
      <c r="E555" s="24" t="s">
        <v>143</v>
      </c>
      <c r="F555" s="24"/>
      <c r="G555" s="25">
        <v>0</v>
      </c>
      <c r="H555" s="2"/>
    </row>
    <row r="556" spans="1:9" ht="15.75" customHeight="1">
      <c r="A556" s="130" t="s">
        <v>140</v>
      </c>
      <c r="B556" s="34">
        <v>45792</v>
      </c>
      <c r="C556" s="35">
        <v>0</v>
      </c>
      <c r="D556" s="35">
        <v>14138</v>
      </c>
      <c r="E556" s="68" t="s">
        <v>141</v>
      </c>
      <c r="F556" s="69">
        <v>202505140000024</v>
      </c>
      <c r="G556" s="70">
        <v>238</v>
      </c>
      <c r="H556" s="2">
        <v>3101</v>
      </c>
      <c r="I556" s="79" t="s">
        <v>419</v>
      </c>
    </row>
    <row r="557" spans="1:9" ht="15.75" hidden="1" customHeight="1">
      <c r="A557" s="64"/>
      <c r="B557" s="71"/>
      <c r="C557" s="71"/>
      <c r="D557" s="71"/>
      <c r="E557" s="13" t="s">
        <v>143</v>
      </c>
      <c r="F557" s="13"/>
      <c r="G557" s="30">
        <v>0</v>
      </c>
      <c r="H557" s="2"/>
    </row>
    <row r="558" spans="1:9" ht="15.75" customHeight="1">
      <c r="A558" s="130" t="s">
        <v>140</v>
      </c>
      <c r="B558" s="41">
        <v>45792</v>
      </c>
      <c r="C558" s="42">
        <v>0</v>
      </c>
      <c r="D558" s="42">
        <v>14138</v>
      </c>
      <c r="E558" s="73" t="s">
        <v>141</v>
      </c>
      <c r="F558" s="74">
        <v>202505140000025</v>
      </c>
      <c r="G558" s="75">
        <v>423.41</v>
      </c>
      <c r="H558" s="2">
        <v>3131</v>
      </c>
      <c r="I558" s="79" t="s">
        <v>419</v>
      </c>
    </row>
    <row r="559" spans="1:9" ht="15.75" hidden="1" customHeight="1">
      <c r="A559" s="64"/>
      <c r="B559" s="66"/>
      <c r="C559" s="66"/>
      <c r="D559" s="66"/>
      <c r="E559" s="24" t="s">
        <v>143</v>
      </c>
      <c r="F559" s="24"/>
      <c r="G559" s="25">
        <v>0</v>
      </c>
      <c r="H559" s="2"/>
    </row>
    <row r="560" spans="1:9" ht="15.75" customHeight="1">
      <c r="A560" s="130" t="s">
        <v>140</v>
      </c>
      <c r="B560" s="34">
        <v>45792</v>
      </c>
      <c r="C560" s="35">
        <v>0</v>
      </c>
      <c r="D560" s="35">
        <v>14138</v>
      </c>
      <c r="E560" s="68" t="s">
        <v>141</v>
      </c>
      <c r="F560" s="69">
        <v>202505140000031</v>
      </c>
      <c r="G560" s="70">
        <v>609.28</v>
      </c>
      <c r="H560" s="2">
        <v>3183</v>
      </c>
      <c r="I560" s="79" t="s">
        <v>419</v>
      </c>
    </row>
    <row r="561" spans="1:9" ht="15.75" hidden="1" customHeight="1">
      <c r="A561" s="64"/>
      <c r="B561" s="71"/>
      <c r="C561" s="71"/>
      <c r="D561" s="71"/>
      <c r="E561" s="13" t="s">
        <v>143</v>
      </c>
      <c r="F561" s="13"/>
      <c r="G561" s="30">
        <v>0</v>
      </c>
      <c r="H561" s="2"/>
    </row>
    <row r="562" spans="1:9" ht="15.75" customHeight="1">
      <c r="A562" s="130" t="s">
        <v>140</v>
      </c>
      <c r="B562" s="41">
        <v>45792</v>
      </c>
      <c r="C562" s="42">
        <v>0</v>
      </c>
      <c r="D562" s="42">
        <v>14138</v>
      </c>
      <c r="E562" s="73" t="s">
        <v>141</v>
      </c>
      <c r="F562" s="74">
        <v>202505140000032</v>
      </c>
      <c r="G562" s="75">
        <v>147.56</v>
      </c>
      <c r="H562" s="2">
        <v>3217</v>
      </c>
      <c r="I562" s="79" t="s">
        <v>419</v>
      </c>
    </row>
    <row r="563" spans="1:9" ht="15.75" hidden="1" customHeight="1">
      <c r="A563" s="64"/>
      <c r="B563" s="66"/>
      <c r="C563" s="66"/>
      <c r="D563" s="66"/>
      <c r="E563" s="24" t="s">
        <v>143</v>
      </c>
      <c r="F563" s="24"/>
      <c r="G563" s="25">
        <v>0</v>
      </c>
      <c r="H563" s="2"/>
    </row>
    <row r="564" spans="1:9" ht="15.75" customHeight="1">
      <c r="A564" s="130" t="s">
        <v>140</v>
      </c>
      <c r="B564" s="34">
        <v>45792</v>
      </c>
      <c r="C564" s="35">
        <v>0</v>
      </c>
      <c r="D564" s="35">
        <v>14138</v>
      </c>
      <c r="E564" s="68" t="s">
        <v>141</v>
      </c>
      <c r="F564" s="69">
        <v>202505140000034</v>
      </c>
      <c r="G564" s="70">
        <v>259.85000000000002</v>
      </c>
      <c r="H564" s="2">
        <v>3220</v>
      </c>
      <c r="I564" s="79" t="s">
        <v>419</v>
      </c>
    </row>
    <row r="565" spans="1:9" ht="15.75" hidden="1" customHeight="1">
      <c r="A565" s="64"/>
      <c r="B565" s="71"/>
      <c r="C565" s="71"/>
      <c r="D565" s="71"/>
      <c r="E565" s="13" t="s">
        <v>143</v>
      </c>
      <c r="F565" s="13"/>
      <c r="G565" s="30">
        <v>0</v>
      </c>
      <c r="H565" s="2"/>
    </row>
    <row r="566" spans="1:9" ht="15.75" customHeight="1">
      <c r="A566" s="130" t="s">
        <v>140</v>
      </c>
      <c r="B566" s="41">
        <v>45792</v>
      </c>
      <c r="C566" s="42">
        <v>0</v>
      </c>
      <c r="D566" s="42">
        <v>14138</v>
      </c>
      <c r="E566" s="73" t="s">
        <v>141</v>
      </c>
      <c r="F566" s="74">
        <v>202505140000035</v>
      </c>
      <c r="G566" s="75">
        <v>609.28</v>
      </c>
      <c r="H566" s="2">
        <v>3186</v>
      </c>
      <c r="I566" s="79" t="s">
        <v>419</v>
      </c>
    </row>
    <row r="567" spans="1:9" ht="15.75" hidden="1" customHeight="1">
      <c r="A567" s="64"/>
      <c r="B567" s="66"/>
      <c r="C567" s="66"/>
      <c r="D567" s="66"/>
      <c r="E567" s="24" t="s">
        <v>143</v>
      </c>
      <c r="F567" s="24"/>
      <c r="G567" s="25">
        <v>0</v>
      </c>
      <c r="H567" s="2"/>
    </row>
    <row r="568" spans="1:9" ht="15.75" customHeight="1">
      <c r="A568" s="130" t="s">
        <v>140</v>
      </c>
      <c r="B568" s="34">
        <v>45792</v>
      </c>
      <c r="C568" s="35">
        <v>0</v>
      </c>
      <c r="D568" s="35">
        <v>14138</v>
      </c>
      <c r="E568" s="68" t="s">
        <v>141</v>
      </c>
      <c r="F568" s="69">
        <v>202505140000036</v>
      </c>
      <c r="G568" s="70">
        <v>609.28</v>
      </c>
      <c r="H568" s="2">
        <v>3253</v>
      </c>
      <c r="I568" s="79" t="s">
        <v>419</v>
      </c>
    </row>
    <row r="569" spans="1:9" ht="15.75" hidden="1" customHeight="1">
      <c r="A569" s="64"/>
      <c r="B569" s="71"/>
      <c r="C569" s="71"/>
      <c r="D569" s="71"/>
      <c r="E569" s="13" t="s">
        <v>143</v>
      </c>
      <c r="F569" s="13"/>
      <c r="G569" s="30">
        <v>0</v>
      </c>
      <c r="H569" s="2"/>
    </row>
    <row r="570" spans="1:9" ht="15.75" customHeight="1">
      <c r="A570" s="130" t="s">
        <v>140</v>
      </c>
      <c r="B570" s="41">
        <v>45792</v>
      </c>
      <c r="C570" s="42">
        <v>0</v>
      </c>
      <c r="D570" s="42">
        <v>14138</v>
      </c>
      <c r="E570" s="73" t="s">
        <v>141</v>
      </c>
      <c r="F570" s="74">
        <v>202505140000037</v>
      </c>
      <c r="G570" s="75">
        <v>210.99</v>
      </c>
      <c r="H570" s="2">
        <v>3281</v>
      </c>
      <c r="I570" s="79" t="s">
        <v>419</v>
      </c>
    </row>
    <row r="571" spans="1:9" ht="15.75" hidden="1" customHeight="1">
      <c r="A571" s="64"/>
      <c r="B571" s="66"/>
      <c r="C571" s="66"/>
      <c r="D571" s="66"/>
      <c r="E571" s="24" t="s">
        <v>143</v>
      </c>
      <c r="F571" s="24"/>
      <c r="G571" s="25">
        <v>0</v>
      </c>
      <c r="H571" s="2"/>
    </row>
    <row r="572" spans="1:9" ht="15.75" customHeight="1">
      <c r="A572" s="130" t="s">
        <v>140</v>
      </c>
      <c r="B572" s="34">
        <v>45792</v>
      </c>
      <c r="C572" s="35">
        <v>0</v>
      </c>
      <c r="D572" s="35">
        <v>14138</v>
      </c>
      <c r="E572" s="68" t="s">
        <v>141</v>
      </c>
      <c r="F572" s="69">
        <v>202505140000042</v>
      </c>
      <c r="G572" s="70">
        <v>609.28</v>
      </c>
      <c r="H572" s="2">
        <v>3256</v>
      </c>
      <c r="I572" s="79" t="s">
        <v>419</v>
      </c>
    </row>
    <row r="573" spans="1:9" ht="15.75" hidden="1" customHeight="1">
      <c r="A573" s="64"/>
      <c r="B573" s="71"/>
      <c r="C573" s="71"/>
      <c r="D573" s="71"/>
      <c r="E573" s="13" t="s">
        <v>143</v>
      </c>
      <c r="F573" s="13"/>
      <c r="G573" s="30">
        <v>0</v>
      </c>
      <c r="H573" s="2"/>
    </row>
    <row r="574" spans="1:9" ht="15.75" customHeight="1">
      <c r="A574" s="130" t="s">
        <v>140</v>
      </c>
      <c r="B574" s="41">
        <v>45792</v>
      </c>
      <c r="C574" s="42">
        <v>0</v>
      </c>
      <c r="D574" s="42">
        <v>14138</v>
      </c>
      <c r="E574" s="73" t="s">
        <v>141</v>
      </c>
      <c r="F574" s="74">
        <v>202505140000043</v>
      </c>
      <c r="G574" s="75">
        <v>127.47</v>
      </c>
      <c r="H574" s="2">
        <v>3284</v>
      </c>
      <c r="I574" s="79" t="s">
        <v>419</v>
      </c>
    </row>
    <row r="575" spans="1:9" ht="15.75" hidden="1" customHeight="1">
      <c r="A575" s="64"/>
      <c r="B575" s="66"/>
      <c r="C575" s="66"/>
      <c r="D575" s="66"/>
      <c r="E575" s="24" t="s">
        <v>143</v>
      </c>
      <c r="F575" s="24"/>
      <c r="G575" s="25">
        <v>0</v>
      </c>
      <c r="H575" s="2"/>
    </row>
    <row r="576" spans="1:9" ht="15.75" customHeight="1">
      <c r="A576" s="130" t="s">
        <v>140</v>
      </c>
      <c r="B576" s="34">
        <v>45792</v>
      </c>
      <c r="C576" s="35">
        <v>0</v>
      </c>
      <c r="D576" s="35">
        <v>14138</v>
      </c>
      <c r="E576" s="68" t="s">
        <v>141</v>
      </c>
      <c r="F576" s="69">
        <v>202505140000060</v>
      </c>
      <c r="G576" s="70">
        <v>991.7</v>
      </c>
      <c r="H576" s="2" t="s">
        <v>604</v>
      </c>
      <c r="I576" s="79" t="s">
        <v>419</v>
      </c>
    </row>
    <row r="577" spans="1:9" ht="15.75" hidden="1" customHeight="1">
      <c r="A577" s="64"/>
      <c r="B577" s="71"/>
      <c r="C577" s="71"/>
      <c r="D577" s="71"/>
      <c r="E577" s="13" t="s">
        <v>143</v>
      </c>
      <c r="F577" s="13"/>
      <c r="G577" s="30">
        <v>0</v>
      </c>
      <c r="H577" s="2"/>
    </row>
    <row r="578" spans="1:9" ht="15.75" customHeight="1">
      <c r="A578" s="130" t="s">
        <v>140</v>
      </c>
      <c r="B578" s="41">
        <v>45792</v>
      </c>
      <c r="C578" s="42">
        <v>0</v>
      </c>
      <c r="D578" s="42">
        <v>14138</v>
      </c>
      <c r="E578" s="73" t="s">
        <v>141</v>
      </c>
      <c r="F578" s="74">
        <v>202505140000062</v>
      </c>
      <c r="G578" s="75">
        <v>953.08</v>
      </c>
      <c r="H578" s="2" t="s">
        <v>605</v>
      </c>
      <c r="I578" s="79" t="s">
        <v>419</v>
      </c>
    </row>
    <row r="579" spans="1:9" ht="15.75" hidden="1" customHeight="1">
      <c r="A579" s="64"/>
      <c r="B579" s="66"/>
      <c r="C579" s="66"/>
      <c r="D579" s="66"/>
      <c r="E579" s="24" t="s">
        <v>143</v>
      </c>
      <c r="F579" s="24"/>
      <c r="G579" s="25">
        <v>0</v>
      </c>
      <c r="H579" s="2"/>
    </row>
    <row r="580" spans="1:9" ht="15.75" customHeight="1">
      <c r="A580" s="130" t="s">
        <v>140</v>
      </c>
      <c r="B580" s="34">
        <v>45792</v>
      </c>
      <c r="C580" s="35">
        <v>0</v>
      </c>
      <c r="D580" s="35">
        <v>14138</v>
      </c>
      <c r="E580" s="68" t="s">
        <v>141</v>
      </c>
      <c r="F580" s="69">
        <v>202505140000066</v>
      </c>
      <c r="G580" s="70">
        <v>1668.08</v>
      </c>
      <c r="H580" s="2">
        <v>2626</v>
      </c>
      <c r="I580" s="79" t="s">
        <v>428</v>
      </c>
    </row>
    <row r="581" spans="1:9" ht="15.75" hidden="1" customHeight="1">
      <c r="A581" s="64"/>
      <c r="B581" s="71"/>
      <c r="C581" s="71"/>
      <c r="D581" s="71"/>
      <c r="E581" s="13" t="s">
        <v>143</v>
      </c>
      <c r="F581" s="13"/>
      <c r="G581" s="30">
        <v>0</v>
      </c>
      <c r="H581" s="2"/>
    </row>
    <row r="582" spans="1:9" ht="15.75" customHeight="1">
      <c r="A582" s="130" t="s">
        <v>140</v>
      </c>
      <c r="B582" s="41">
        <v>45792</v>
      </c>
      <c r="C582" s="42">
        <v>0</v>
      </c>
      <c r="D582" s="42">
        <v>14138</v>
      </c>
      <c r="E582" s="73" t="s">
        <v>141</v>
      </c>
      <c r="F582" s="74">
        <v>202505140000067</v>
      </c>
      <c r="G582" s="75">
        <v>605.28</v>
      </c>
      <c r="H582" s="2">
        <v>2690</v>
      </c>
      <c r="I582" s="79" t="s">
        <v>428</v>
      </c>
    </row>
    <row r="583" spans="1:9" ht="15.75" hidden="1" customHeight="1">
      <c r="A583" s="64"/>
      <c r="B583" s="66"/>
      <c r="C583" s="66"/>
      <c r="D583" s="66"/>
      <c r="E583" s="24" t="s">
        <v>143</v>
      </c>
      <c r="F583" s="24"/>
      <c r="G583" s="25">
        <v>0</v>
      </c>
      <c r="H583" s="2"/>
    </row>
    <row r="584" spans="1:9" ht="15.75" customHeight="1">
      <c r="A584" s="130" t="s">
        <v>140</v>
      </c>
      <c r="B584" s="34">
        <v>45792</v>
      </c>
      <c r="C584" s="35">
        <v>0</v>
      </c>
      <c r="D584" s="35">
        <v>14138</v>
      </c>
      <c r="E584" s="68" t="s">
        <v>141</v>
      </c>
      <c r="F584" s="69">
        <v>202505140000106</v>
      </c>
      <c r="G584" s="70">
        <v>1668.08</v>
      </c>
      <c r="H584" s="2">
        <v>3308</v>
      </c>
      <c r="I584" s="79" t="s">
        <v>428</v>
      </c>
    </row>
    <row r="585" spans="1:9" ht="15.75" hidden="1" customHeight="1">
      <c r="A585" s="64"/>
      <c r="B585" s="71"/>
      <c r="C585" s="71"/>
      <c r="D585" s="71"/>
      <c r="E585" s="13" t="s">
        <v>143</v>
      </c>
      <c r="F585" s="13"/>
      <c r="G585" s="30">
        <v>0</v>
      </c>
      <c r="H585" s="2"/>
    </row>
    <row r="586" spans="1:9" ht="15.75" customHeight="1">
      <c r="A586" s="130" t="s">
        <v>140</v>
      </c>
      <c r="B586" s="41">
        <v>45792</v>
      </c>
      <c r="C586" s="42">
        <v>0</v>
      </c>
      <c r="D586" s="42">
        <v>14138</v>
      </c>
      <c r="E586" s="73" t="s">
        <v>141</v>
      </c>
      <c r="F586" s="74">
        <v>202505140000107</v>
      </c>
      <c r="G586" s="75">
        <v>2031.57</v>
      </c>
      <c r="H586" s="2">
        <v>3453</v>
      </c>
      <c r="I586" s="79" t="s">
        <v>428</v>
      </c>
    </row>
    <row r="587" spans="1:9" ht="15.75" hidden="1" customHeight="1">
      <c r="A587" s="64"/>
      <c r="B587" s="66"/>
      <c r="C587" s="66"/>
      <c r="D587" s="66"/>
      <c r="E587" s="24" t="s">
        <v>143</v>
      </c>
      <c r="F587" s="24"/>
      <c r="G587" s="25">
        <v>0</v>
      </c>
      <c r="H587" s="2"/>
    </row>
    <row r="588" spans="1:9" ht="15.75" customHeight="1">
      <c r="A588" s="130" t="s">
        <v>140</v>
      </c>
      <c r="B588" s="34">
        <v>45792</v>
      </c>
      <c r="C588" s="35">
        <v>0</v>
      </c>
      <c r="D588" s="35">
        <v>14138</v>
      </c>
      <c r="E588" s="68" t="s">
        <v>141</v>
      </c>
      <c r="F588" s="69">
        <v>202505140002173</v>
      </c>
      <c r="G588" s="70">
        <v>18752.95</v>
      </c>
      <c r="H588" s="2">
        <v>3518</v>
      </c>
      <c r="I588" s="79" t="s">
        <v>428</v>
      </c>
    </row>
    <row r="589" spans="1:9" ht="15.75" hidden="1" customHeight="1">
      <c r="A589" s="64"/>
      <c r="B589" s="71"/>
      <c r="C589" s="71"/>
      <c r="D589" s="71"/>
      <c r="E589" s="13" t="s">
        <v>143</v>
      </c>
      <c r="F589" s="13"/>
      <c r="G589" s="30">
        <v>0</v>
      </c>
      <c r="H589" s="2"/>
    </row>
    <row r="590" spans="1:9" ht="15.75" customHeight="1">
      <c r="A590" s="130" t="s">
        <v>140</v>
      </c>
      <c r="B590" s="41">
        <v>45792</v>
      </c>
      <c r="C590" s="42">
        <v>0</v>
      </c>
      <c r="D590" s="42">
        <v>14138</v>
      </c>
      <c r="E590" s="73" t="s">
        <v>141</v>
      </c>
      <c r="F590" s="74">
        <v>202505140002175</v>
      </c>
      <c r="G590" s="75">
        <v>37505.910000000003</v>
      </c>
      <c r="H590" s="2">
        <v>3519</v>
      </c>
      <c r="I590" s="79" t="s">
        <v>428</v>
      </c>
    </row>
    <row r="591" spans="1:9" ht="15.75" hidden="1" customHeight="1">
      <c r="A591" s="64"/>
      <c r="B591" s="66"/>
      <c r="C591" s="66"/>
      <c r="D591" s="66"/>
      <c r="E591" s="24" t="s">
        <v>143</v>
      </c>
      <c r="F591" s="24"/>
      <c r="G591" s="25">
        <v>0</v>
      </c>
      <c r="H591" s="2"/>
    </row>
    <row r="592" spans="1:9" ht="15.75" customHeight="1">
      <c r="A592" s="130" t="s">
        <v>140</v>
      </c>
      <c r="B592" s="34">
        <v>45792</v>
      </c>
      <c r="C592" s="35">
        <v>0</v>
      </c>
      <c r="D592" s="35">
        <v>14138</v>
      </c>
      <c r="E592" s="68" t="s">
        <v>141</v>
      </c>
      <c r="F592" s="69">
        <v>202505140002177</v>
      </c>
      <c r="G592" s="70">
        <v>18039.400000000001</v>
      </c>
      <c r="H592" s="2">
        <v>3519</v>
      </c>
      <c r="I592" s="79" t="s">
        <v>428</v>
      </c>
    </row>
    <row r="593" spans="1:8" ht="15.75" hidden="1" customHeight="1">
      <c r="A593" s="64"/>
      <c r="B593" s="71"/>
      <c r="C593" s="71"/>
      <c r="D593" s="71"/>
      <c r="E593" s="13" t="s">
        <v>143</v>
      </c>
      <c r="F593" s="13"/>
      <c r="G593" s="30">
        <v>0</v>
      </c>
      <c r="H593" s="2"/>
    </row>
    <row r="594" spans="1:8" ht="15.75" hidden="1" customHeight="1">
      <c r="A594" s="64"/>
      <c r="B594" s="17">
        <v>45792</v>
      </c>
      <c r="C594" s="18">
        <v>0</v>
      </c>
      <c r="D594" s="18">
        <v>14397</v>
      </c>
      <c r="E594" s="65" t="s">
        <v>57</v>
      </c>
      <c r="F594" s="20">
        <v>473326623626211</v>
      </c>
      <c r="G594" s="21">
        <v>496.03</v>
      </c>
      <c r="H594" s="2"/>
    </row>
    <row r="595" spans="1:8" ht="9.75" hidden="1" customHeight="1">
      <c r="A595" s="64"/>
      <c r="B595" s="66"/>
      <c r="C595" s="66"/>
      <c r="D595" s="66"/>
      <c r="E595" s="24" t="s">
        <v>606</v>
      </c>
      <c r="F595" s="24"/>
      <c r="G595" s="25">
        <v>0</v>
      </c>
      <c r="H595" s="2"/>
    </row>
    <row r="596" spans="1:8" ht="21" hidden="1" customHeight="1">
      <c r="A596" s="64"/>
      <c r="B596" s="11">
        <v>45792</v>
      </c>
      <c r="C596" s="12">
        <v>0</v>
      </c>
      <c r="D596" s="12">
        <v>14397</v>
      </c>
      <c r="E596" s="76" t="s">
        <v>57</v>
      </c>
      <c r="F596" s="27">
        <v>473328234086881</v>
      </c>
      <c r="G596" s="15">
        <v>460.96</v>
      </c>
      <c r="H596" s="2"/>
    </row>
    <row r="597" spans="1:8" ht="28.5" hidden="1" customHeight="1">
      <c r="A597" s="64"/>
      <c r="B597" s="71"/>
      <c r="C597" s="71"/>
      <c r="D597" s="71"/>
      <c r="E597" s="13" t="s">
        <v>607</v>
      </c>
      <c r="F597" s="13"/>
      <c r="G597" s="30">
        <v>0</v>
      </c>
      <c r="H597" s="2"/>
    </row>
    <row r="598" spans="1:8" ht="15.75" hidden="1" customHeight="1">
      <c r="A598" s="64"/>
      <c r="B598" s="17">
        <v>45792</v>
      </c>
      <c r="C598" s="18">
        <v>0</v>
      </c>
      <c r="D598" s="18">
        <v>14397</v>
      </c>
      <c r="E598" s="65" t="s">
        <v>57</v>
      </c>
      <c r="F598" s="20">
        <v>473329162265951</v>
      </c>
      <c r="G598" s="21">
        <v>496.04</v>
      </c>
      <c r="H598" s="2"/>
    </row>
    <row r="599" spans="1:8" ht="28.5" hidden="1" customHeight="1">
      <c r="A599" s="64"/>
      <c r="B599" s="66"/>
      <c r="C599" s="66"/>
      <c r="D599" s="66"/>
      <c r="E599" s="24" t="s">
        <v>608</v>
      </c>
      <c r="F599" s="24"/>
      <c r="G599" s="25">
        <v>0</v>
      </c>
      <c r="H599" s="2"/>
    </row>
    <row r="600" spans="1:8" ht="15.75" hidden="1" customHeight="1">
      <c r="A600" s="64"/>
      <c r="B600" s="11">
        <v>45792</v>
      </c>
      <c r="C600" s="12">
        <v>1533</v>
      </c>
      <c r="D600" s="12">
        <v>99008</v>
      </c>
      <c r="E600" s="76" t="s">
        <v>29</v>
      </c>
      <c r="F600" s="27">
        <v>484338</v>
      </c>
      <c r="G600" s="28">
        <v>204.5</v>
      </c>
      <c r="H600" s="2"/>
    </row>
    <row r="601" spans="1:8" ht="15.75" hidden="1" customHeight="1">
      <c r="A601" s="64"/>
      <c r="B601" s="71"/>
      <c r="C601" s="71"/>
      <c r="D601" s="71"/>
      <c r="E601" s="13" t="s">
        <v>609</v>
      </c>
      <c r="F601" s="13"/>
      <c r="G601" s="30">
        <v>0</v>
      </c>
      <c r="H601" s="2"/>
    </row>
    <row r="602" spans="1:8" ht="15.75" hidden="1" customHeight="1">
      <c r="A602" s="64"/>
      <c r="B602" s="17">
        <v>45792</v>
      </c>
      <c r="C602" s="18">
        <v>1533</v>
      </c>
      <c r="D602" s="18">
        <v>99008</v>
      </c>
      <c r="E602" s="65" t="s">
        <v>29</v>
      </c>
      <c r="F602" s="20">
        <v>670490</v>
      </c>
      <c r="G602" s="31">
        <v>268.68</v>
      </c>
      <c r="H602" s="2"/>
    </row>
    <row r="603" spans="1:8" ht="15.75" hidden="1" customHeight="1">
      <c r="A603" s="64"/>
      <c r="B603" s="66"/>
      <c r="C603" s="66"/>
      <c r="D603" s="66"/>
      <c r="E603" s="24" t="s">
        <v>610</v>
      </c>
      <c r="F603" s="24"/>
      <c r="G603" s="25">
        <v>0</v>
      </c>
      <c r="H603" s="2"/>
    </row>
    <row r="604" spans="1:8" ht="15.75" hidden="1" customHeight="1">
      <c r="A604" s="64"/>
      <c r="B604" s="11">
        <v>45792</v>
      </c>
      <c r="C604" s="12">
        <v>0</v>
      </c>
      <c r="D604" s="12">
        <v>13105</v>
      </c>
      <c r="E604" s="76" t="s">
        <v>611</v>
      </c>
      <c r="F604" s="27">
        <v>51501</v>
      </c>
      <c r="G604" s="28">
        <v>47200</v>
      </c>
      <c r="H604" s="2"/>
    </row>
    <row r="605" spans="1:8" ht="28.5" hidden="1" customHeight="1">
      <c r="A605" s="64"/>
      <c r="B605" s="71"/>
      <c r="C605" s="71"/>
      <c r="D605" s="71"/>
      <c r="E605" s="13" t="s">
        <v>612</v>
      </c>
      <c r="F605" s="13"/>
      <c r="G605" s="30">
        <v>0</v>
      </c>
      <c r="H605" s="2"/>
    </row>
    <row r="606" spans="1:8" ht="15.75" hidden="1" customHeight="1">
      <c r="A606" s="64"/>
      <c r="B606" s="17">
        <v>45792</v>
      </c>
      <c r="C606" s="18">
        <v>0</v>
      </c>
      <c r="D606" s="18">
        <v>13105</v>
      </c>
      <c r="E606" s="65" t="s">
        <v>80</v>
      </c>
      <c r="F606" s="20">
        <v>51502</v>
      </c>
      <c r="G606" s="31">
        <v>16051.5</v>
      </c>
      <c r="H606" s="2"/>
    </row>
    <row r="607" spans="1:8" ht="15.75" hidden="1" customHeight="1">
      <c r="A607" s="64"/>
      <c r="B607" s="66"/>
      <c r="C607" s="66"/>
      <c r="D607" s="66"/>
      <c r="E607" s="24" t="s">
        <v>81</v>
      </c>
      <c r="F607" s="24"/>
      <c r="G607" s="25">
        <v>0</v>
      </c>
      <c r="H607" s="2"/>
    </row>
    <row r="608" spans="1:8" ht="15.75" hidden="1" customHeight="1">
      <c r="A608" s="64"/>
      <c r="B608" s="11">
        <v>45792</v>
      </c>
      <c r="C608" s="12">
        <v>0</v>
      </c>
      <c r="D608" s="12">
        <v>13105</v>
      </c>
      <c r="E608" s="76" t="s">
        <v>80</v>
      </c>
      <c r="F608" s="27">
        <v>51503</v>
      </c>
      <c r="G608" s="28">
        <v>9396.7900000000009</v>
      </c>
      <c r="H608" s="2"/>
    </row>
    <row r="609" spans="1:8" ht="15.75" hidden="1" customHeight="1">
      <c r="A609" s="64"/>
      <c r="B609" s="71"/>
      <c r="C609" s="71"/>
      <c r="D609" s="71"/>
      <c r="E609" s="13" t="s">
        <v>154</v>
      </c>
      <c r="F609" s="13"/>
      <c r="G609" s="30">
        <v>0</v>
      </c>
      <c r="H609" s="2"/>
    </row>
    <row r="610" spans="1:8" ht="15.75" hidden="1" customHeight="1">
      <c r="A610" s="64"/>
      <c r="B610" s="17">
        <v>45792</v>
      </c>
      <c r="C610" s="18">
        <v>0</v>
      </c>
      <c r="D610" s="18">
        <v>13105</v>
      </c>
      <c r="E610" s="65" t="s">
        <v>80</v>
      </c>
      <c r="F610" s="20">
        <v>51504</v>
      </c>
      <c r="G610" s="31">
        <v>1204.1099999999999</v>
      </c>
      <c r="H610" s="2"/>
    </row>
    <row r="611" spans="1:8" ht="15.75" hidden="1" customHeight="1">
      <c r="A611" s="64"/>
      <c r="B611" s="66"/>
      <c r="C611" s="66"/>
      <c r="D611" s="66"/>
      <c r="E611" s="24" t="s">
        <v>154</v>
      </c>
      <c r="F611" s="24"/>
      <c r="G611" s="25">
        <v>0</v>
      </c>
      <c r="H611" s="2"/>
    </row>
    <row r="612" spans="1:8" ht="15.75" hidden="1" customHeight="1">
      <c r="A612" s="64"/>
      <c r="B612" s="11">
        <v>45792</v>
      </c>
      <c r="C612" s="12">
        <v>0</v>
      </c>
      <c r="D612" s="12">
        <v>13105</v>
      </c>
      <c r="E612" s="76" t="s">
        <v>80</v>
      </c>
      <c r="F612" s="27">
        <v>51505</v>
      </c>
      <c r="G612" s="28">
        <v>5557.45</v>
      </c>
      <c r="H612" s="2"/>
    </row>
    <row r="613" spans="1:8" ht="15.75" hidden="1" customHeight="1">
      <c r="A613" s="64"/>
      <c r="B613" s="71"/>
      <c r="C613" s="71"/>
      <c r="D613" s="71"/>
      <c r="E613" s="13" t="s">
        <v>154</v>
      </c>
      <c r="F613" s="13"/>
      <c r="G613" s="30">
        <v>0</v>
      </c>
      <c r="H613" s="2"/>
    </row>
    <row r="614" spans="1:8" ht="15.75" hidden="1" customHeight="1">
      <c r="A614" s="64"/>
      <c r="B614" s="17">
        <v>45792</v>
      </c>
      <c r="C614" s="18">
        <v>0</v>
      </c>
      <c r="D614" s="18">
        <v>13105</v>
      </c>
      <c r="E614" s="65" t="s">
        <v>80</v>
      </c>
      <c r="F614" s="20">
        <v>51506</v>
      </c>
      <c r="G614" s="31">
        <v>278.37</v>
      </c>
      <c r="H614" s="2"/>
    </row>
    <row r="615" spans="1:8" ht="15.75" hidden="1" customHeight="1">
      <c r="A615" s="64"/>
      <c r="B615" s="66"/>
      <c r="C615" s="66"/>
      <c r="D615" s="66"/>
      <c r="E615" s="24" t="s">
        <v>613</v>
      </c>
      <c r="F615" s="24"/>
      <c r="G615" s="25">
        <v>0</v>
      </c>
      <c r="H615" s="2"/>
    </row>
    <row r="616" spans="1:8" ht="15.75" hidden="1" customHeight="1">
      <c r="A616" s="64"/>
      <c r="B616" s="11">
        <v>45792</v>
      </c>
      <c r="C616" s="12">
        <v>0</v>
      </c>
      <c r="D616" s="12">
        <v>13105</v>
      </c>
      <c r="E616" s="76" t="s">
        <v>31</v>
      </c>
      <c r="F616" s="27">
        <v>51507</v>
      </c>
      <c r="G616" s="28">
        <v>273.19</v>
      </c>
      <c r="H616" s="2"/>
    </row>
    <row r="617" spans="1:8" ht="28.5" hidden="1" customHeight="1">
      <c r="A617" s="64"/>
      <c r="B617" s="71"/>
      <c r="C617" s="71"/>
      <c r="D617" s="71"/>
      <c r="E617" s="13" t="s">
        <v>614</v>
      </c>
      <c r="F617" s="13"/>
      <c r="G617" s="30">
        <v>0</v>
      </c>
      <c r="H617" s="2"/>
    </row>
    <row r="618" spans="1:8" ht="15.75" hidden="1" customHeight="1">
      <c r="A618" s="64"/>
      <c r="B618" s="17">
        <v>45792</v>
      </c>
      <c r="C618" s="18">
        <v>0</v>
      </c>
      <c r="D618" s="18">
        <v>13105</v>
      </c>
      <c r="E618" s="65" t="s">
        <v>31</v>
      </c>
      <c r="F618" s="20">
        <v>51508</v>
      </c>
      <c r="G618" s="31">
        <v>273.19</v>
      </c>
      <c r="H618" s="2"/>
    </row>
    <row r="619" spans="1:8" ht="28.5" hidden="1" customHeight="1">
      <c r="A619" s="64"/>
      <c r="B619" s="66"/>
      <c r="C619" s="66"/>
      <c r="D619" s="66"/>
      <c r="E619" s="24" t="s">
        <v>614</v>
      </c>
      <c r="F619" s="24"/>
      <c r="G619" s="25">
        <v>0</v>
      </c>
      <c r="H619" s="2"/>
    </row>
    <row r="620" spans="1:8" ht="15.75" hidden="1" customHeight="1">
      <c r="A620" s="64"/>
      <c r="B620" s="11">
        <v>45792</v>
      </c>
      <c r="C620" s="12">
        <v>0</v>
      </c>
      <c r="D620" s="12">
        <v>13105</v>
      </c>
      <c r="E620" s="76" t="s">
        <v>31</v>
      </c>
      <c r="F620" s="27">
        <v>51509</v>
      </c>
      <c r="G620" s="28">
        <v>2530</v>
      </c>
      <c r="H620" s="2"/>
    </row>
    <row r="621" spans="1:8" ht="28.5" hidden="1" customHeight="1">
      <c r="A621" s="64"/>
      <c r="B621" s="71"/>
      <c r="C621" s="71"/>
      <c r="D621" s="71"/>
      <c r="E621" s="13" t="s">
        <v>615</v>
      </c>
      <c r="F621" s="13"/>
      <c r="G621" s="30">
        <v>0</v>
      </c>
      <c r="H621" s="2"/>
    </row>
    <row r="622" spans="1:8" ht="15.75" hidden="1" customHeight="1">
      <c r="A622" s="64"/>
      <c r="B622" s="17">
        <v>45792</v>
      </c>
      <c r="C622" s="18">
        <v>0</v>
      </c>
      <c r="D622" s="18">
        <v>13105</v>
      </c>
      <c r="E622" s="65" t="s">
        <v>31</v>
      </c>
      <c r="F622" s="20">
        <v>51510</v>
      </c>
      <c r="G622" s="31">
        <v>371.1</v>
      </c>
      <c r="H622" s="2"/>
    </row>
    <row r="623" spans="1:8" ht="15.75" hidden="1" customHeight="1">
      <c r="A623" s="64"/>
      <c r="B623" s="66"/>
      <c r="C623" s="66"/>
      <c r="D623" s="66"/>
      <c r="E623" s="24" t="s">
        <v>183</v>
      </c>
      <c r="F623" s="24"/>
      <c r="G623" s="25">
        <v>0</v>
      </c>
      <c r="H623" s="2"/>
    </row>
    <row r="624" spans="1:8" ht="15.75" hidden="1" customHeight="1">
      <c r="A624" s="64"/>
      <c r="B624" s="11">
        <v>45792</v>
      </c>
      <c r="C624" s="12">
        <v>0</v>
      </c>
      <c r="D624" s="12">
        <v>13105</v>
      </c>
      <c r="E624" s="76" t="s">
        <v>31</v>
      </c>
      <c r="F624" s="27">
        <v>51511</v>
      </c>
      <c r="G624" s="28">
        <v>189.9</v>
      </c>
      <c r="H624" s="2"/>
    </row>
    <row r="625" spans="1:8" ht="15.75" hidden="1" customHeight="1">
      <c r="A625" s="64"/>
      <c r="B625" s="71"/>
      <c r="C625" s="71"/>
      <c r="D625" s="71"/>
      <c r="E625" s="13" t="s">
        <v>266</v>
      </c>
      <c r="F625" s="13"/>
      <c r="G625" s="30">
        <v>0</v>
      </c>
      <c r="H625" s="2"/>
    </row>
    <row r="626" spans="1:8" ht="15.75" hidden="1" customHeight="1">
      <c r="A626" s="64"/>
      <c r="B626" s="17">
        <v>45792</v>
      </c>
      <c r="C626" s="18">
        <v>0</v>
      </c>
      <c r="D626" s="18">
        <v>13105</v>
      </c>
      <c r="E626" s="65" t="s">
        <v>31</v>
      </c>
      <c r="F626" s="20">
        <v>51512</v>
      </c>
      <c r="G626" s="31">
        <v>999.75</v>
      </c>
      <c r="H626" s="2"/>
    </row>
    <row r="627" spans="1:8" ht="28.5" hidden="1" customHeight="1">
      <c r="A627" s="64"/>
      <c r="B627" s="66"/>
      <c r="C627" s="66"/>
      <c r="D627" s="66"/>
      <c r="E627" s="24" t="s">
        <v>40</v>
      </c>
      <c r="F627" s="24"/>
      <c r="G627" s="25">
        <v>0</v>
      </c>
      <c r="H627" s="2"/>
    </row>
    <row r="628" spans="1:8" ht="15.75" hidden="1" customHeight="1">
      <c r="A628" s="64"/>
      <c r="B628" s="11">
        <v>45792</v>
      </c>
      <c r="C628" s="12">
        <v>0</v>
      </c>
      <c r="D628" s="12">
        <v>13105</v>
      </c>
      <c r="E628" s="76" t="s">
        <v>80</v>
      </c>
      <c r="F628" s="27">
        <v>51513</v>
      </c>
      <c r="G628" s="28">
        <v>238.71</v>
      </c>
      <c r="H628" s="2"/>
    </row>
    <row r="629" spans="1:8" ht="15.75" hidden="1" customHeight="1">
      <c r="A629" s="64"/>
      <c r="B629" s="71"/>
      <c r="C629" s="71"/>
      <c r="D629" s="71"/>
      <c r="E629" s="13" t="s">
        <v>613</v>
      </c>
      <c r="F629" s="13"/>
      <c r="G629" s="30">
        <v>0</v>
      </c>
      <c r="H629" s="2"/>
    </row>
    <row r="630" spans="1:8" ht="15.75" hidden="1" customHeight="1">
      <c r="A630" s="64"/>
      <c r="B630" s="17">
        <v>45792</v>
      </c>
      <c r="C630" s="18">
        <v>0</v>
      </c>
      <c r="D630" s="18">
        <v>13105</v>
      </c>
      <c r="E630" s="65" t="s">
        <v>31</v>
      </c>
      <c r="F630" s="20">
        <v>51514</v>
      </c>
      <c r="G630" s="31">
        <v>3850</v>
      </c>
      <c r="H630" s="2"/>
    </row>
    <row r="631" spans="1:8" ht="15.75" hidden="1" customHeight="1">
      <c r="A631" s="64"/>
      <c r="B631" s="66"/>
      <c r="C631" s="66"/>
      <c r="D631" s="66"/>
      <c r="E631" s="24" t="s">
        <v>173</v>
      </c>
      <c r="F631" s="24"/>
      <c r="G631" s="25">
        <v>0</v>
      </c>
      <c r="H631" s="2"/>
    </row>
    <row r="632" spans="1:8" ht="15.75" hidden="1" customHeight="1">
      <c r="A632" s="64"/>
      <c r="B632" s="11">
        <v>45792</v>
      </c>
      <c r="C632" s="12">
        <v>0</v>
      </c>
      <c r="D632" s="12">
        <v>13105</v>
      </c>
      <c r="E632" s="76" t="s">
        <v>31</v>
      </c>
      <c r="F632" s="27">
        <v>51515</v>
      </c>
      <c r="G632" s="28">
        <v>309.99</v>
      </c>
      <c r="H632" s="2"/>
    </row>
    <row r="633" spans="1:8" ht="15.75" hidden="1" customHeight="1">
      <c r="A633" s="64"/>
      <c r="B633" s="71"/>
      <c r="C633" s="71"/>
      <c r="D633" s="71"/>
      <c r="E633" s="13" t="s">
        <v>440</v>
      </c>
      <c r="F633" s="13"/>
      <c r="G633" s="30">
        <v>0</v>
      </c>
      <c r="H633" s="2"/>
    </row>
    <row r="634" spans="1:8" ht="15.75" hidden="1" customHeight="1">
      <c r="A634" s="64"/>
      <c r="B634" s="17">
        <v>45792</v>
      </c>
      <c r="C634" s="18">
        <v>0</v>
      </c>
      <c r="D634" s="18">
        <v>13105</v>
      </c>
      <c r="E634" s="65" t="s">
        <v>118</v>
      </c>
      <c r="F634" s="20">
        <v>51516</v>
      </c>
      <c r="G634" s="31">
        <v>1008.96</v>
      </c>
      <c r="H634" s="2"/>
    </row>
    <row r="635" spans="1:8" ht="28.5" hidden="1" customHeight="1">
      <c r="A635" s="64"/>
      <c r="B635" s="66"/>
      <c r="C635" s="66"/>
      <c r="D635" s="66"/>
      <c r="E635" s="24" t="s">
        <v>616</v>
      </c>
      <c r="F635" s="24"/>
      <c r="G635" s="25">
        <v>0</v>
      </c>
      <c r="H635" s="2"/>
    </row>
    <row r="636" spans="1:8" ht="15.75" hidden="1" customHeight="1">
      <c r="A636" s="64"/>
      <c r="B636" s="11">
        <v>45792</v>
      </c>
      <c r="C636" s="12">
        <v>0</v>
      </c>
      <c r="D636" s="12">
        <v>13105</v>
      </c>
      <c r="E636" s="76" t="s">
        <v>31</v>
      </c>
      <c r="F636" s="27">
        <v>51517</v>
      </c>
      <c r="G636" s="28">
        <v>452.59</v>
      </c>
      <c r="H636" s="2"/>
    </row>
    <row r="637" spans="1:8" ht="15.75" hidden="1" customHeight="1">
      <c r="A637" s="64"/>
      <c r="B637" s="71"/>
      <c r="C637" s="71"/>
      <c r="D637" s="71"/>
      <c r="E637" s="13" t="s">
        <v>46</v>
      </c>
      <c r="F637" s="13"/>
      <c r="G637" s="30">
        <v>0</v>
      </c>
      <c r="H637" s="2"/>
    </row>
    <row r="638" spans="1:8" ht="15.75" hidden="1" customHeight="1">
      <c r="A638" s="64"/>
      <c r="B638" s="17">
        <v>45792</v>
      </c>
      <c r="C638" s="18">
        <v>0</v>
      </c>
      <c r="D638" s="18">
        <v>13105</v>
      </c>
      <c r="E638" s="65" t="s">
        <v>123</v>
      </c>
      <c r="F638" s="20">
        <v>51518</v>
      </c>
      <c r="G638" s="31">
        <v>123.45</v>
      </c>
      <c r="H638" s="2"/>
    </row>
    <row r="639" spans="1:8" ht="15.75" hidden="1" customHeight="1">
      <c r="A639" s="64"/>
      <c r="B639" s="66"/>
      <c r="C639" s="66"/>
      <c r="D639" s="66"/>
      <c r="E639" s="24" t="s">
        <v>124</v>
      </c>
      <c r="F639" s="24"/>
      <c r="G639" s="25">
        <v>0</v>
      </c>
      <c r="H639" s="2"/>
    </row>
    <row r="640" spans="1:8" ht="15.75" hidden="1" customHeight="1">
      <c r="A640" s="64"/>
      <c r="B640" s="11">
        <v>45792</v>
      </c>
      <c r="C640" s="12">
        <v>0</v>
      </c>
      <c r="D640" s="12">
        <v>13105</v>
      </c>
      <c r="E640" s="76" t="s">
        <v>123</v>
      </c>
      <c r="F640" s="27">
        <v>51519</v>
      </c>
      <c r="G640" s="28">
        <v>161.76</v>
      </c>
      <c r="H640" s="2"/>
    </row>
    <row r="641" spans="1:8" ht="15.75" hidden="1" customHeight="1">
      <c r="A641" s="64"/>
      <c r="B641" s="71"/>
      <c r="C641" s="71"/>
      <c r="D641" s="71"/>
      <c r="E641" s="13" t="s">
        <v>124</v>
      </c>
      <c r="F641" s="13"/>
      <c r="G641" s="30">
        <v>0</v>
      </c>
      <c r="H641" s="2"/>
    </row>
    <row r="642" spans="1:8" ht="15.75" hidden="1" customHeight="1">
      <c r="A642" s="64"/>
      <c r="B642" s="17">
        <v>45792</v>
      </c>
      <c r="C642" s="18">
        <v>0</v>
      </c>
      <c r="D642" s="18">
        <v>13105</v>
      </c>
      <c r="E642" s="65" t="s">
        <v>123</v>
      </c>
      <c r="F642" s="20">
        <v>51520</v>
      </c>
      <c r="G642" s="31">
        <v>161.76</v>
      </c>
      <c r="H642" s="2"/>
    </row>
    <row r="643" spans="1:8" ht="15.75" hidden="1" customHeight="1">
      <c r="A643" s="64"/>
      <c r="B643" s="66"/>
      <c r="C643" s="66"/>
      <c r="D643" s="66"/>
      <c r="E643" s="24" t="s">
        <v>124</v>
      </c>
      <c r="F643" s="24"/>
      <c r="G643" s="25">
        <v>0</v>
      </c>
      <c r="H643" s="2"/>
    </row>
    <row r="644" spans="1:8" ht="15.75" hidden="1" customHeight="1">
      <c r="A644" s="64"/>
      <c r="B644" s="11">
        <v>45792</v>
      </c>
      <c r="C644" s="12">
        <v>0</v>
      </c>
      <c r="D644" s="12">
        <v>13105</v>
      </c>
      <c r="E644" s="76" t="s">
        <v>31</v>
      </c>
      <c r="F644" s="27">
        <v>51521</v>
      </c>
      <c r="G644" s="28">
        <v>256.27999999999997</v>
      </c>
      <c r="H644" s="2"/>
    </row>
    <row r="645" spans="1:8" ht="15.75" hidden="1" customHeight="1">
      <c r="A645" s="64"/>
      <c r="B645" s="71"/>
      <c r="C645" s="71"/>
      <c r="D645" s="71"/>
      <c r="E645" s="13" t="s">
        <v>111</v>
      </c>
      <c r="F645" s="13"/>
      <c r="G645" s="30">
        <v>0</v>
      </c>
      <c r="H645" s="2"/>
    </row>
    <row r="646" spans="1:8" ht="15.75" hidden="1" customHeight="1">
      <c r="A646" s="64"/>
      <c r="B646" s="17">
        <v>45792</v>
      </c>
      <c r="C646" s="18">
        <v>0</v>
      </c>
      <c r="D646" s="18">
        <v>13105</v>
      </c>
      <c r="E646" s="65" t="s">
        <v>31</v>
      </c>
      <c r="F646" s="20">
        <v>51522</v>
      </c>
      <c r="G646" s="31">
        <v>1275</v>
      </c>
      <c r="H646" s="2"/>
    </row>
    <row r="647" spans="1:8" ht="15.75" hidden="1" customHeight="1">
      <c r="A647" s="64"/>
      <c r="B647" s="66"/>
      <c r="C647" s="66"/>
      <c r="D647" s="66"/>
      <c r="E647" s="24" t="s">
        <v>109</v>
      </c>
      <c r="F647" s="24"/>
      <c r="G647" s="25">
        <v>0</v>
      </c>
      <c r="H647" s="2"/>
    </row>
    <row r="648" spans="1:8" ht="15.75" hidden="1" customHeight="1">
      <c r="A648" s="64"/>
      <c r="B648" s="11">
        <v>45792</v>
      </c>
      <c r="C648" s="12">
        <v>0</v>
      </c>
      <c r="D648" s="12">
        <v>13105</v>
      </c>
      <c r="E648" s="76" t="s">
        <v>31</v>
      </c>
      <c r="F648" s="27">
        <v>51523</v>
      </c>
      <c r="G648" s="28">
        <v>1537.7</v>
      </c>
      <c r="H648" s="2"/>
    </row>
    <row r="649" spans="1:8" ht="15.75" hidden="1" customHeight="1">
      <c r="A649" s="64"/>
      <c r="B649" s="71"/>
      <c r="C649" s="71"/>
      <c r="D649" s="71"/>
      <c r="E649" s="13" t="s">
        <v>66</v>
      </c>
      <c r="F649" s="13"/>
      <c r="G649" s="30">
        <v>0</v>
      </c>
      <c r="H649" s="2"/>
    </row>
    <row r="650" spans="1:8" ht="15.75" hidden="1" customHeight="1">
      <c r="A650" s="64"/>
      <c r="B650" s="17">
        <v>45792</v>
      </c>
      <c r="C650" s="18">
        <v>0</v>
      </c>
      <c r="D650" s="18">
        <v>13105</v>
      </c>
      <c r="E650" s="65" t="s">
        <v>31</v>
      </c>
      <c r="F650" s="20">
        <v>51524</v>
      </c>
      <c r="G650" s="31">
        <v>5067.67</v>
      </c>
      <c r="H650" s="2"/>
    </row>
    <row r="651" spans="1:8" ht="28.5" hidden="1" customHeight="1">
      <c r="A651" s="64"/>
      <c r="B651" s="66"/>
      <c r="C651" s="66"/>
      <c r="D651" s="66"/>
      <c r="E651" s="24" t="s">
        <v>32</v>
      </c>
      <c r="F651" s="24"/>
      <c r="G651" s="25">
        <v>0</v>
      </c>
      <c r="H651" s="2"/>
    </row>
    <row r="652" spans="1:8" ht="15.75" hidden="1" customHeight="1">
      <c r="A652" s="64"/>
      <c r="B652" s="11">
        <v>45792</v>
      </c>
      <c r="C652" s="12">
        <v>0</v>
      </c>
      <c r="D652" s="12">
        <v>13105</v>
      </c>
      <c r="E652" s="76" t="s">
        <v>31</v>
      </c>
      <c r="F652" s="27">
        <v>51525</v>
      </c>
      <c r="G652" s="28">
        <v>746.2</v>
      </c>
      <c r="H652" s="2"/>
    </row>
    <row r="653" spans="1:8" ht="15.75" hidden="1" customHeight="1">
      <c r="A653" s="64"/>
      <c r="B653" s="71"/>
      <c r="C653" s="71"/>
      <c r="D653" s="71"/>
      <c r="E653" s="13" t="s">
        <v>66</v>
      </c>
      <c r="F653" s="13"/>
      <c r="G653" s="30">
        <v>0</v>
      </c>
      <c r="H653" s="2"/>
    </row>
    <row r="654" spans="1:8" ht="15.75" hidden="1" customHeight="1">
      <c r="A654" s="64"/>
      <c r="B654" s="17">
        <v>45792</v>
      </c>
      <c r="C654" s="18">
        <v>0</v>
      </c>
      <c r="D654" s="18">
        <v>13105</v>
      </c>
      <c r="E654" s="65" t="s">
        <v>31</v>
      </c>
      <c r="F654" s="20">
        <v>51526</v>
      </c>
      <c r="G654" s="31">
        <v>858.9</v>
      </c>
      <c r="H654" s="2"/>
    </row>
    <row r="655" spans="1:8" ht="15.75" hidden="1" customHeight="1">
      <c r="A655" s="64"/>
      <c r="B655" s="66"/>
      <c r="C655" s="66"/>
      <c r="D655" s="66"/>
      <c r="E655" s="24" t="s">
        <v>617</v>
      </c>
      <c r="F655" s="24"/>
      <c r="G655" s="25">
        <v>0</v>
      </c>
      <c r="H655" s="2"/>
    </row>
    <row r="656" spans="1:8" ht="15.75" hidden="1" customHeight="1">
      <c r="A656" s="64"/>
      <c r="B656" s="11">
        <v>45792</v>
      </c>
      <c r="C656" s="12">
        <v>0</v>
      </c>
      <c r="D656" s="12">
        <v>13105</v>
      </c>
      <c r="E656" s="76" t="s">
        <v>31</v>
      </c>
      <c r="F656" s="27">
        <v>51527</v>
      </c>
      <c r="G656" s="28">
        <v>424</v>
      </c>
      <c r="H656" s="2"/>
    </row>
    <row r="657" spans="1:9" ht="15.75" hidden="1" customHeight="1">
      <c r="A657" s="64"/>
      <c r="B657" s="71"/>
      <c r="C657" s="71"/>
      <c r="D657" s="71"/>
      <c r="E657" s="13" t="s">
        <v>617</v>
      </c>
      <c r="F657" s="13"/>
      <c r="G657" s="30">
        <v>0</v>
      </c>
      <c r="H657" s="2"/>
    </row>
    <row r="658" spans="1:9" ht="15.75" hidden="1" customHeight="1">
      <c r="A658" s="64"/>
      <c r="B658" s="17">
        <v>45792</v>
      </c>
      <c r="C658" s="18">
        <v>0</v>
      </c>
      <c r="D658" s="18">
        <v>13105</v>
      </c>
      <c r="E658" s="65" t="s">
        <v>31</v>
      </c>
      <c r="F658" s="20">
        <v>51528</v>
      </c>
      <c r="G658" s="31">
        <v>1877.79</v>
      </c>
      <c r="H658" s="2"/>
    </row>
    <row r="659" spans="1:9" ht="15.75" hidden="1" customHeight="1">
      <c r="A659" s="64"/>
      <c r="B659" s="66"/>
      <c r="C659" s="66"/>
      <c r="D659" s="66"/>
      <c r="E659" s="24" t="s">
        <v>66</v>
      </c>
      <c r="F659" s="24"/>
      <c r="G659" s="25">
        <v>0</v>
      </c>
      <c r="H659" s="2"/>
    </row>
    <row r="660" spans="1:9" ht="15.75" hidden="1" customHeight="1">
      <c r="A660" s="64"/>
      <c r="B660" s="11">
        <v>45792</v>
      </c>
      <c r="C660" s="12">
        <v>0</v>
      </c>
      <c r="D660" s="12">
        <v>13113</v>
      </c>
      <c r="E660" s="76" t="s">
        <v>511</v>
      </c>
      <c r="F660" s="27">
        <v>831351100106050</v>
      </c>
      <c r="G660" s="28">
        <v>13</v>
      </c>
      <c r="H660" s="2"/>
    </row>
    <row r="661" spans="1:9" ht="15.75" hidden="1" customHeight="1">
      <c r="A661" s="64"/>
      <c r="B661" s="71"/>
      <c r="C661" s="71"/>
      <c r="D661" s="71"/>
      <c r="E661" s="13" t="s">
        <v>618</v>
      </c>
      <c r="F661" s="13"/>
      <c r="G661" s="30">
        <v>0</v>
      </c>
      <c r="H661" s="2"/>
    </row>
    <row r="662" spans="1:9" ht="15.75" hidden="1" customHeight="1">
      <c r="A662" s="64"/>
      <c r="B662" s="17">
        <v>45792</v>
      </c>
      <c r="C662" s="18">
        <v>0</v>
      </c>
      <c r="D662" s="18">
        <v>0</v>
      </c>
      <c r="E662" s="65" t="s">
        <v>52</v>
      </c>
      <c r="F662" s="20">
        <v>9903</v>
      </c>
      <c r="G662" s="21">
        <v>129.54</v>
      </c>
      <c r="H662" s="2"/>
    </row>
    <row r="663" spans="1:9" ht="15.75" hidden="1" customHeight="1">
      <c r="A663" s="64"/>
      <c r="B663" s="66"/>
      <c r="C663" s="66"/>
      <c r="D663" s="66"/>
      <c r="E663" s="24" t="s">
        <v>53</v>
      </c>
      <c r="F663" s="24"/>
      <c r="G663" s="25">
        <v>0</v>
      </c>
      <c r="H663" s="2"/>
    </row>
    <row r="664" spans="1:9" ht="15.75" hidden="1" customHeight="1">
      <c r="A664" s="64"/>
      <c r="B664" s="11">
        <v>45793</v>
      </c>
      <c r="C664" s="12">
        <v>0</v>
      </c>
      <c r="D664" s="12">
        <v>14175</v>
      </c>
      <c r="E664" s="76" t="s">
        <v>62</v>
      </c>
      <c r="F664" s="27">
        <v>381440454</v>
      </c>
      <c r="G664" s="15">
        <v>6000</v>
      </c>
      <c r="H664" s="2" t="s">
        <v>537</v>
      </c>
    </row>
    <row r="665" spans="1:9" ht="28.5" hidden="1" customHeight="1">
      <c r="A665" s="64"/>
      <c r="B665" s="71"/>
      <c r="C665" s="71"/>
      <c r="D665" s="71"/>
      <c r="E665" s="13" t="s">
        <v>97</v>
      </c>
      <c r="F665" s="13"/>
      <c r="G665" s="30">
        <v>0</v>
      </c>
      <c r="H665" s="2"/>
    </row>
    <row r="666" spans="1:9" ht="15.75" hidden="1" customHeight="1">
      <c r="A666" s="64"/>
      <c r="B666" s="17">
        <v>45793</v>
      </c>
      <c r="C666" s="18">
        <v>0</v>
      </c>
      <c r="D666" s="18">
        <v>14397</v>
      </c>
      <c r="E666" s="65" t="s">
        <v>57</v>
      </c>
      <c r="F666" s="20">
        <v>161455231057132</v>
      </c>
      <c r="G666" s="21">
        <v>500</v>
      </c>
      <c r="H666" s="2"/>
    </row>
    <row r="667" spans="1:9" ht="28.5" hidden="1" customHeight="1">
      <c r="A667" s="64"/>
      <c r="B667" s="66"/>
      <c r="C667" s="66"/>
      <c r="D667" s="66"/>
      <c r="E667" s="24" t="s">
        <v>619</v>
      </c>
      <c r="F667" s="24"/>
      <c r="G667" s="25">
        <v>0</v>
      </c>
      <c r="H667" s="2"/>
    </row>
    <row r="668" spans="1:9" ht="15.75" customHeight="1">
      <c r="A668" s="130" t="s">
        <v>140</v>
      </c>
      <c r="B668" s="34">
        <v>45793</v>
      </c>
      <c r="C668" s="35">
        <v>0</v>
      </c>
      <c r="D668" s="35">
        <v>14138</v>
      </c>
      <c r="E668" s="68" t="s">
        <v>141</v>
      </c>
      <c r="F668" s="69">
        <v>202505150021234</v>
      </c>
      <c r="G668" s="70">
        <v>2786.49</v>
      </c>
      <c r="H668" s="2" t="s">
        <v>620</v>
      </c>
      <c r="I668" s="79" t="s">
        <v>428</v>
      </c>
    </row>
    <row r="669" spans="1:9" ht="15.75" hidden="1" customHeight="1">
      <c r="A669" s="64"/>
      <c r="B669" s="71"/>
      <c r="C669" s="71"/>
      <c r="D669" s="71"/>
      <c r="E669" s="13" t="s">
        <v>143</v>
      </c>
      <c r="F669" s="13"/>
      <c r="G669" s="30">
        <v>0</v>
      </c>
      <c r="H669" s="2"/>
    </row>
    <row r="670" spans="1:9" ht="15.75" customHeight="1">
      <c r="A670" s="130" t="s">
        <v>140</v>
      </c>
      <c r="B670" s="41">
        <v>45793</v>
      </c>
      <c r="C670" s="42">
        <v>0</v>
      </c>
      <c r="D670" s="42">
        <v>14138</v>
      </c>
      <c r="E670" s="73" t="s">
        <v>141</v>
      </c>
      <c r="F670" s="74">
        <v>202505150021236</v>
      </c>
      <c r="G670" s="75">
        <v>2918.44</v>
      </c>
      <c r="H670" s="2" t="s">
        <v>621</v>
      </c>
      <c r="I670" s="79" t="s">
        <v>428</v>
      </c>
    </row>
    <row r="671" spans="1:9" ht="15.75" hidden="1" customHeight="1">
      <c r="A671" s="64"/>
      <c r="B671" s="66"/>
      <c r="C671" s="66"/>
      <c r="D671" s="66"/>
      <c r="E671" s="24" t="s">
        <v>143</v>
      </c>
      <c r="F671" s="24"/>
      <c r="G671" s="25">
        <v>0</v>
      </c>
      <c r="H671" s="2"/>
    </row>
    <row r="672" spans="1:9" ht="15.75" hidden="1" customHeight="1">
      <c r="A672" s="64"/>
      <c r="B672" s="11">
        <v>45793</v>
      </c>
      <c r="C672" s="12">
        <v>0</v>
      </c>
      <c r="D672" s="12">
        <v>13105</v>
      </c>
      <c r="E672" s="76" t="s">
        <v>31</v>
      </c>
      <c r="F672" s="27">
        <v>51601</v>
      </c>
      <c r="G672" s="28">
        <v>175.05</v>
      </c>
      <c r="H672" s="2"/>
    </row>
    <row r="673" spans="1:8" ht="15.75" hidden="1" customHeight="1">
      <c r="A673" s="64"/>
      <c r="B673" s="71"/>
      <c r="C673" s="71"/>
      <c r="D673" s="71"/>
      <c r="E673" s="13" t="s">
        <v>51</v>
      </c>
      <c r="F673" s="13"/>
      <c r="G673" s="30">
        <v>0</v>
      </c>
      <c r="H673" s="2"/>
    </row>
    <row r="674" spans="1:8" ht="15.75" hidden="1" customHeight="1">
      <c r="A674" s="64"/>
      <c r="B674" s="17">
        <v>45793</v>
      </c>
      <c r="C674" s="18">
        <v>0</v>
      </c>
      <c r="D674" s="18">
        <v>13105</v>
      </c>
      <c r="E674" s="65" t="s">
        <v>31</v>
      </c>
      <c r="F674" s="20">
        <v>51602</v>
      </c>
      <c r="G674" s="31">
        <v>2060.7800000000002</v>
      </c>
      <c r="H674" s="2"/>
    </row>
    <row r="675" spans="1:8" ht="15.75" hidden="1" customHeight="1">
      <c r="A675" s="64"/>
      <c r="B675" s="66"/>
      <c r="C675" s="66"/>
      <c r="D675" s="66"/>
      <c r="E675" s="24" t="s">
        <v>46</v>
      </c>
      <c r="F675" s="24"/>
      <c r="G675" s="25">
        <v>0</v>
      </c>
      <c r="H675" s="2"/>
    </row>
    <row r="676" spans="1:8" ht="15.75" hidden="1" customHeight="1">
      <c r="A676" s="64"/>
      <c r="B676" s="11">
        <v>45793</v>
      </c>
      <c r="C676" s="12">
        <v>0</v>
      </c>
      <c r="D676" s="12">
        <v>13105</v>
      </c>
      <c r="E676" s="76" t="s">
        <v>31</v>
      </c>
      <c r="F676" s="27">
        <v>51603</v>
      </c>
      <c r="G676" s="28">
        <v>205.67</v>
      </c>
      <c r="H676" s="2"/>
    </row>
    <row r="677" spans="1:8" ht="15.75" hidden="1" customHeight="1">
      <c r="A677" s="64"/>
      <c r="B677" s="71"/>
      <c r="C677" s="71"/>
      <c r="D677" s="71"/>
      <c r="E677" s="13" t="s">
        <v>111</v>
      </c>
      <c r="F677" s="13"/>
      <c r="G677" s="30">
        <v>0</v>
      </c>
      <c r="H677" s="2"/>
    </row>
    <row r="678" spans="1:8" ht="15.75" hidden="1" customHeight="1">
      <c r="A678" s="64"/>
      <c r="B678" s="17">
        <v>45793</v>
      </c>
      <c r="C678" s="18">
        <v>0</v>
      </c>
      <c r="D678" s="18">
        <v>13105</v>
      </c>
      <c r="E678" s="65" t="s">
        <v>31</v>
      </c>
      <c r="F678" s="20">
        <v>51604</v>
      </c>
      <c r="G678" s="31">
        <v>329.65</v>
      </c>
      <c r="H678" s="2"/>
    </row>
    <row r="679" spans="1:8" ht="15.75" hidden="1" customHeight="1">
      <c r="A679" s="64"/>
      <c r="B679" s="66"/>
      <c r="C679" s="66"/>
      <c r="D679" s="66"/>
      <c r="E679" s="24" t="s">
        <v>47</v>
      </c>
      <c r="F679" s="24"/>
      <c r="G679" s="25">
        <v>0</v>
      </c>
      <c r="H679" s="2"/>
    </row>
    <row r="680" spans="1:8" ht="15.75" hidden="1" customHeight="1">
      <c r="A680" s="64"/>
      <c r="B680" s="11">
        <v>45793</v>
      </c>
      <c r="C680" s="12">
        <v>0</v>
      </c>
      <c r="D680" s="12">
        <v>13105</v>
      </c>
      <c r="E680" s="76" t="s">
        <v>31</v>
      </c>
      <c r="F680" s="27">
        <v>51605</v>
      </c>
      <c r="G680" s="28">
        <v>342.84</v>
      </c>
      <c r="H680" s="2"/>
    </row>
    <row r="681" spans="1:8" ht="15.75" hidden="1" customHeight="1">
      <c r="A681" s="64"/>
      <c r="B681" s="71"/>
      <c r="C681" s="71"/>
      <c r="D681" s="71"/>
      <c r="E681" s="13" t="s">
        <v>200</v>
      </c>
      <c r="F681" s="13"/>
      <c r="G681" s="30">
        <v>0</v>
      </c>
      <c r="H681" s="2"/>
    </row>
    <row r="682" spans="1:8" ht="15.75" hidden="1" customHeight="1">
      <c r="A682" s="64"/>
      <c r="B682" s="17">
        <v>45793</v>
      </c>
      <c r="C682" s="18">
        <v>0</v>
      </c>
      <c r="D682" s="18">
        <v>13105</v>
      </c>
      <c r="E682" s="65" t="s">
        <v>31</v>
      </c>
      <c r="F682" s="20">
        <v>51606</v>
      </c>
      <c r="G682" s="31">
        <v>1275.03</v>
      </c>
      <c r="H682" s="2"/>
    </row>
    <row r="683" spans="1:8" ht="15.75" hidden="1" customHeight="1">
      <c r="A683" s="64"/>
      <c r="B683" s="66"/>
      <c r="C683" s="66"/>
      <c r="D683" s="66"/>
      <c r="E683" s="24" t="s">
        <v>109</v>
      </c>
      <c r="F683" s="24"/>
      <c r="G683" s="25">
        <v>0</v>
      </c>
      <c r="H683" s="2"/>
    </row>
    <row r="684" spans="1:8" ht="15.75" hidden="1" customHeight="1">
      <c r="A684" s="64"/>
      <c r="B684" s="11">
        <v>45793</v>
      </c>
      <c r="C684" s="12">
        <v>0</v>
      </c>
      <c r="D684" s="12">
        <v>13105</v>
      </c>
      <c r="E684" s="76" t="s">
        <v>31</v>
      </c>
      <c r="F684" s="27">
        <v>51607</v>
      </c>
      <c r="G684" s="28">
        <v>117.75</v>
      </c>
      <c r="H684" s="2"/>
    </row>
    <row r="685" spans="1:8" ht="15.75" hidden="1" customHeight="1">
      <c r="A685" s="64"/>
      <c r="B685" s="71"/>
      <c r="C685" s="71"/>
      <c r="D685" s="71"/>
      <c r="E685" s="13" t="s">
        <v>109</v>
      </c>
      <c r="F685" s="13"/>
      <c r="G685" s="30">
        <v>0</v>
      </c>
      <c r="H685" s="2"/>
    </row>
    <row r="686" spans="1:8" ht="15.75" hidden="1" customHeight="1">
      <c r="A686" s="64"/>
      <c r="B686" s="17">
        <v>45793</v>
      </c>
      <c r="C686" s="18">
        <v>0</v>
      </c>
      <c r="D686" s="18">
        <v>13105</v>
      </c>
      <c r="E686" s="65" t="s">
        <v>31</v>
      </c>
      <c r="F686" s="20">
        <v>51608</v>
      </c>
      <c r="G686" s="31">
        <v>144.1</v>
      </c>
      <c r="H686" s="2"/>
    </row>
    <row r="687" spans="1:8" ht="15.75" hidden="1" customHeight="1">
      <c r="A687" s="64"/>
      <c r="B687" s="66"/>
      <c r="C687" s="66"/>
      <c r="D687" s="66"/>
      <c r="E687" s="24" t="s">
        <v>109</v>
      </c>
      <c r="F687" s="24"/>
      <c r="G687" s="25">
        <v>0</v>
      </c>
      <c r="H687" s="2"/>
    </row>
    <row r="688" spans="1:8" ht="15.75" hidden="1" customHeight="1">
      <c r="A688" s="64"/>
      <c r="B688" s="11">
        <v>45793</v>
      </c>
      <c r="C688" s="12">
        <v>0</v>
      </c>
      <c r="D688" s="12">
        <v>13105</v>
      </c>
      <c r="E688" s="76" t="s">
        <v>80</v>
      </c>
      <c r="F688" s="27">
        <v>51609</v>
      </c>
      <c r="G688" s="28">
        <v>2235.1799999999998</v>
      </c>
      <c r="H688" s="2"/>
    </row>
    <row r="689" spans="1:9" ht="15.75" hidden="1" customHeight="1">
      <c r="A689" s="64"/>
      <c r="B689" s="71"/>
      <c r="C689" s="71"/>
      <c r="D689" s="71"/>
      <c r="E689" s="13" t="s">
        <v>81</v>
      </c>
      <c r="F689" s="13"/>
      <c r="G689" s="30">
        <v>0</v>
      </c>
      <c r="H689" s="2"/>
    </row>
    <row r="690" spans="1:9" ht="15.75" hidden="1" customHeight="1">
      <c r="A690" s="64"/>
      <c r="B690" s="17">
        <v>45793</v>
      </c>
      <c r="C690" s="18">
        <v>0</v>
      </c>
      <c r="D690" s="18">
        <v>13105</v>
      </c>
      <c r="E690" s="65" t="s">
        <v>31</v>
      </c>
      <c r="F690" s="20">
        <v>51610</v>
      </c>
      <c r="G690" s="31">
        <v>2677.13</v>
      </c>
      <c r="H690" s="2"/>
    </row>
    <row r="691" spans="1:9" ht="28.5" hidden="1" customHeight="1">
      <c r="A691" s="64"/>
      <c r="B691" s="66"/>
      <c r="C691" s="66"/>
      <c r="D691" s="66"/>
      <c r="E691" s="24" t="s">
        <v>65</v>
      </c>
      <c r="F691" s="24"/>
      <c r="G691" s="25">
        <v>0</v>
      </c>
      <c r="H691" s="2"/>
    </row>
    <row r="692" spans="1:9" ht="15.75" hidden="1" customHeight="1">
      <c r="A692" s="64"/>
      <c r="B692" s="11">
        <v>45793</v>
      </c>
      <c r="C692" s="12">
        <v>0</v>
      </c>
      <c r="D692" s="12">
        <v>13105</v>
      </c>
      <c r="E692" s="76" t="s">
        <v>31</v>
      </c>
      <c r="F692" s="27">
        <v>51611</v>
      </c>
      <c r="G692" s="28">
        <v>1982.13</v>
      </c>
      <c r="H692" s="2"/>
    </row>
    <row r="693" spans="1:9" ht="28.5" hidden="1" customHeight="1">
      <c r="A693" s="64"/>
      <c r="B693" s="71"/>
      <c r="C693" s="71"/>
      <c r="D693" s="71"/>
      <c r="E693" s="13" t="s">
        <v>622</v>
      </c>
      <c r="F693" s="13"/>
      <c r="G693" s="30">
        <v>0</v>
      </c>
      <c r="H693" s="2"/>
    </row>
    <row r="694" spans="1:9" ht="15.75" hidden="1" customHeight="1">
      <c r="A694" s="64"/>
      <c r="B694" s="17">
        <v>45793</v>
      </c>
      <c r="C694" s="18">
        <v>0</v>
      </c>
      <c r="D694" s="18">
        <v>13105</v>
      </c>
      <c r="E694" s="65" t="s">
        <v>80</v>
      </c>
      <c r="F694" s="20">
        <v>51612</v>
      </c>
      <c r="G694" s="31">
        <v>827.99</v>
      </c>
      <c r="H694" s="2"/>
    </row>
    <row r="695" spans="1:9" ht="15.75" hidden="1" customHeight="1">
      <c r="A695" s="64"/>
      <c r="B695" s="66"/>
      <c r="C695" s="66"/>
      <c r="D695" s="66"/>
      <c r="E695" s="24" t="s">
        <v>84</v>
      </c>
      <c r="F695" s="24"/>
      <c r="G695" s="25">
        <v>0</v>
      </c>
      <c r="H695" s="2"/>
    </row>
    <row r="696" spans="1:9" ht="15.75" hidden="1" customHeight="1">
      <c r="A696" s="64"/>
      <c r="B696" s="11">
        <v>45793</v>
      </c>
      <c r="C696" s="12">
        <v>0</v>
      </c>
      <c r="D696" s="12">
        <v>0</v>
      </c>
      <c r="E696" s="76" t="s">
        <v>52</v>
      </c>
      <c r="F696" s="27">
        <v>9903</v>
      </c>
      <c r="G696" s="15">
        <v>168.37</v>
      </c>
      <c r="H696" s="2"/>
    </row>
    <row r="697" spans="1:9" ht="15.75" hidden="1" customHeight="1">
      <c r="A697" s="64"/>
      <c r="B697" s="71"/>
      <c r="C697" s="71"/>
      <c r="D697" s="71"/>
      <c r="E697" s="13" t="s">
        <v>53</v>
      </c>
      <c r="F697" s="13"/>
      <c r="G697" s="30">
        <v>0</v>
      </c>
      <c r="H697" s="2"/>
    </row>
    <row r="698" spans="1:9" ht="15.75" hidden="1" customHeight="1">
      <c r="A698" s="64"/>
      <c r="B698" s="17">
        <v>45796</v>
      </c>
      <c r="C698" s="18">
        <v>0</v>
      </c>
      <c r="D698" s="18">
        <v>14397</v>
      </c>
      <c r="E698" s="65" t="s">
        <v>57</v>
      </c>
      <c r="F698" s="20">
        <v>191424424936732</v>
      </c>
      <c r="G698" s="21">
        <v>800</v>
      </c>
      <c r="H698" s="2"/>
    </row>
    <row r="699" spans="1:9" ht="28.5" hidden="1" customHeight="1">
      <c r="A699" s="64"/>
      <c r="B699" s="66"/>
      <c r="C699" s="66"/>
      <c r="D699" s="66"/>
      <c r="E699" s="24" t="s">
        <v>623</v>
      </c>
      <c r="F699" s="24"/>
      <c r="G699" s="25">
        <v>0</v>
      </c>
      <c r="H699" s="2"/>
    </row>
    <row r="700" spans="1:9" ht="15.75" customHeight="1">
      <c r="A700" s="130" t="s">
        <v>140</v>
      </c>
      <c r="B700" s="102">
        <v>45796</v>
      </c>
      <c r="C700" s="103">
        <v>0</v>
      </c>
      <c r="D700" s="103">
        <v>14138</v>
      </c>
      <c r="E700" s="132" t="s">
        <v>141</v>
      </c>
      <c r="F700" s="105">
        <v>202505160002111</v>
      </c>
      <c r="G700" s="98">
        <v>1476.65</v>
      </c>
      <c r="H700" s="2" t="s">
        <v>624</v>
      </c>
      <c r="I700" s="79" t="s">
        <v>595</v>
      </c>
    </row>
    <row r="701" spans="1:9" ht="15.75" hidden="1" customHeight="1">
      <c r="A701" s="64"/>
      <c r="B701" s="71"/>
      <c r="C701" s="71"/>
      <c r="D701" s="71"/>
      <c r="E701" s="13" t="s">
        <v>143</v>
      </c>
      <c r="F701" s="13"/>
      <c r="G701" s="30">
        <v>0</v>
      </c>
      <c r="H701" s="2" t="s">
        <v>625</v>
      </c>
    </row>
    <row r="702" spans="1:9" ht="15.75" customHeight="1">
      <c r="A702" s="130" t="s">
        <v>140</v>
      </c>
      <c r="B702" s="102">
        <v>45796</v>
      </c>
      <c r="C702" s="103">
        <v>0</v>
      </c>
      <c r="D702" s="103">
        <v>14138</v>
      </c>
      <c r="E702" s="132" t="s">
        <v>141</v>
      </c>
      <c r="F702" s="105">
        <v>202505160002112</v>
      </c>
      <c r="G702" s="98">
        <v>1476.65</v>
      </c>
      <c r="H702" s="2" t="s">
        <v>626</v>
      </c>
      <c r="I702" s="79" t="s">
        <v>595</v>
      </c>
    </row>
    <row r="703" spans="1:9" ht="15.75" hidden="1" customHeight="1">
      <c r="A703" s="64"/>
      <c r="B703" s="66"/>
      <c r="C703" s="66"/>
      <c r="D703" s="66"/>
      <c r="E703" s="24" t="s">
        <v>143</v>
      </c>
      <c r="F703" s="24"/>
      <c r="G703" s="25">
        <v>0</v>
      </c>
      <c r="H703" s="2"/>
    </row>
    <row r="704" spans="1:9" ht="15.75" customHeight="1">
      <c r="A704" s="130" t="s">
        <v>140</v>
      </c>
      <c r="B704" s="34">
        <v>45796</v>
      </c>
      <c r="C704" s="35">
        <v>0</v>
      </c>
      <c r="D704" s="35">
        <v>14138</v>
      </c>
      <c r="E704" s="68" t="s">
        <v>141</v>
      </c>
      <c r="F704" s="69">
        <v>202505160007525</v>
      </c>
      <c r="G704" s="70">
        <v>1285.96</v>
      </c>
      <c r="H704" s="2">
        <v>3529</v>
      </c>
      <c r="I704" s="79" t="s">
        <v>428</v>
      </c>
    </row>
    <row r="705" spans="1:9" ht="15.75" hidden="1" customHeight="1">
      <c r="A705" s="64"/>
      <c r="B705" s="71"/>
      <c r="C705" s="71"/>
      <c r="D705" s="71"/>
      <c r="E705" s="13" t="s">
        <v>143</v>
      </c>
      <c r="F705" s="13"/>
      <c r="G705" s="30">
        <v>0</v>
      </c>
      <c r="H705" s="2"/>
    </row>
    <row r="706" spans="1:9" ht="15.75" customHeight="1">
      <c r="A706" s="130" t="s">
        <v>140</v>
      </c>
      <c r="B706" s="41">
        <v>45796</v>
      </c>
      <c r="C706" s="42">
        <v>0</v>
      </c>
      <c r="D706" s="42">
        <v>14138</v>
      </c>
      <c r="E706" s="73" t="s">
        <v>141</v>
      </c>
      <c r="F706" s="74">
        <v>202505160007527</v>
      </c>
      <c r="G706" s="75">
        <v>1668.08</v>
      </c>
      <c r="H706" s="2">
        <v>3486</v>
      </c>
      <c r="I706" s="79" t="s">
        <v>428</v>
      </c>
    </row>
    <row r="707" spans="1:9" ht="15.75" hidden="1" customHeight="1">
      <c r="A707" s="64"/>
      <c r="B707" s="66"/>
      <c r="C707" s="66"/>
      <c r="D707" s="66"/>
      <c r="E707" s="24" t="s">
        <v>143</v>
      </c>
      <c r="F707" s="24"/>
      <c r="G707" s="25">
        <v>0</v>
      </c>
      <c r="H707" s="2"/>
    </row>
    <row r="708" spans="1:9" ht="15.75" customHeight="1">
      <c r="A708" s="130" t="s">
        <v>140</v>
      </c>
      <c r="B708" s="34">
        <v>45796</v>
      </c>
      <c r="C708" s="35">
        <v>0</v>
      </c>
      <c r="D708" s="35">
        <v>14138</v>
      </c>
      <c r="E708" s="68" t="s">
        <v>141</v>
      </c>
      <c r="F708" s="69">
        <v>202505160007533</v>
      </c>
      <c r="G708" s="70">
        <v>2458.83</v>
      </c>
      <c r="H708" s="2">
        <v>3514</v>
      </c>
      <c r="I708" s="79" t="s">
        <v>428</v>
      </c>
    </row>
    <row r="709" spans="1:9" ht="15.75" hidden="1" customHeight="1">
      <c r="A709" s="64"/>
      <c r="B709" s="71"/>
      <c r="C709" s="71"/>
      <c r="D709" s="71"/>
      <c r="E709" s="13" t="s">
        <v>143</v>
      </c>
      <c r="F709" s="13"/>
      <c r="G709" s="30">
        <v>0</v>
      </c>
      <c r="H709" s="2"/>
    </row>
    <row r="710" spans="1:9" ht="15.75" customHeight="1">
      <c r="A710" s="130" t="s">
        <v>140</v>
      </c>
      <c r="B710" s="41">
        <v>45796</v>
      </c>
      <c r="C710" s="42">
        <v>0</v>
      </c>
      <c r="D710" s="42">
        <v>14138</v>
      </c>
      <c r="E710" s="73" t="s">
        <v>141</v>
      </c>
      <c r="F710" s="74">
        <v>202505160007535</v>
      </c>
      <c r="G710" s="75">
        <v>1232.8399999999999</v>
      </c>
      <c r="H710" s="2">
        <v>3492</v>
      </c>
      <c r="I710" s="79" t="s">
        <v>428</v>
      </c>
    </row>
    <row r="711" spans="1:9" ht="15.75" hidden="1" customHeight="1">
      <c r="A711" s="64"/>
      <c r="B711" s="66"/>
      <c r="C711" s="66"/>
      <c r="D711" s="66"/>
      <c r="E711" s="24" t="s">
        <v>143</v>
      </c>
      <c r="F711" s="24"/>
      <c r="G711" s="25">
        <v>0</v>
      </c>
      <c r="H711" s="2"/>
    </row>
    <row r="712" spans="1:9" ht="15.75" hidden="1" customHeight="1">
      <c r="A712" s="64"/>
      <c r="B712" s="11">
        <v>45796</v>
      </c>
      <c r="C712" s="12">
        <v>0</v>
      </c>
      <c r="D712" s="12">
        <v>14397</v>
      </c>
      <c r="E712" s="76" t="s">
        <v>57</v>
      </c>
      <c r="F712" s="27">
        <v>476744490526501</v>
      </c>
      <c r="G712" s="15">
        <v>1122.76</v>
      </c>
      <c r="H712" s="2"/>
    </row>
    <row r="713" spans="1:9" ht="28.5" hidden="1" customHeight="1">
      <c r="A713" s="64"/>
      <c r="B713" s="71"/>
      <c r="C713" s="71"/>
      <c r="D713" s="71"/>
      <c r="E713" s="13" t="s">
        <v>627</v>
      </c>
      <c r="F713" s="13"/>
      <c r="G713" s="30">
        <v>0</v>
      </c>
      <c r="H713" s="2"/>
    </row>
    <row r="714" spans="1:9" ht="15.75" hidden="1" customHeight="1">
      <c r="A714" s="64"/>
      <c r="B714" s="17">
        <v>45796</v>
      </c>
      <c r="C714" s="18">
        <v>1533</v>
      </c>
      <c r="D714" s="18">
        <v>99008</v>
      </c>
      <c r="E714" s="65" t="s">
        <v>29</v>
      </c>
      <c r="F714" s="20">
        <v>90493</v>
      </c>
      <c r="G714" s="31">
        <v>572.16</v>
      </c>
      <c r="H714" s="2"/>
    </row>
    <row r="715" spans="1:9" ht="15.75" hidden="1" customHeight="1">
      <c r="A715" s="64"/>
      <c r="B715" s="66"/>
      <c r="C715" s="66"/>
      <c r="D715" s="66"/>
      <c r="E715" s="24" t="s">
        <v>628</v>
      </c>
      <c r="F715" s="24"/>
      <c r="G715" s="25">
        <v>0</v>
      </c>
      <c r="H715" s="2"/>
    </row>
    <row r="716" spans="1:9" ht="15.75" hidden="1" customHeight="1">
      <c r="A716" s="64"/>
      <c r="B716" s="11">
        <v>45796</v>
      </c>
      <c r="C716" s="12">
        <v>1533</v>
      </c>
      <c r="D716" s="12">
        <v>99008</v>
      </c>
      <c r="E716" s="76" t="s">
        <v>29</v>
      </c>
      <c r="F716" s="27">
        <v>615004</v>
      </c>
      <c r="G716" s="28">
        <v>133</v>
      </c>
      <c r="H716" s="2"/>
    </row>
    <row r="717" spans="1:9" ht="15.75" hidden="1" customHeight="1">
      <c r="A717" s="64"/>
      <c r="B717" s="71"/>
      <c r="C717" s="71"/>
      <c r="D717" s="71"/>
      <c r="E717" s="13" t="s">
        <v>629</v>
      </c>
      <c r="F717" s="13"/>
      <c r="G717" s="30">
        <v>0</v>
      </c>
      <c r="H717" s="2"/>
    </row>
    <row r="718" spans="1:9" ht="15.75" hidden="1" customHeight="1">
      <c r="A718" s="64"/>
      <c r="B718" s="17">
        <v>45796</v>
      </c>
      <c r="C718" s="18">
        <v>0</v>
      </c>
      <c r="D718" s="18">
        <v>13105</v>
      </c>
      <c r="E718" s="65" t="s">
        <v>80</v>
      </c>
      <c r="F718" s="20">
        <v>51901</v>
      </c>
      <c r="G718" s="31">
        <v>94.83</v>
      </c>
      <c r="H718" s="2"/>
    </row>
    <row r="719" spans="1:9" ht="15.75" hidden="1" customHeight="1">
      <c r="A719" s="64"/>
      <c r="B719" s="66"/>
      <c r="C719" s="66"/>
      <c r="D719" s="66"/>
      <c r="E719" s="24" t="s">
        <v>81</v>
      </c>
      <c r="F719" s="24"/>
      <c r="G719" s="25">
        <v>0</v>
      </c>
      <c r="H719" s="2"/>
    </row>
    <row r="720" spans="1:9" ht="15.75" hidden="1" customHeight="1">
      <c r="A720" s="64"/>
      <c r="B720" s="11">
        <v>45796</v>
      </c>
      <c r="C720" s="12">
        <v>0</v>
      </c>
      <c r="D720" s="12">
        <v>13105</v>
      </c>
      <c r="E720" s="76" t="s">
        <v>80</v>
      </c>
      <c r="F720" s="27">
        <v>51902</v>
      </c>
      <c r="G720" s="28">
        <v>211.32</v>
      </c>
      <c r="H720" s="2"/>
    </row>
    <row r="721" spans="1:8" ht="15.75" hidden="1" customHeight="1">
      <c r="A721" s="64"/>
      <c r="B721" s="71"/>
      <c r="C721" s="71"/>
      <c r="D721" s="71"/>
      <c r="E721" s="13" t="s">
        <v>81</v>
      </c>
      <c r="F721" s="13"/>
      <c r="G721" s="30">
        <v>0</v>
      </c>
      <c r="H721" s="2"/>
    </row>
    <row r="722" spans="1:8" ht="15.75" hidden="1" customHeight="1">
      <c r="A722" s="64"/>
      <c r="B722" s="17">
        <v>45796</v>
      </c>
      <c r="C722" s="18">
        <v>0</v>
      </c>
      <c r="D722" s="18">
        <v>13105</v>
      </c>
      <c r="E722" s="65" t="s">
        <v>80</v>
      </c>
      <c r="F722" s="20">
        <v>51903</v>
      </c>
      <c r="G722" s="31">
        <v>1136.52</v>
      </c>
      <c r="H722" s="2"/>
    </row>
    <row r="723" spans="1:8" ht="15.75" hidden="1" customHeight="1">
      <c r="A723" s="64"/>
      <c r="B723" s="66"/>
      <c r="C723" s="66"/>
      <c r="D723" s="66"/>
      <c r="E723" s="24" t="s">
        <v>81</v>
      </c>
      <c r="F723" s="24"/>
      <c r="G723" s="25">
        <v>0</v>
      </c>
      <c r="H723" s="2"/>
    </row>
    <row r="724" spans="1:8" ht="15.75" hidden="1" customHeight="1">
      <c r="A724" s="64"/>
      <c r="B724" s="11">
        <v>45796</v>
      </c>
      <c r="C724" s="12">
        <v>0</v>
      </c>
      <c r="D724" s="12">
        <v>13105</v>
      </c>
      <c r="E724" s="76" t="s">
        <v>80</v>
      </c>
      <c r="F724" s="27">
        <v>51904</v>
      </c>
      <c r="G724" s="28">
        <v>1008.06</v>
      </c>
      <c r="H724" s="2"/>
    </row>
    <row r="725" spans="1:8" ht="15.75" hidden="1" customHeight="1">
      <c r="A725" s="64"/>
      <c r="B725" s="71"/>
      <c r="C725" s="71"/>
      <c r="D725" s="71"/>
      <c r="E725" s="13" t="s">
        <v>81</v>
      </c>
      <c r="F725" s="13"/>
      <c r="G725" s="30">
        <v>0</v>
      </c>
      <c r="H725" s="2"/>
    </row>
    <row r="726" spans="1:8" ht="15.75" hidden="1" customHeight="1">
      <c r="A726" s="64"/>
      <c r="B726" s="17">
        <v>45796</v>
      </c>
      <c r="C726" s="18">
        <v>0</v>
      </c>
      <c r="D726" s="18">
        <v>13105</v>
      </c>
      <c r="E726" s="65" t="s">
        <v>80</v>
      </c>
      <c r="F726" s="20">
        <v>51905</v>
      </c>
      <c r="G726" s="31">
        <v>252.28</v>
      </c>
      <c r="H726" s="2"/>
    </row>
    <row r="727" spans="1:8" ht="15.75" hidden="1" customHeight="1">
      <c r="A727" s="64"/>
      <c r="B727" s="66"/>
      <c r="C727" s="66"/>
      <c r="D727" s="66"/>
      <c r="E727" s="24" t="s">
        <v>81</v>
      </c>
      <c r="F727" s="24"/>
      <c r="G727" s="25">
        <v>0</v>
      </c>
      <c r="H727" s="2"/>
    </row>
    <row r="728" spans="1:8" ht="15.75" hidden="1" customHeight="1">
      <c r="A728" s="64"/>
      <c r="B728" s="11">
        <v>45796</v>
      </c>
      <c r="C728" s="12">
        <v>0</v>
      </c>
      <c r="D728" s="12">
        <v>13105</v>
      </c>
      <c r="E728" s="76" t="s">
        <v>80</v>
      </c>
      <c r="F728" s="27">
        <v>51906</v>
      </c>
      <c r="G728" s="28">
        <v>884.24</v>
      </c>
      <c r="H728" s="2"/>
    </row>
    <row r="729" spans="1:8" ht="15.75" hidden="1" customHeight="1">
      <c r="A729" s="64"/>
      <c r="B729" s="71"/>
      <c r="C729" s="71"/>
      <c r="D729" s="71"/>
      <c r="E729" s="13" t="s">
        <v>81</v>
      </c>
      <c r="F729" s="13"/>
      <c r="G729" s="30">
        <v>0</v>
      </c>
      <c r="H729" s="2"/>
    </row>
    <row r="730" spans="1:8" ht="15.75" hidden="1" customHeight="1">
      <c r="A730" s="64"/>
      <c r="B730" s="17">
        <v>45796</v>
      </c>
      <c r="C730" s="18">
        <v>0</v>
      </c>
      <c r="D730" s="18">
        <v>13105</v>
      </c>
      <c r="E730" s="65" t="s">
        <v>31</v>
      </c>
      <c r="F730" s="20">
        <v>51907</v>
      </c>
      <c r="G730" s="31">
        <v>156.6</v>
      </c>
      <c r="H730" s="2"/>
    </row>
    <row r="731" spans="1:8" ht="15.75" hidden="1" customHeight="1">
      <c r="A731" s="64"/>
      <c r="B731" s="66"/>
      <c r="C731" s="66"/>
      <c r="D731" s="66"/>
      <c r="E731" s="24" t="s">
        <v>46</v>
      </c>
      <c r="F731" s="24"/>
      <c r="G731" s="25">
        <v>0</v>
      </c>
      <c r="H731" s="2"/>
    </row>
    <row r="732" spans="1:8" ht="15.75" hidden="1" customHeight="1">
      <c r="A732" s="64"/>
      <c r="B732" s="11">
        <v>45796</v>
      </c>
      <c r="C732" s="12">
        <v>0</v>
      </c>
      <c r="D732" s="12">
        <v>13105</v>
      </c>
      <c r="E732" s="76" t="s">
        <v>31</v>
      </c>
      <c r="F732" s="27">
        <v>51908</v>
      </c>
      <c r="G732" s="28">
        <v>4890</v>
      </c>
      <c r="H732" s="2"/>
    </row>
    <row r="733" spans="1:8" ht="28.5" hidden="1" customHeight="1">
      <c r="A733" s="64"/>
      <c r="B733" s="71"/>
      <c r="C733" s="71"/>
      <c r="D733" s="71"/>
      <c r="E733" s="13" t="s">
        <v>32</v>
      </c>
      <c r="F733" s="13"/>
      <c r="G733" s="30">
        <v>0</v>
      </c>
      <c r="H733" s="2"/>
    </row>
    <row r="734" spans="1:8" ht="15.75" hidden="1" customHeight="1">
      <c r="A734" s="64"/>
      <c r="B734" s="17">
        <v>45796</v>
      </c>
      <c r="C734" s="18">
        <v>0</v>
      </c>
      <c r="D734" s="18">
        <v>13105</v>
      </c>
      <c r="E734" s="65" t="s">
        <v>80</v>
      </c>
      <c r="F734" s="20">
        <v>51909</v>
      </c>
      <c r="G734" s="31">
        <v>79.400000000000006</v>
      </c>
      <c r="H734" s="2"/>
    </row>
    <row r="735" spans="1:8" ht="15.75" hidden="1" customHeight="1">
      <c r="A735" s="64"/>
      <c r="B735" s="66"/>
      <c r="C735" s="66"/>
      <c r="D735" s="66"/>
      <c r="E735" s="24" t="s">
        <v>81</v>
      </c>
      <c r="F735" s="24"/>
      <c r="G735" s="25">
        <v>0</v>
      </c>
      <c r="H735" s="2"/>
    </row>
    <row r="736" spans="1:8" ht="15.75" hidden="1" customHeight="1">
      <c r="A736" s="64"/>
      <c r="B736" s="11">
        <v>45796</v>
      </c>
      <c r="C736" s="12">
        <v>0</v>
      </c>
      <c r="D736" s="12">
        <v>13105</v>
      </c>
      <c r="E736" s="76" t="s">
        <v>31</v>
      </c>
      <c r="F736" s="27">
        <v>51910</v>
      </c>
      <c r="G736" s="28">
        <v>1274.74</v>
      </c>
      <c r="H736" s="2"/>
    </row>
    <row r="737" spans="1:8" ht="15.75" hidden="1" customHeight="1">
      <c r="A737" s="64"/>
      <c r="B737" s="71"/>
      <c r="C737" s="71"/>
      <c r="D737" s="71"/>
      <c r="E737" s="13" t="s">
        <v>438</v>
      </c>
      <c r="F737" s="13"/>
      <c r="G737" s="30">
        <v>0</v>
      </c>
      <c r="H737" s="2"/>
    </row>
    <row r="738" spans="1:8" ht="15.75" hidden="1" customHeight="1">
      <c r="A738" s="64"/>
      <c r="B738" s="17">
        <v>45796</v>
      </c>
      <c r="C738" s="18">
        <v>0</v>
      </c>
      <c r="D738" s="18">
        <v>13105</v>
      </c>
      <c r="E738" s="65" t="s">
        <v>31</v>
      </c>
      <c r="F738" s="20">
        <v>51911</v>
      </c>
      <c r="G738" s="31">
        <v>313.26</v>
      </c>
      <c r="H738" s="2"/>
    </row>
    <row r="739" spans="1:8" ht="15.75" hidden="1" customHeight="1">
      <c r="A739" s="64"/>
      <c r="B739" s="66"/>
      <c r="C739" s="66"/>
      <c r="D739" s="66"/>
      <c r="E739" s="24" t="s">
        <v>165</v>
      </c>
      <c r="F739" s="24"/>
      <c r="G739" s="25">
        <v>0</v>
      </c>
      <c r="H739" s="2"/>
    </row>
    <row r="740" spans="1:8" ht="15.75" hidden="1" customHeight="1">
      <c r="A740" s="64"/>
      <c r="B740" s="11">
        <v>45796</v>
      </c>
      <c r="C740" s="12">
        <v>0</v>
      </c>
      <c r="D740" s="12">
        <v>13105</v>
      </c>
      <c r="E740" s="76" t="s">
        <v>31</v>
      </c>
      <c r="F740" s="27">
        <v>51912</v>
      </c>
      <c r="G740" s="28">
        <v>232.86</v>
      </c>
      <c r="H740" s="2"/>
    </row>
    <row r="741" spans="1:8" ht="15.75" hidden="1" customHeight="1">
      <c r="A741" s="64"/>
      <c r="B741" s="71"/>
      <c r="C741" s="71"/>
      <c r="D741" s="71"/>
      <c r="E741" s="13" t="s">
        <v>349</v>
      </c>
      <c r="F741" s="13"/>
      <c r="G741" s="30">
        <v>0</v>
      </c>
      <c r="H741" s="2"/>
    </row>
    <row r="742" spans="1:8" ht="15.75" hidden="1" customHeight="1">
      <c r="A742" s="64"/>
      <c r="B742" s="17">
        <v>45796</v>
      </c>
      <c r="C742" s="18">
        <v>0</v>
      </c>
      <c r="D742" s="18">
        <v>0</v>
      </c>
      <c r="E742" s="65" t="s">
        <v>59</v>
      </c>
      <c r="F742" s="20">
        <v>9903</v>
      </c>
      <c r="G742" s="31">
        <v>282.5</v>
      </c>
      <c r="H742" s="2"/>
    </row>
    <row r="743" spans="1:8" ht="15.75" hidden="1" customHeight="1">
      <c r="A743" s="64"/>
      <c r="B743" s="66"/>
      <c r="C743" s="66"/>
      <c r="D743" s="66"/>
      <c r="E743" s="24" t="s">
        <v>53</v>
      </c>
      <c r="F743" s="24"/>
      <c r="G743" s="25">
        <v>0</v>
      </c>
      <c r="H743" s="2"/>
    </row>
    <row r="744" spans="1:8" ht="15.75" hidden="1" customHeight="1">
      <c r="A744" s="64"/>
      <c r="B744" s="11">
        <v>45797</v>
      </c>
      <c r="C744" s="12">
        <v>1845</v>
      </c>
      <c r="D744" s="12">
        <v>99021</v>
      </c>
      <c r="E744" s="76" t="s">
        <v>27</v>
      </c>
      <c r="F744" s="27">
        <v>611845000040070</v>
      </c>
      <c r="G744" s="15">
        <v>1594.98</v>
      </c>
      <c r="H744" s="2" t="s">
        <v>630</v>
      </c>
    </row>
    <row r="745" spans="1:8" ht="28.5" hidden="1" customHeight="1">
      <c r="A745" s="64"/>
      <c r="B745" s="71"/>
      <c r="C745" s="71"/>
      <c r="D745" s="71"/>
      <c r="E745" s="13" t="s">
        <v>631</v>
      </c>
      <c r="F745" s="13"/>
      <c r="G745" s="30">
        <v>0</v>
      </c>
      <c r="H745" s="2"/>
    </row>
    <row r="746" spans="1:8" ht="15.75" hidden="1" customHeight="1">
      <c r="A746" s="64"/>
      <c r="B746" s="17">
        <v>45797</v>
      </c>
      <c r="C746" s="18">
        <v>0</v>
      </c>
      <c r="D746" s="18">
        <v>14397</v>
      </c>
      <c r="E746" s="65" t="s">
        <v>57</v>
      </c>
      <c r="F746" s="20">
        <v>201028019425732</v>
      </c>
      <c r="G746" s="21">
        <v>697.19</v>
      </c>
      <c r="H746" s="2"/>
    </row>
    <row r="747" spans="1:8" ht="28.5" hidden="1" customHeight="1">
      <c r="A747" s="64"/>
      <c r="B747" s="66"/>
      <c r="C747" s="66"/>
      <c r="D747" s="66"/>
      <c r="E747" s="24" t="s">
        <v>632</v>
      </c>
      <c r="F747" s="24"/>
      <c r="G747" s="25">
        <v>0</v>
      </c>
      <c r="H747" s="2"/>
    </row>
    <row r="748" spans="1:8" ht="15.75" hidden="1" customHeight="1">
      <c r="A748" s="64"/>
      <c r="B748" s="11">
        <v>45797</v>
      </c>
      <c r="C748" s="12">
        <v>0</v>
      </c>
      <c r="D748" s="12">
        <v>14397</v>
      </c>
      <c r="E748" s="76" t="s">
        <v>57</v>
      </c>
      <c r="F748" s="27">
        <v>201055173089942</v>
      </c>
      <c r="G748" s="15">
        <v>230.61</v>
      </c>
      <c r="H748" s="2"/>
    </row>
    <row r="749" spans="1:8" ht="28.5" hidden="1" customHeight="1">
      <c r="A749" s="64"/>
      <c r="B749" s="71"/>
      <c r="C749" s="71"/>
      <c r="D749" s="71"/>
      <c r="E749" s="13" t="s">
        <v>633</v>
      </c>
      <c r="F749" s="13"/>
      <c r="G749" s="30">
        <v>0</v>
      </c>
      <c r="H749" s="2"/>
    </row>
    <row r="750" spans="1:8" ht="15.75" hidden="1" customHeight="1">
      <c r="A750" s="64"/>
      <c r="B750" s="17">
        <v>45797</v>
      </c>
      <c r="C750" s="18">
        <v>0</v>
      </c>
      <c r="D750" s="18">
        <v>14397</v>
      </c>
      <c r="E750" s="65" t="s">
        <v>57</v>
      </c>
      <c r="F750" s="20">
        <v>201530089282662</v>
      </c>
      <c r="G750" s="21">
        <v>1200</v>
      </c>
      <c r="H750" s="2"/>
    </row>
    <row r="751" spans="1:8" ht="28.5" hidden="1" customHeight="1">
      <c r="A751" s="64"/>
      <c r="B751" s="66"/>
      <c r="C751" s="66"/>
      <c r="D751" s="66"/>
      <c r="E751" s="24" t="s">
        <v>634</v>
      </c>
      <c r="F751" s="24"/>
      <c r="G751" s="25">
        <v>0</v>
      </c>
      <c r="H751" s="2"/>
    </row>
    <row r="752" spans="1:8" ht="15.75" hidden="1" customHeight="1">
      <c r="A752" s="64"/>
      <c r="B752" s="11">
        <v>45797</v>
      </c>
      <c r="C752" s="12">
        <v>0</v>
      </c>
      <c r="D752" s="12">
        <v>14397</v>
      </c>
      <c r="E752" s="76" t="s">
        <v>57</v>
      </c>
      <c r="F752" s="27">
        <v>477441588850661</v>
      </c>
      <c r="G752" s="15">
        <v>373.26</v>
      </c>
      <c r="H752" s="2"/>
    </row>
    <row r="753" spans="1:8" ht="18.75" hidden="1" customHeight="1">
      <c r="A753" s="64"/>
      <c r="B753" s="71"/>
      <c r="C753" s="71"/>
      <c r="D753" s="71"/>
      <c r="E753" s="13" t="s">
        <v>635</v>
      </c>
      <c r="F753" s="13"/>
      <c r="G753" s="30">
        <v>0</v>
      </c>
      <c r="H753" s="2"/>
    </row>
    <row r="754" spans="1:8" ht="15.75" hidden="1" customHeight="1">
      <c r="A754" s="64"/>
      <c r="B754" s="17">
        <v>45797</v>
      </c>
      <c r="C754" s="18">
        <v>0</v>
      </c>
      <c r="D754" s="18">
        <v>13105</v>
      </c>
      <c r="E754" s="65" t="s">
        <v>31</v>
      </c>
      <c r="F754" s="20">
        <v>52001</v>
      </c>
      <c r="G754" s="31">
        <v>364.3</v>
      </c>
      <c r="H754" s="2"/>
    </row>
    <row r="755" spans="1:8" ht="15.75" hidden="1" customHeight="1">
      <c r="A755" s="64"/>
      <c r="B755" s="66"/>
      <c r="C755" s="66"/>
      <c r="D755" s="66"/>
      <c r="E755" s="24" t="s">
        <v>636</v>
      </c>
      <c r="F755" s="24"/>
      <c r="G755" s="25">
        <v>0</v>
      </c>
      <c r="H755" s="2"/>
    </row>
    <row r="756" spans="1:8" ht="15.75" hidden="1" customHeight="1">
      <c r="A756" s="64"/>
      <c r="B756" s="11">
        <v>45797</v>
      </c>
      <c r="C756" s="12">
        <v>0</v>
      </c>
      <c r="D756" s="12">
        <v>13105</v>
      </c>
      <c r="E756" s="76" t="s">
        <v>31</v>
      </c>
      <c r="F756" s="27">
        <v>52002</v>
      </c>
      <c r="G756" s="28">
        <v>1879.74</v>
      </c>
      <c r="H756" s="2"/>
    </row>
    <row r="757" spans="1:8" ht="8.25" hidden="1" customHeight="1">
      <c r="A757" s="64"/>
      <c r="B757" s="71"/>
      <c r="C757" s="71"/>
      <c r="D757" s="71"/>
      <c r="E757" s="13" t="s">
        <v>65</v>
      </c>
      <c r="F757" s="13"/>
      <c r="G757" s="30">
        <v>0</v>
      </c>
      <c r="H757" s="2"/>
    </row>
    <row r="758" spans="1:8" ht="15.75" hidden="1" customHeight="1">
      <c r="A758" s="64"/>
      <c r="B758" s="17">
        <v>45797</v>
      </c>
      <c r="C758" s="18">
        <v>0</v>
      </c>
      <c r="D758" s="18">
        <v>13105</v>
      </c>
      <c r="E758" s="65" t="s">
        <v>31</v>
      </c>
      <c r="F758" s="20">
        <v>52003</v>
      </c>
      <c r="G758" s="31">
        <v>461.77</v>
      </c>
      <c r="H758" s="2"/>
    </row>
    <row r="759" spans="1:8" ht="28.5" hidden="1" customHeight="1">
      <c r="A759" s="64"/>
      <c r="B759" s="66"/>
      <c r="C759" s="66"/>
      <c r="D759" s="66"/>
      <c r="E759" s="24" t="s">
        <v>396</v>
      </c>
      <c r="F759" s="24"/>
      <c r="G759" s="25">
        <v>0</v>
      </c>
      <c r="H759" s="2"/>
    </row>
    <row r="760" spans="1:8" ht="15.75" hidden="1" customHeight="1">
      <c r="A760" s="64"/>
      <c r="B760" s="11">
        <v>45797</v>
      </c>
      <c r="C760" s="12">
        <v>0</v>
      </c>
      <c r="D760" s="12">
        <v>13105</v>
      </c>
      <c r="E760" s="76" t="s">
        <v>31</v>
      </c>
      <c r="F760" s="27">
        <v>52004</v>
      </c>
      <c r="G760" s="28">
        <v>691.75</v>
      </c>
      <c r="H760" s="2"/>
    </row>
    <row r="761" spans="1:8" ht="15.75" hidden="1" customHeight="1">
      <c r="A761" s="64"/>
      <c r="B761" s="71"/>
      <c r="C761" s="71"/>
      <c r="D761" s="71"/>
      <c r="E761" s="13" t="s">
        <v>340</v>
      </c>
      <c r="F761" s="13"/>
      <c r="G761" s="30">
        <v>0</v>
      </c>
      <c r="H761" s="2"/>
    </row>
    <row r="762" spans="1:8" ht="15.75" hidden="1" customHeight="1">
      <c r="A762" s="64"/>
      <c r="B762" s="17">
        <v>45797</v>
      </c>
      <c r="C762" s="18">
        <v>0</v>
      </c>
      <c r="D762" s="18">
        <v>13105</v>
      </c>
      <c r="E762" s="65" t="s">
        <v>31</v>
      </c>
      <c r="F762" s="20">
        <v>52005</v>
      </c>
      <c r="G762" s="31">
        <v>291.77</v>
      </c>
      <c r="H762" s="2"/>
    </row>
    <row r="763" spans="1:8" ht="28.5" hidden="1" customHeight="1">
      <c r="A763" s="64"/>
      <c r="B763" s="66"/>
      <c r="C763" s="66"/>
      <c r="D763" s="66"/>
      <c r="E763" s="24" t="s">
        <v>45</v>
      </c>
      <c r="F763" s="24"/>
      <c r="G763" s="25">
        <v>0</v>
      </c>
      <c r="H763" s="2"/>
    </row>
    <row r="764" spans="1:8" ht="15.75" hidden="1" customHeight="1">
      <c r="A764" s="64"/>
      <c r="B764" s="11">
        <v>45797</v>
      </c>
      <c r="C764" s="12">
        <v>0</v>
      </c>
      <c r="D764" s="12">
        <v>13105</v>
      </c>
      <c r="E764" s="76" t="s">
        <v>31</v>
      </c>
      <c r="F764" s="27">
        <v>52006</v>
      </c>
      <c r="G764" s="28">
        <v>388.26</v>
      </c>
      <c r="H764" s="2"/>
    </row>
    <row r="765" spans="1:8" ht="28.5" hidden="1" customHeight="1">
      <c r="A765" s="64"/>
      <c r="B765" s="71"/>
      <c r="C765" s="71"/>
      <c r="D765" s="71"/>
      <c r="E765" s="13" t="s">
        <v>45</v>
      </c>
      <c r="F765" s="13"/>
      <c r="G765" s="30">
        <v>0</v>
      </c>
      <c r="H765" s="2"/>
    </row>
    <row r="766" spans="1:8" ht="15.75" hidden="1" customHeight="1">
      <c r="A766" s="64"/>
      <c r="B766" s="17">
        <v>45797</v>
      </c>
      <c r="C766" s="18">
        <v>0</v>
      </c>
      <c r="D766" s="18">
        <v>0</v>
      </c>
      <c r="E766" s="65" t="s">
        <v>59</v>
      </c>
      <c r="F766" s="20">
        <v>9903</v>
      </c>
      <c r="G766" s="31">
        <v>18.45</v>
      </c>
      <c r="H766" s="2"/>
    </row>
    <row r="767" spans="1:8" ht="15.75" hidden="1" customHeight="1">
      <c r="A767" s="64"/>
      <c r="B767" s="66"/>
      <c r="C767" s="66"/>
      <c r="D767" s="66"/>
      <c r="E767" s="24" t="s">
        <v>53</v>
      </c>
      <c r="F767" s="24"/>
      <c r="G767" s="25">
        <v>0</v>
      </c>
      <c r="H767" s="2"/>
    </row>
    <row r="768" spans="1:8" ht="15.75" hidden="1" customHeight="1">
      <c r="A768" s="64"/>
      <c r="B768" s="11">
        <v>45798</v>
      </c>
      <c r="C768" s="12">
        <v>3525</v>
      </c>
      <c r="D768" s="12">
        <v>99021</v>
      </c>
      <c r="E768" s="76" t="s">
        <v>27</v>
      </c>
      <c r="F768" s="27">
        <v>613525000032047</v>
      </c>
      <c r="G768" s="15">
        <v>575.16999999999996</v>
      </c>
      <c r="H768" s="2"/>
    </row>
    <row r="769" spans="1:8" ht="28.5" hidden="1" customHeight="1">
      <c r="A769" s="64"/>
      <c r="B769" s="71"/>
      <c r="C769" s="71"/>
      <c r="D769" s="71"/>
      <c r="E769" s="13" t="s">
        <v>637</v>
      </c>
      <c r="F769" s="13"/>
      <c r="G769" s="30">
        <v>0</v>
      </c>
      <c r="H769" s="2"/>
    </row>
    <row r="770" spans="1:8" ht="15.75" hidden="1" customHeight="1">
      <c r="A770" s="64"/>
      <c r="B770" s="17">
        <v>45798</v>
      </c>
      <c r="C770" s="18">
        <v>0</v>
      </c>
      <c r="D770" s="18">
        <v>14397</v>
      </c>
      <c r="E770" s="65" t="s">
        <v>57</v>
      </c>
      <c r="F770" s="20">
        <v>211620354444882</v>
      </c>
      <c r="G770" s="21">
        <v>1265.42</v>
      </c>
      <c r="H770" s="2"/>
    </row>
    <row r="771" spans="1:8" ht="28.5" hidden="1" customHeight="1">
      <c r="A771" s="64"/>
      <c r="B771" s="66"/>
      <c r="C771" s="66"/>
      <c r="D771" s="66"/>
      <c r="E771" s="24" t="s">
        <v>638</v>
      </c>
      <c r="F771" s="24"/>
      <c r="G771" s="25">
        <v>0</v>
      </c>
      <c r="H771" s="2"/>
    </row>
    <row r="772" spans="1:8" ht="15.75" hidden="1" customHeight="1">
      <c r="A772" s="64"/>
      <c r="B772" s="11">
        <v>45798</v>
      </c>
      <c r="C772" s="12">
        <v>0</v>
      </c>
      <c r="D772" s="12">
        <v>14397</v>
      </c>
      <c r="E772" s="76" t="s">
        <v>57</v>
      </c>
      <c r="F772" s="27">
        <v>478496200825241</v>
      </c>
      <c r="G772" s="15">
        <v>3000</v>
      </c>
      <c r="H772" s="2"/>
    </row>
    <row r="773" spans="1:8" ht="28.5" hidden="1" customHeight="1">
      <c r="A773" s="64"/>
      <c r="B773" s="71"/>
      <c r="C773" s="71"/>
      <c r="D773" s="71"/>
      <c r="E773" s="13" t="s">
        <v>639</v>
      </c>
      <c r="F773" s="13"/>
      <c r="G773" s="30">
        <v>0</v>
      </c>
      <c r="H773" s="2"/>
    </row>
    <row r="774" spans="1:8" ht="15.75" hidden="1" customHeight="1">
      <c r="A774" s="64"/>
      <c r="B774" s="17">
        <v>45798</v>
      </c>
      <c r="C774" s="18">
        <v>0</v>
      </c>
      <c r="D774" s="18">
        <v>13105</v>
      </c>
      <c r="E774" s="65" t="s">
        <v>31</v>
      </c>
      <c r="F774" s="20">
        <v>52101</v>
      </c>
      <c r="G774" s="31">
        <v>114.2</v>
      </c>
      <c r="H774" s="2"/>
    </row>
    <row r="775" spans="1:8" ht="15.75" hidden="1" customHeight="1">
      <c r="A775" s="64"/>
      <c r="B775" s="66"/>
      <c r="C775" s="66"/>
      <c r="D775" s="66"/>
      <c r="E775" s="24" t="s">
        <v>51</v>
      </c>
      <c r="F775" s="24"/>
      <c r="G775" s="25">
        <v>0</v>
      </c>
      <c r="H775" s="2"/>
    </row>
    <row r="776" spans="1:8" ht="15.75" hidden="1" customHeight="1">
      <c r="A776" s="64"/>
      <c r="B776" s="11">
        <v>45798</v>
      </c>
      <c r="C776" s="12">
        <v>0</v>
      </c>
      <c r="D776" s="12">
        <v>13105</v>
      </c>
      <c r="E776" s="76" t="s">
        <v>31</v>
      </c>
      <c r="F776" s="27">
        <v>52102</v>
      </c>
      <c r="G776" s="28">
        <v>1769.02</v>
      </c>
      <c r="H776" s="2"/>
    </row>
    <row r="777" spans="1:8" ht="28.5" hidden="1" customHeight="1">
      <c r="A777" s="64"/>
      <c r="B777" s="71"/>
      <c r="C777" s="71"/>
      <c r="D777" s="71"/>
      <c r="E777" s="13" t="s">
        <v>122</v>
      </c>
      <c r="F777" s="13"/>
      <c r="G777" s="30">
        <v>0</v>
      </c>
      <c r="H777" s="2"/>
    </row>
    <row r="778" spans="1:8" ht="15.75" hidden="1" customHeight="1">
      <c r="A778" s="64"/>
      <c r="B778" s="17">
        <v>45798</v>
      </c>
      <c r="C778" s="18">
        <v>0</v>
      </c>
      <c r="D778" s="18">
        <v>13105</v>
      </c>
      <c r="E778" s="65" t="s">
        <v>80</v>
      </c>
      <c r="F778" s="20">
        <v>52103</v>
      </c>
      <c r="G778" s="31">
        <v>519</v>
      </c>
      <c r="H778" s="2"/>
    </row>
    <row r="779" spans="1:8" ht="15.75" hidden="1" customHeight="1">
      <c r="A779" s="64"/>
      <c r="B779" s="66"/>
      <c r="C779" s="66"/>
      <c r="D779" s="66"/>
      <c r="E779" s="24" t="s">
        <v>81</v>
      </c>
      <c r="F779" s="24"/>
      <c r="G779" s="25">
        <v>0</v>
      </c>
      <c r="H779" s="2"/>
    </row>
    <row r="780" spans="1:8" ht="15.75" hidden="1" customHeight="1">
      <c r="A780" s="64"/>
      <c r="B780" s="11">
        <v>45798</v>
      </c>
      <c r="C780" s="12">
        <v>0</v>
      </c>
      <c r="D780" s="12">
        <v>13105</v>
      </c>
      <c r="E780" s="76" t="s">
        <v>31</v>
      </c>
      <c r="F780" s="27">
        <v>52104</v>
      </c>
      <c r="G780" s="28">
        <v>120.23</v>
      </c>
      <c r="H780" s="2"/>
    </row>
    <row r="781" spans="1:8" ht="15.75" hidden="1" customHeight="1">
      <c r="A781" s="64"/>
      <c r="B781" s="71"/>
      <c r="C781" s="71"/>
      <c r="D781" s="71"/>
      <c r="E781" s="13" t="s">
        <v>109</v>
      </c>
      <c r="F781" s="13"/>
      <c r="G781" s="30">
        <v>0</v>
      </c>
      <c r="H781" s="2"/>
    </row>
    <row r="782" spans="1:8" ht="15.75" hidden="1" customHeight="1">
      <c r="A782" s="64"/>
      <c r="B782" s="17">
        <v>45798</v>
      </c>
      <c r="C782" s="18">
        <v>0</v>
      </c>
      <c r="D782" s="18">
        <v>13105</v>
      </c>
      <c r="E782" s="65" t="s">
        <v>31</v>
      </c>
      <c r="F782" s="20">
        <v>52105</v>
      </c>
      <c r="G782" s="31">
        <v>147.13999999999999</v>
      </c>
      <c r="H782" s="2"/>
    </row>
    <row r="783" spans="1:8" ht="15.75" hidden="1" customHeight="1">
      <c r="A783" s="64"/>
      <c r="B783" s="66"/>
      <c r="C783" s="66"/>
      <c r="D783" s="66"/>
      <c r="E783" s="24" t="s">
        <v>109</v>
      </c>
      <c r="F783" s="24"/>
      <c r="G783" s="25">
        <v>0</v>
      </c>
      <c r="H783" s="2"/>
    </row>
    <row r="784" spans="1:8" ht="15.75" hidden="1" customHeight="1">
      <c r="A784" s="64"/>
      <c r="B784" s="11">
        <v>45798</v>
      </c>
      <c r="C784" s="12">
        <v>0</v>
      </c>
      <c r="D784" s="12">
        <v>13105</v>
      </c>
      <c r="E784" s="76" t="s">
        <v>31</v>
      </c>
      <c r="F784" s="27">
        <v>52106</v>
      </c>
      <c r="G784" s="28">
        <v>119.6</v>
      </c>
      <c r="H784" s="2"/>
    </row>
    <row r="785" spans="1:8" ht="15.75" hidden="1" customHeight="1">
      <c r="A785" s="64"/>
      <c r="B785" s="71"/>
      <c r="C785" s="71"/>
      <c r="D785" s="71"/>
      <c r="E785" s="13" t="s">
        <v>109</v>
      </c>
      <c r="F785" s="13"/>
      <c r="G785" s="30">
        <v>0</v>
      </c>
      <c r="H785" s="2"/>
    </row>
    <row r="786" spans="1:8" ht="15.75" hidden="1" customHeight="1">
      <c r="A786" s="64"/>
      <c r="B786" s="17">
        <v>45798</v>
      </c>
      <c r="C786" s="18">
        <v>0</v>
      </c>
      <c r="D786" s="18">
        <v>13105</v>
      </c>
      <c r="E786" s="65" t="s">
        <v>31</v>
      </c>
      <c r="F786" s="20">
        <v>52107</v>
      </c>
      <c r="G786" s="31">
        <v>146.37</v>
      </c>
      <c r="H786" s="2"/>
    </row>
    <row r="787" spans="1:8" ht="15.75" hidden="1" customHeight="1">
      <c r="A787" s="64"/>
      <c r="B787" s="66"/>
      <c r="C787" s="66"/>
      <c r="D787" s="66"/>
      <c r="E787" s="24" t="s">
        <v>109</v>
      </c>
      <c r="F787" s="24"/>
      <c r="G787" s="25">
        <v>0</v>
      </c>
      <c r="H787" s="2"/>
    </row>
    <row r="788" spans="1:8" ht="15.75" hidden="1" customHeight="1">
      <c r="A788" s="64"/>
      <c r="B788" s="11">
        <v>45798</v>
      </c>
      <c r="C788" s="12">
        <v>0</v>
      </c>
      <c r="D788" s="12">
        <v>13105</v>
      </c>
      <c r="E788" s="76" t="s">
        <v>31</v>
      </c>
      <c r="F788" s="27">
        <v>52108</v>
      </c>
      <c r="G788" s="28">
        <v>196.93</v>
      </c>
      <c r="H788" s="2"/>
    </row>
    <row r="789" spans="1:8" ht="15.75" hidden="1" customHeight="1">
      <c r="A789" s="64"/>
      <c r="B789" s="71"/>
      <c r="C789" s="71"/>
      <c r="D789" s="71"/>
      <c r="E789" s="13" t="s">
        <v>111</v>
      </c>
      <c r="F789" s="13"/>
      <c r="G789" s="30">
        <v>0</v>
      </c>
      <c r="H789" s="2"/>
    </row>
    <row r="790" spans="1:8" ht="15.75" hidden="1" customHeight="1">
      <c r="A790" s="64"/>
      <c r="B790" s="17">
        <v>45798</v>
      </c>
      <c r="C790" s="18">
        <v>0</v>
      </c>
      <c r="D790" s="18">
        <v>13105</v>
      </c>
      <c r="E790" s="65" t="s">
        <v>31</v>
      </c>
      <c r="F790" s="20">
        <v>52109</v>
      </c>
      <c r="G790" s="31">
        <v>287.72000000000003</v>
      </c>
      <c r="H790" s="2"/>
    </row>
    <row r="791" spans="1:8" ht="15.75" hidden="1" customHeight="1">
      <c r="A791" s="64"/>
      <c r="B791" s="66"/>
      <c r="C791" s="66"/>
      <c r="D791" s="66"/>
      <c r="E791" s="24" t="s">
        <v>111</v>
      </c>
      <c r="F791" s="24"/>
      <c r="G791" s="25">
        <v>0</v>
      </c>
      <c r="H791" s="2"/>
    </row>
    <row r="792" spans="1:8" ht="15.75" hidden="1" customHeight="1">
      <c r="A792" s="64"/>
      <c r="B792" s="11">
        <v>45798</v>
      </c>
      <c r="C792" s="12">
        <v>0</v>
      </c>
      <c r="D792" s="12">
        <v>13105</v>
      </c>
      <c r="E792" s="76" t="s">
        <v>31</v>
      </c>
      <c r="F792" s="27">
        <v>52110</v>
      </c>
      <c r="G792" s="28">
        <v>174.61</v>
      </c>
      <c r="H792" s="2"/>
    </row>
    <row r="793" spans="1:8" ht="15.75" hidden="1" customHeight="1">
      <c r="A793" s="64"/>
      <c r="B793" s="71"/>
      <c r="C793" s="71"/>
      <c r="D793" s="71"/>
      <c r="E793" s="13" t="s">
        <v>111</v>
      </c>
      <c r="F793" s="13"/>
      <c r="G793" s="30">
        <v>0</v>
      </c>
      <c r="H793" s="2"/>
    </row>
    <row r="794" spans="1:8" ht="15.75" hidden="1" customHeight="1">
      <c r="A794" s="64"/>
      <c r="B794" s="17">
        <v>45798</v>
      </c>
      <c r="C794" s="18">
        <v>0</v>
      </c>
      <c r="D794" s="18">
        <v>0</v>
      </c>
      <c r="E794" s="65" t="s">
        <v>59</v>
      </c>
      <c r="F794" s="20">
        <v>9903</v>
      </c>
      <c r="G794" s="31">
        <v>1245.77</v>
      </c>
      <c r="H794" s="2"/>
    </row>
    <row r="795" spans="1:8" ht="15.75" hidden="1" customHeight="1">
      <c r="A795" s="64"/>
      <c r="B795" s="66"/>
      <c r="C795" s="66"/>
      <c r="D795" s="66"/>
      <c r="E795" s="24" t="s">
        <v>53</v>
      </c>
      <c r="F795" s="24"/>
      <c r="G795" s="25">
        <v>0</v>
      </c>
      <c r="H795" s="2"/>
    </row>
    <row r="796" spans="1:8" ht="15.75" hidden="1" customHeight="1">
      <c r="A796" s="64"/>
      <c r="B796" s="11">
        <v>45799</v>
      </c>
      <c r="C796" s="12">
        <v>0</v>
      </c>
      <c r="D796" s="12">
        <v>14397</v>
      </c>
      <c r="E796" s="76" t="s">
        <v>57</v>
      </c>
      <c r="F796" s="27">
        <v>221335252861172</v>
      </c>
      <c r="G796" s="15">
        <v>2550</v>
      </c>
      <c r="H796" s="2"/>
    </row>
    <row r="797" spans="1:8" ht="28.5" hidden="1" customHeight="1">
      <c r="A797" s="64"/>
      <c r="B797" s="71"/>
      <c r="C797" s="71"/>
      <c r="D797" s="71"/>
      <c r="E797" s="13" t="s">
        <v>640</v>
      </c>
      <c r="F797" s="13"/>
      <c r="G797" s="30">
        <v>0</v>
      </c>
      <c r="H797" s="2"/>
    </row>
    <row r="798" spans="1:8" ht="15.75" hidden="1" customHeight="1">
      <c r="A798" s="64"/>
      <c r="B798" s="17">
        <v>45799</v>
      </c>
      <c r="C798" s="18">
        <v>0</v>
      </c>
      <c r="D798" s="18">
        <v>14397</v>
      </c>
      <c r="E798" s="65" t="s">
        <v>57</v>
      </c>
      <c r="F798" s="20">
        <v>221404203999352</v>
      </c>
      <c r="G798" s="21">
        <v>2262.2399999999998</v>
      </c>
      <c r="H798" s="2"/>
    </row>
    <row r="799" spans="1:8" ht="28.5" hidden="1" customHeight="1">
      <c r="A799" s="64"/>
      <c r="B799" s="66"/>
      <c r="C799" s="66"/>
      <c r="D799" s="66"/>
      <c r="E799" s="24" t="s">
        <v>641</v>
      </c>
      <c r="F799" s="24"/>
      <c r="G799" s="25">
        <v>0</v>
      </c>
      <c r="H799" s="2"/>
    </row>
    <row r="800" spans="1:8" ht="15.75" hidden="1" customHeight="1">
      <c r="A800" s="64"/>
      <c r="B800" s="11">
        <v>45799</v>
      </c>
      <c r="C800" s="12">
        <v>0</v>
      </c>
      <c r="D800" s="12">
        <v>13105</v>
      </c>
      <c r="E800" s="76" t="s">
        <v>80</v>
      </c>
      <c r="F800" s="27">
        <v>52201</v>
      </c>
      <c r="G800" s="28">
        <v>206.99</v>
      </c>
      <c r="H800" s="2"/>
    </row>
    <row r="801" spans="1:8" ht="15.75" hidden="1" customHeight="1">
      <c r="A801" s="64"/>
      <c r="B801" s="71"/>
      <c r="C801" s="71"/>
      <c r="D801" s="71"/>
      <c r="E801" s="13" t="s">
        <v>81</v>
      </c>
      <c r="F801" s="13"/>
      <c r="G801" s="30">
        <v>0</v>
      </c>
      <c r="H801" s="2"/>
    </row>
    <row r="802" spans="1:8" ht="15.75" hidden="1" customHeight="1">
      <c r="A802" s="64"/>
      <c r="B802" s="17">
        <v>45799</v>
      </c>
      <c r="C802" s="18">
        <v>0</v>
      </c>
      <c r="D802" s="18">
        <v>13105</v>
      </c>
      <c r="E802" s="65" t="s">
        <v>80</v>
      </c>
      <c r="F802" s="20">
        <v>52202</v>
      </c>
      <c r="G802" s="31">
        <v>77.900000000000006</v>
      </c>
      <c r="H802" s="2"/>
    </row>
    <row r="803" spans="1:8" ht="15.75" hidden="1" customHeight="1">
      <c r="A803" s="64"/>
      <c r="B803" s="66"/>
      <c r="C803" s="66"/>
      <c r="D803" s="66"/>
      <c r="E803" s="24" t="s">
        <v>81</v>
      </c>
      <c r="F803" s="24"/>
      <c r="G803" s="25">
        <v>0</v>
      </c>
      <c r="H803" s="2"/>
    </row>
    <row r="804" spans="1:8" ht="15.75" hidden="1" customHeight="1">
      <c r="A804" s="64"/>
      <c r="B804" s="11">
        <v>45799</v>
      </c>
      <c r="C804" s="12">
        <v>0</v>
      </c>
      <c r="D804" s="12">
        <v>13105</v>
      </c>
      <c r="E804" s="76" t="s">
        <v>31</v>
      </c>
      <c r="F804" s="27">
        <v>52203</v>
      </c>
      <c r="G804" s="28">
        <v>1662.12</v>
      </c>
      <c r="H804" s="2"/>
    </row>
    <row r="805" spans="1:8" ht="28.5" hidden="1" customHeight="1">
      <c r="A805" s="64"/>
      <c r="B805" s="71"/>
      <c r="C805" s="71"/>
      <c r="D805" s="71"/>
      <c r="E805" s="13" t="s">
        <v>65</v>
      </c>
      <c r="F805" s="13"/>
      <c r="G805" s="30">
        <v>0</v>
      </c>
      <c r="H805" s="2"/>
    </row>
    <row r="806" spans="1:8" ht="15.75" hidden="1" customHeight="1">
      <c r="A806" s="64"/>
      <c r="B806" s="17">
        <v>45799</v>
      </c>
      <c r="C806" s="18">
        <v>0</v>
      </c>
      <c r="D806" s="18">
        <v>13105</v>
      </c>
      <c r="E806" s="65" t="s">
        <v>31</v>
      </c>
      <c r="F806" s="20">
        <v>52204</v>
      </c>
      <c r="G806" s="31">
        <v>1482.09</v>
      </c>
      <c r="H806" s="2"/>
    </row>
    <row r="807" spans="1:8" ht="15.75" hidden="1" customHeight="1">
      <c r="A807" s="64"/>
      <c r="B807" s="66"/>
      <c r="C807" s="66"/>
      <c r="D807" s="66"/>
      <c r="E807" s="24" t="s">
        <v>66</v>
      </c>
      <c r="F807" s="24"/>
      <c r="G807" s="25">
        <v>0</v>
      </c>
      <c r="H807" s="2"/>
    </row>
    <row r="808" spans="1:8" ht="15.75" hidden="1" customHeight="1">
      <c r="A808" s="64"/>
      <c r="B808" s="11">
        <v>45799</v>
      </c>
      <c r="C808" s="12">
        <v>0</v>
      </c>
      <c r="D808" s="12">
        <v>13105</v>
      </c>
      <c r="E808" s="76" t="s">
        <v>31</v>
      </c>
      <c r="F808" s="27">
        <v>52205</v>
      </c>
      <c r="G808" s="28">
        <v>1292.5</v>
      </c>
      <c r="H808" s="2"/>
    </row>
    <row r="809" spans="1:8" ht="15.75" hidden="1" customHeight="1">
      <c r="A809" s="64"/>
      <c r="B809" s="71"/>
      <c r="C809" s="71"/>
      <c r="D809" s="71"/>
      <c r="E809" s="13" t="s">
        <v>71</v>
      </c>
      <c r="F809" s="13"/>
      <c r="G809" s="30">
        <v>0</v>
      </c>
      <c r="H809" s="2"/>
    </row>
    <row r="810" spans="1:8" ht="15.75" hidden="1" customHeight="1">
      <c r="A810" s="64"/>
      <c r="B810" s="17">
        <v>45799</v>
      </c>
      <c r="C810" s="18">
        <v>0</v>
      </c>
      <c r="D810" s="18">
        <v>13105</v>
      </c>
      <c r="E810" s="65" t="s">
        <v>31</v>
      </c>
      <c r="F810" s="20">
        <v>52206</v>
      </c>
      <c r="G810" s="31">
        <v>435.57</v>
      </c>
      <c r="H810" s="2"/>
    </row>
    <row r="811" spans="1:8" ht="28.5" hidden="1" customHeight="1">
      <c r="A811" s="64"/>
      <c r="B811" s="66"/>
      <c r="C811" s="66"/>
      <c r="D811" s="66"/>
      <c r="E811" s="24" t="s">
        <v>45</v>
      </c>
      <c r="F811" s="24"/>
      <c r="G811" s="25">
        <v>0</v>
      </c>
      <c r="H811" s="2"/>
    </row>
    <row r="812" spans="1:8" ht="15.75" hidden="1" customHeight="1">
      <c r="A812" s="64"/>
      <c r="B812" s="11">
        <v>45799</v>
      </c>
      <c r="C812" s="12">
        <v>0</v>
      </c>
      <c r="D812" s="12">
        <v>13105</v>
      </c>
      <c r="E812" s="76" t="s">
        <v>31</v>
      </c>
      <c r="F812" s="27">
        <v>52207</v>
      </c>
      <c r="G812" s="28">
        <v>201.27</v>
      </c>
      <c r="H812" s="2"/>
    </row>
    <row r="813" spans="1:8" ht="15.75" hidden="1" customHeight="1">
      <c r="A813" s="64"/>
      <c r="B813" s="71"/>
      <c r="C813" s="71"/>
      <c r="D813" s="71"/>
      <c r="E813" s="13" t="s">
        <v>111</v>
      </c>
      <c r="F813" s="13"/>
      <c r="G813" s="30">
        <v>0</v>
      </c>
      <c r="H813" s="2"/>
    </row>
    <row r="814" spans="1:8" ht="15.75" hidden="1" customHeight="1">
      <c r="A814" s="64"/>
      <c r="B814" s="17">
        <v>45799</v>
      </c>
      <c r="C814" s="18">
        <v>0</v>
      </c>
      <c r="D814" s="18">
        <v>0</v>
      </c>
      <c r="E814" s="65" t="s">
        <v>52</v>
      </c>
      <c r="F814" s="20">
        <v>9903</v>
      </c>
      <c r="G814" s="21">
        <v>546.20000000000005</v>
      </c>
      <c r="H814" s="2"/>
    </row>
    <row r="815" spans="1:8" ht="15.75" hidden="1" customHeight="1">
      <c r="A815" s="64"/>
      <c r="B815" s="66"/>
      <c r="C815" s="66"/>
      <c r="D815" s="66"/>
      <c r="E815" s="24" t="s">
        <v>53</v>
      </c>
      <c r="F815" s="24"/>
      <c r="G815" s="25">
        <v>0</v>
      </c>
      <c r="H815" s="2"/>
    </row>
    <row r="816" spans="1:8" ht="15.75" hidden="1" customHeight="1">
      <c r="A816" s="64"/>
      <c r="B816" s="11">
        <v>45800</v>
      </c>
      <c r="C816" s="12">
        <v>4833</v>
      </c>
      <c r="D816" s="12">
        <v>70025</v>
      </c>
      <c r="E816" s="76" t="s">
        <v>431</v>
      </c>
      <c r="F816" s="27">
        <v>483370025153857</v>
      </c>
      <c r="G816" s="15">
        <v>1200</v>
      </c>
      <c r="H816" s="2"/>
    </row>
    <row r="817" spans="1:8" ht="28.5" hidden="1" customHeight="1">
      <c r="A817" s="64"/>
      <c r="B817" s="71"/>
      <c r="C817" s="71"/>
      <c r="D817" s="71"/>
      <c r="E817" s="13" t="s">
        <v>642</v>
      </c>
      <c r="F817" s="13"/>
      <c r="G817" s="30">
        <v>0</v>
      </c>
      <c r="H817" s="2"/>
    </row>
    <row r="818" spans="1:8" ht="15.75" hidden="1" customHeight="1">
      <c r="A818" s="64"/>
      <c r="B818" s="17">
        <v>45800</v>
      </c>
      <c r="C818" s="18">
        <v>4833</v>
      </c>
      <c r="D818" s="18">
        <v>70025</v>
      </c>
      <c r="E818" s="65" t="s">
        <v>431</v>
      </c>
      <c r="F818" s="20">
        <v>483370025153951</v>
      </c>
      <c r="G818" s="21">
        <v>1000</v>
      </c>
      <c r="H818" s="2"/>
    </row>
    <row r="819" spans="1:8" ht="28.5" hidden="1" customHeight="1">
      <c r="A819" s="64"/>
      <c r="B819" s="66"/>
      <c r="C819" s="66"/>
      <c r="D819" s="66"/>
      <c r="E819" s="24" t="s">
        <v>643</v>
      </c>
      <c r="F819" s="24"/>
      <c r="G819" s="25">
        <v>0</v>
      </c>
      <c r="H819" s="2"/>
    </row>
    <row r="820" spans="1:8" ht="15.75" hidden="1" customHeight="1">
      <c r="A820" s="64"/>
      <c r="B820" s="11">
        <v>45800</v>
      </c>
      <c r="C820" s="12">
        <v>4833</v>
      </c>
      <c r="D820" s="12">
        <v>70025</v>
      </c>
      <c r="E820" s="76" t="s">
        <v>431</v>
      </c>
      <c r="F820" s="27">
        <v>483370025154036</v>
      </c>
      <c r="G820" s="15">
        <v>1050</v>
      </c>
      <c r="H820" s="2"/>
    </row>
    <row r="821" spans="1:8" ht="28.5" hidden="1" customHeight="1">
      <c r="A821" s="64"/>
      <c r="B821" s="71"/>
      <c r="C821" s="71"/>
      <c r="D821" s="71"/>
      <c r="E821" s="13" t="s">
        <v>644</v>
      </c>
      <c r="F821" s="13"/>
      <c r="G821" s="30">
        <v>0</v>
      </c>
      <c r="H821" s="2"/>
    </row>
    <row r="822" spans="1:8" ht="15.75" hidden="1" customHeight="1">
      <c r="A822" s="64"/>
      <c r="B822" s="17">
        <v>45800</v>
      </c>
      <c r="C822" s="18">
        <v>4833</v>
      </c>
      <c r="D822" s="18">
        <v>70025</v>
      </c>
      <c r="E822" s="65" t="s">
        <v>431</v>
      </c>
      <c r="F822" s="20">
        <v>483370025154121</v>
      </c>
      <c r="G822" s="21">
        <v>2000</v>
      </c>
      <c r="H822" s="2"/>
    </row>
    <row r="823" spans="1:8" ht="28.5" hidden="1" customHeight="1">
      <c r="A823" s="64"/>
      <c r="B823" s="66"/>
      <c r="C823" s="66"/>
      <c r="D823" s="66"/>
      <c r="E823" s="24" t="s">
        <v>645</v>
      </c>
      <c r="F823" s="24"/>
      <c r="G823" s="25">
        <v>0</v>
      </c>
      <c r="H823" s="2"/>
    </row>
    <row r="824" spans="1:8" ht="15.75" hidden="1" customHeight="1">
      <c r="A824" s="64"/>
      <c r="B824" s="11">
        <v>45800</v>
      </c>
      <c r="C824" s="12">
        <v>4833</v>
      </c>
      <c r="D824" s="12">
        <v>70025</v>
      </c>
      <c r="E824" s="76" t="s">
        <v>431</v>
      </c>
      <c r="F824" s="27">
        <v>483370025154211</v>
      </c>
      <c r="G824" s="15">
        <v>1500</v>
      </c>
      <c r="H824" s="2"/>
    </row>
    <row r="825" spans="1:8" ht="28.5" hidden="1" customHeight="1">
      <c r="A825" s="64"/>
      <c r="B825" s="71"/>
      <c r="C825" s="71"/>
      <c r="D825" s="71"/>
      <c r="E825" s="13" t="s">
        <v>646</v>
      </c>
      <c r="F825" s="13"/>
      <c r="G825" s="30">
        <v>0</v>
      </c>
      <c r="H825" s="2"/>
    </row>
    <row r="826" spans="1:8" ht="15.75" hidden="1" customHeight="1">
      <c r="A826" s="64"/>
      <c r="B826" s="17">
        <v>45800</v>
      </c>
      <c r="C826" s="18">
        <v>4833</v>
      </c>
      <c r="D826" s="18">
        <v>70025</v>
      </c>
      <c r="E826" s="65" t="s">
        <v>431</v>
      </c>
      <c r="F826" s="20">
        <v>483370025154318</v>
      </c>
      <c r="G826" s="21">
        <v>2000</v>
      </c>
      <c r="H826" s="2"/>
    </row>
    <row r="827" spans="1:8" ht="28.5" hidden="1" customHeight="1">
      <c r="A827" s="64"/>
      <c r="B827" s="66"/>
      <c r="C827" s="66"/>
      <c r="D827" s="66"/>
      <c r="E827" s="24" t="s">
        <v>647</v>
      </c>
      <c r="F827" s="24"/>
      <c r="G827" s="25">
        <v>0</v>
      </c>
      <c r="H827" s="2"/>
    </row>
    <row r="828" spans="1:8" ht="15.75" hidden="1" customHeight="1">
      <c r="A828" s="64"/>
      <c r="B828" s="11">
        <v>45800</v>
      </c>
      <c r="C828" s="12">
        <v>4833</v>
      </c>
      <c r="D828" s="12">
        <v>70025</v>
      </c>
      <c r="E828" s="76" t="s">
        <v>431</v>
      </c>
      <c r="F828" s="27">
        <v>483370025154402</v>
      </c>
      <c r="G828" s="15">
        <v>1500</v>
      </c>
      <c r="H828" s="2"/>
    </row>
    <row r="829" spans="1:8" ht="28.5" hidden="1" customHeight="1">
      <c r="A829" s="64"/>
      <c r="B829" s="71"/>
      <c r="C829" s="71"/>
      <c r="D829" s="71"/>
      <c r="E829" s="13" t="s">
        <v>648</v>
      </c>
      <c r="F829" s="13"/>
      <c r="G829" s="30">
        <v>0</v>
      </c>
      <c r="H829" s="2"/>
    </row>
    <row r="830" spans="1:8" ht="15.75" hidden="1" customHeight="1">
      <c r="A830" s="64"/>
      <c r="B830" s="17">
        <v>45800</v>
      </c>
      <c r="C830" s="18">
        <v>4833</v>
      </c>
      <c r="D830" s="18">
        <v>70025</v>
      </c>
      <c r="E830" s="65" t="s">
        <v>431</v>
      </c>
      <c r="F830" s="20">
        <v>483370025154442</v>
      </c>
      <c r="G830" s="21">
        <v>2000</v>
      </c>
      <c r="H830" s="2"/>
    </row>
    <row r="831" spans="1:8" ht="28.5" hidden="1" customHeight="1">
      <c r="A831" s="64"/>
      <c r="B831" s="66"/>
      <c r="C831" s="66"/>
      <c r="D831" s="66"/>
      <c r="E831" s="24" t="s">
        <v>648</v>
      </c>
      <c r="F831" s="24"/>
      <c r="G831" s="25">
        <v>0</v>
      </c>
      <c r="H831" s="2"/>
    </row>
    <row r="832" spans="1:8" ht="15.75" hidden="1" customHeight="1">
      <c r="A832" s="64"/>
      <c r="B832" s="11">
        <v>45800</v>
      </c>
      <c r="C832" s="12">
        <v>4833</v>
      </c>
      <c r="D832" s="12">
        <v>70025</v>
      </c>
      <c r="E832" s="76" t="s">
        <v>431</v>
      </c>
      <c r="F832" s="27">
        <v>483370025154729</v>
      </c>
      <c r="G832" s="15">
        <v>1700</v>
      </c>
      <c r="H832" s="2"/>
    </row>
    <row r="833" spans="1:8" ht="28.5" hidden="1" customHeight="1">
      <c r="A833" s="64"/>
      <c r="B833" s="71"/>
      <c r="C833" s="71"/>
      <c r="D833" s="71"/>
      <c r="E833" s="13" t="s">
        <v>649</v>
      </c>
      <c r="F833" s="13"/>
      <c r="G833" s="30">
        <v>0</v>
      </c>
      <c r="H833" s="2"/>
    </row>
    <row r="834" spans="1:8" ht="15.75" hidden="1" customHeight="1">
      <c r="A834" s="64"/>
      <c r="B834" s="17">
        <v>45800</v>
      </c>
      <c r="C834" s="18">
        <v>4833</v>
      </c>
      <c r="D834" s="18">
        <v>70025</v>
      </c>
      <c r="E834" s="65" t="s">
        <v>431</v>
      </c>
      <c r="F834" s="20">
        <v>483370025154822</v>
      </c>
      <c r="G834" s="21">
        <v>900</v>
      </c>
      <c r="H834" s="2"/>
    </row>
    <row r="835" spans="1:8" ht="28.5" hidden="1" customHeight="1">
      <c r="A835" s="64"/>
      <c r="B835" s="66"/>
      <c r="C835" s="66"/>
      <c r="D835" s="66"/>
      <c r="E835" s="24" t="s">
        <v>650</v>
      </c>
      <c r="F835" s="24"/>
      <c r="G835" s="25">
        <v>0</v>
      </c>
      <c r="H835" s="2"/>
    </row>
    <row r="836" spans="1:8" ht="15.75" hidden="1" customHeight="1">
      <c r="A836" s="64"/>
      <c r="B836" s="11">
        <v>45800</v>
      </c>
      <c r="C836" s="12">
        <v>4833</v>
      </c>
      <c r="D836" s="12">
        <v>70025</v>
      </c>
      <c r="E836" s="76" t="s">
        <v>431</v>
      </c>
      <c r="F836" s="27">
        <v>483370025154918</v>
      </c>
      <c r="G836" s="15">
        <v>1300</v>
      </c>
      <c r="H836" s="2"/>
    </row>
    <row r="837" spans="1:8" ht="28.5" hidden="1" customHeight="1">
      <c r="A837" s="64"/>
      <c r="B837" s="71"/>
      <c r="C837" s="71"/>
      <c r="D837" s="71"/>
      <c r="E837" s="13" t="s">
        <v>651</v>
      </c>
      <c r="F837" s="13"/>
      <c r="G837" s="30">
        <v>0</v>
      </c>
      <c r="H837" s="2"/>
    </row>
    <row r="838" spans="1:8" ht="15.75" hidden="1" customHeight="1">
      <c r="A838" s="64"/>
      <c r="B838" s="17">
        <v>45800</v>
      </c>
      <c r="C838" s="18">
        <v>4833</v>
      </c>
      <c r="D838" s="18">
        <v>70025</v>
      </c>
      <c r="E838" s="65" t="s">
        <v>431</v>
      </c>
      <c r="F838" s="20">
        <v>483370025155424</v>
      </c>
      <c r="G838" s="21">
        <v>800</v>
      </c>
      <c r="H838" s="2"/>
    </row>
    <row r="839" spans="1:8" ht="28.5" hidden="1" customHeight="1">
      <c r="A839" s="64"/>
      <c r="B839" s="66"/>
      <c r="C839" s="66"/>
      <c r="D839" s="66"/>
      <c r="E839" s="24" t="s">
        <v>652</v>
      </c>
      <c r="F839" s="24"/>
      <c r="G839" s="25">
        <v>0</v>
      </c>
      <c r="H839" s="2"/>
    </row>
    <row r="840" spans="1:8" ht="15.75" hidden="1" customHeight="1">
      <c r="A840" s="64"/>
      <c r="B840" s="11">
        <v>45800</v>
      </c>
      <c r="C840" s="12">
        <v>4833</v>
      </c>
      <c r="D840" s="12">
        <v>70025</v>
      </c>
      <c r="E840" s="76" t="s">
        <v>431</v>
      </c>
      <c r="F840" s="27">
        <v>483370025155508</v>
      </c>
      <c r="G840" s="15">
        <v>400</v>
      </c>
      <c r="H840" s="2"/>
    </row>
    <row r="841" spans="1:8" ht="28.5" hidden="1" customHeight="1">
      <c r="A841" s="64"/>
      <c r="B841" s="71"/>
      <c r="C841" s="71"/>
      <c r="D841" s="71"/>
      <c r="E841" s="13" t="s">
        <v>653</v>
      </c>
      <c r="F841" s="13"/>
      <c r="G841" s="30">
        <v>0</v>
      </c>
      <c r="H841" s="2"/>
    </row>
    <row r="842" spans="1:8" ht="15.75" hidden="1" customHeight="1">
      <c r="A842" s="64"/>
      <c r="B842" s="17">
        <v>45800</v>
      </c>
      <c r="C842" s="18">
        <v>4833</v>
      </c>
      <c r="D842" s="18">
        <v>70025</v>
      </c>
      <c r="E842" s="65" t="s">
        <v>431</v>
      </c>
      <c r="F842" s="20">
        <v>483370025155547</v>
      </c>
      <c r="G842" s="21">
        <v>600</v>
      </c>
      <c r="H842" s="2"/>
    </row>
    <row r="843" spans="1:8" ht="28.5" hidden="1" customHeight="1">
      <c r="A843" s="64"/>
      <c r="B843" s="66"/>
      <c r="C843" s="66"/>
      <c r="D843" s="66"/>
      <c r="E843" s="24" t="s">
        <v>653</v>
      </c>
      <c r="F843" s="24"/>
      <c r="G843" s="25">
        <v>0</v>
      </c>
      <c r="H843" s="2"/>
    </row>
    <row r="844" spans="1:8" ht="15.75" hidden="1" customHeight="1">
      <c r="A844" s="64"/>
      <c r="B844" s="11">
        <v>45800</v>
      </c>
      <c r="C844" s="12">
        <v>4833</v>
      </c>
      <c r="D844" s="12">
        <v>70025</v>
      </c>
      <c r="E844" s="76" t="s">
        <v>431</v>
      </c>
      <c r="F844" s="27">
        <v>483370025155637</v>
      </c>
      <c r="G844" s="15">
        <v>900</v>
      </c>
      <c r="H844" s="2"/>
    </row>
    <row r="845" spans="1:8" ht="28.5" hidden="1" customHeight="1">
      <c r="A845" s="64"/>
      <c r="B845" s="71"/>
      <c r="C845" s="71"/>
      <c r="D845" s="71"/>
      <c r="E845" s="13" t="s">
        <v>654</v>
      </c>
      <c r="F845" s="13"/>
      <c r="G845" s="30">
        <v>0</v>
      </c>
      <c r="H845" s="2"/>
    </row>
    <row r="846" spans="1:8" ht="15.75" hidden="1" customHeight="1">
      <c r="A846" s="64"/>
      <c r="B846" s="17">
        <v>45800</v>
      </c>
      <c r="C846" s="18">
        <v>4833</v>
      </c>
      <c r="D846" s="18">
        <v>70025</v>
      </c>
      <c r="E846" s="65" t="s">
        <v>431</v>
      </c>
      <c r="F846" s="20">
        <v>483370025155726</v>
      </c>
      <c r="G846" s="21">
        <v>600</v>
      </c>
      <c r="H846" s="2"/>
    </row>
    <row r="847" spans="1:8" ht="28.5" hidden="1" customHeight="1">
      <c r="A847" s="64"/>
      <c r="B847" s="66"/>
      <c r="C847" s="66"/>
      <c r="D847" s="66"/>
      <c r="E847" s="24" t="s">
        <v>655</v>
      </c>
      <c r="F847" s="24"/>
      <c r="G847" s="25">
        <v>0</v>
      </c>
      <c r="H847" s="2"/>
    </row>
    <row r="848" spans="1:8" ht="15.75" hidden="1" customHeight="1">
      <c r="A848" s="64"/>
      <c r="B848" s="11">
        <v>45800</v>
      </c>
      <c r="C848" s="12">
        <v>4833</v>
      </c>
      <c r="D848" s="12">
        <v>70025</v>
      </c>
      <c r="E848" s="76" t="s">
        <v>431</v>
      </c>
      <c r="F848" s="27">
        <v>483370025155811</v>
      </c>
      <c r="G848" s="15">
        <v>700</v>
      </c>
      <c r="H848" s="2"/>
    </row>
    <row r="849" spans="1:9" ht="28.5" hidden="1" customHeight="1">
      <c r="A849" s="64"/>
      <c r="B849" s="71"/>
      <c r="C849" s="71"/>
      <c r="D849" s="71"/>
      <c r="E849" s="13" t="s">
        <v>656</v>
      </c>
      <c r="F849" s="13"/>
      <c r="G849" s="30">
        <v>0</v>
      </c>
      <c r="H849" s="2"/>
    </row>
    <row r="850" spans="1:9" ht="15.75" hidden="1" customHeight="1">
      <c r="A850" s="64"/>
      <c r="B850" s="17">
        <v>45800</v>
      </c>
      <c r="C850" s="18">
        <v>4833</v>
      </c>
      <c r="D850" s="18">
        <v>70025</v>
      </c>
      <c r="E850" s="65" t="s">
        <v>431</v>
      </c>
      <c r="F850" s="20">
        <v>483370025155848</v>
      </c>
      <c r="G850" s="21">
        <v>100</v>
      </c>
      <c r="H850" s="2"/>
    </row>
    <row r="851" spans="1:9" ht="28.5" hidden="1" customHeight="1">
      <c r="A851" s="64"/>
      <c r="B851" s="66"/>
      <c r="C851" s="66"/>
      <c r="D851" s="66"/>
      <c r="E851" s="24" t="s">
        <v>656</v>
      </c>
      <c r="F851" s="24"/>
      <c r="G851" s="25">
        <v>0</v>
      </c>
      <c r="H851" s="2"/>
    </row>
    <row r="852" spans="1:9" ht="15.75" hidden="1" customHeight="1">
      <c r="A852" s="64"/>
      <c r="B852" s="11">
        <v>45800</v>
      </c>
      <c r="C852" s="12">
        <v>4833</v>
      </c>
      <c r="D852" s="12">
        <v>72881</v>
      </c>
      <c r="E852" s="76" t="s">
        <v>431</v>
      </c>
      <c r="F852" s="27">
        <v>483372881153545</v>
      </c>
      <c r="G852" s="15">
        <v>750</v>
      </c>
      <c r="H852" s="2"/>
    </row>
    <row r="853" spans="1:9" ht="28.5" hidden="1" customHeight="1">
      <c r="A853" s="64"/>
      <c r="B853" s="71"/>
      <c r="C853" s="71"/>
      <c r="D853" s="71"/>
      <c r="E853" s="13" t="s">
        <v>657</v>
      </c>
      <c r="F853" s="13"/>
      <c r="G853" s="30">
        <v>0</v>
      </c>
      <c r="H853" s="2"/>
    </row>
    <row r="854" spans="1:9" ht="15.75" hidden="1" customHeight="1">
      <c r="A854" s="64"/>
      <c r="B854" s="17">
        <v>45800</v>
      </c>
      <c r="C854" s="18">
        <v>128</v>
      </c>
      <c r="D854" s="18">
        <v>99021</v>
      </c>
      <c r="E854" s="65" t="s">
        <v>27</v>
      </c>
      <c r="F854" s="20">
        <v>610128000064860</v>
      </c>
      <c r="G854" s="21">
        <v>2656.06</v>
      </c>
      <c r="H854" s="2"/>
    </row>
    <row r="855" spans="1:9" ht="15.75" hidden="1" customHeight="1">
      <c r="A855" s="64"/>
      <c r="B855" s="66"/>
      <c r="C855" s="66"/>
      <c r="D855" s="66"/>
      <c r="E855" s="24" t="s">
        <v>658</v>
      </c>
      <c r="F855" s="24"/>
      <c r="G855" s="25">
        <v>0</v>
      </c>
      <c r="H855" s="2"/>
    </row>
    <row r="856" spans="1:9" ht="15.75" hidden="1" customHeight="1">
      <c r="A856" s="64"/>
      <c r="B856" s="11">
        <v>45800</v>
      </c>
      <c r="C856" s="12">
        <v>5072</v>
      </c>
      <c r="D856" s="12">
        <v>99021</v>
      </c>
      <c r="E856" s="76" t="s">
        <v>27</v>
      </c>
      <c r="F856" s="27">
        <v>615072000004700</v>
      </c>
      <c r="G856" s="15">
        <v>294.02999999999997</v>
      </c>
      <c r="H856" s="2"/>
    </row>
    <row r="857" spans="1:9" ht="15.75" hidden="1" customHeight="1">
      <c r="A857" s="64"/>
      <c r="B857" s="71"/>
      <c r="C857" s="71"/>
      <c r="D857" s="71"/>
      <c r="E857" s="13" t="s">
        <v>659</v>
      </c>
      <c r="F857" s="13"/>
      <c r="G857" s="30">
        <v>0</v>
      </c>
      <c r="H857" s="2"/>
    </row>
    <row r="858" spans="1:9" ht="15.75" hidden="1" customHeight="1">
      <c r="A858" s="64"/>
      <c r="B858" s="17">
        <v>45800</v>
      </c>
      <c r="C858" s="18">
        <v>5072</v>
      </c>
      <c r="D858" s="18">
        <v>99021</v>
      </c>
      <c r="E858" s="65" t="s">
        <v>27</v>
      </c>
      <c r="F858" s="20">
        <v>615072000004700</v>
      </c>
      <c r="G858" s="21">
        <v>116.57</v>
      </c>
      <c r="H858" s="2"/>
    </row>
    <row r="859" spans="1:9" ht="15.75" hidden="1" customHeight="1">
      <c r="A859" s="64"/>
      <c r="B859" s="66"/>
      <c r="C859" s="66"/>
      <c r="D859" s="66"/>
      <c r="E859" s="24" t="s">
        <v>660</v>
      </c>
      <c r="F859" s="24"/>
      <c r="G859" s="25">
        <v>0</v>
      </c>
      <c r="H859" s="2"/>
    </row>
    <row r="860" spans="1:9" ht="15.75" customHeight="1">
      <c r="A860" s="130" t="s">
        <v>140</v>
      </c>
      <c r="B860" s="34">
        <v>45800</v>
      </c>
      <c r="C860" s="35">
        <v>0</v>
      </c>
      <c r="D860" s="35">
        <v>14138</v>
      </c>
      <c r="E860" s="68" t="s">
        <v>141</v>
      </c>
      <c r="F860" s="69">
        <v>202505220026611</v>
      </c>
      <c r="G860" s="70">
        <v>3104.84</v>
      </c>
      <c r="H860" s="2" t="s">
        <v>661</v>
      </c>
      <c r="I860" s="79" t="s">
        <v>428</v>
      </c>
    </row>
    <row r="861" spans="1:9" ht="15.75" hidden="1" customHeight="1">
      <c r="A861" s="64"/>
      <c r="B861" s="71"/>
      <c r="C861" s="71"/>
      <c r="D861" s="71"/>
      <c r="E861" s="13" t="s">
        <v>143</v>
      </c>
      <c r="F861" s="13"/>
      <c r="G861" s="30">
        <v>0</v>
      </c>
      <c r="H861" s="2"/>
    </row>
    <row r="862" spans="1:9" ht="15.75" hidden="1" customHeight="1">
      <c r="A862" s="64"/>
      <c r="B862" s="17">
        <v>45800</v>
      </c>
      <c r="C862" s="18">
        <v>0</v>
      </c>
      <c r="D862" s="18">
        <v>14397</v>
      </c>
      <c r="E862" s="65" t="s">
        <v>57</v>
      </c>
      <c r="F862" s="20">
        <v>231520340019002</v>
      </c>
      <c r="G862" s="21">
        <v>80</v>
      </c>
      <c r="H862" s="2"/>
    </row>
    <row r="863" spans="1:9" ht="28.5" hidden="1" customHeight="1">
      <c r="A863" s="64"/>
      <c r="B863" s="66"/>
      <c r="C863" s="66"/>
      <c r="D863" s="66"/>
      <c r="E863" s="24" t="s">
        <v>662</v>
      </c>
      <c r="F863" s="24"/>
      <c r="G863" s="25">
        <v>0</v>
      </c>
      <c r="H863" s="2"/>
    </row>
    <row r="864" spans="1:9" ht="15.75" hidden="1" customHeight="1">
      <c r="A864" s="64"/>
      <c r="B864" s="11">
        <v>45800</v>
      </c>
      <c r="C864" s="12">
        <v>0</v>
      </c>
      <c r="D864" s="12">
        <v>14397</v>
      </c>
      <c r="E864" s="76" t="s">
        <v>57</v>
      </c>
      <c r="F864" s="27">
        <v>480074418137131</v>
      </c>
      <c r="G864" s="15">
        <v>3000</v>
      </c>
      <c r="H864" s="2"/>
    </row>
    <row r="865" spans="1:8" ht="28.5" hidden="1" customHeight="1">
      <c r="A865" s="64"/>
      <c r="B865" s="71"/>
      <c r="C865" s="71"/>
      <c r="D865" s="71"/>
      <c r="E865" s="13" t="s">
        <v>663</v>
      </c>
      <c r="F865" s="13"/>
      <c r="G865" s="30">
        <v>0</v>
      </c>
      <c r="H865" s="2"/>
    </row>
    <row r="866" spans="1:8" ht="15.75" hidden="1" customHeight="1">
      <c r="A866" s="64"/>
      <c r="B866" s="17">
        <v>45800</v>
      </c>
      <c r="C866" s="18">
        <v>1533</v>
      </c>
      <c r="D866" s="18">
        <v>99008</v>
      </c>
      <c r="E866" s="65" t="s">
        <v>29</v>
      </c>
      <c r="F866" s="20">
        <v>301052</v>
      </c>
      <c r="G866" s="31">
        <v>181.2</v>
      </c>
      <c r="H866" s="2"/>
    </row>
    <row r="867" spans="1:8" ht="15.75" hidden="1" customHeight="1">
      <c r="A867" s="64"/>
      <c r="B867" s="66"/>
      <c r="C867" s="66"/>
      <c r="D867" s="66"/>
      <c r="E867" s="24" t="s">
        <v>664</v>
      </c>
      <c r="F867" s="24"/>
      <c r="G867" s="25">
        <v>0</v>
      </c>
      <c r="H867" s="2"/>
    </row>
    <row r="868" spans="1:8" ht="15.75" hidden="1" customHeight="1">
      <c r="A868" s="64"/>
      <c r="B868" s="11">
        <v>45800</v>
      </c>
      <c r="C868" s="12">
        <v>0</v>
      </c>
      <c r="D868" s="12">
        <v>13105</v>
      </c>
      <c r="E868" s="76" t="s">
        <v>31</v>
      </c>
      <c r="F868" s="27">
        <v>52301</v>
      </c>
      <c r="G868" s="28">
        <v>32.39</v>
      </c>
      <c r="H868" s="2"/>
    </row>
    <row r="869" spans="1:8" ht="15.75" hidden="1" customHeight="1">
      <c r="A869" s="64"/>
      <c r="B869" s="71"/>
      <c r="C869" s="71"/>
      <c r="D869" s="71"/>
      <c r="E869" s="13" t="s">
        <v>46</v>
      </c>
      <c r="F869" s="13"/>
      <c r="G869" s="30">
        <v>0</v>
      </c>
      <c r="H869" s="2"/>
    </row>
    <row r="870" spans="1:8" ht="15.75" hidden="1" customHeight="1">
      <c r="A870" s="64"/>
      <c r="B870" s="17">
        <v>45800</v>
      </c>
      <c r="C870" s="18">
        <v>0</v>
      </c>
      <c r="D870" s="18">
        <v>13105</v>
      </c>
      <c r="E870" s="65" t="s">
        <v>31</v>
      </c>
      <c r="F870" s="20">
        <v>52302</v>
      </c>
      <c r="G870" s="31">
        <v>676.4</v>
      </c>
      <c r="H870" s="2"/>
    </row>
    <row r="871" spans="1:8" ht="15.75" hidden="1" customHeight="1">
      <c r="A871" s="64"/>
      <c r="B871" s="66"/>
      <c r="C871" s="66"/>
      <c r="D871" s="66"/>
      <c r="E871" s="24" t="s">
        <v>441</v>
      </c>
      <c r="F871" s="24"/>
      <c r="G871" s="25">
        <v>0</v>
      </c>
      <c r="H871" s="2"/>
    </row>
    <row r="872" spans="1:8" ht="15.75" hidden="1" customHeight="1">
      <c r="A872" s="64"/>
      <c r="B872" s="11">
        <v>45800</v>
      </c>
      <c r="C872" s="12">
        <v>0</v>
      </c>
      <c r="D872" s="12">
        <v>13105</v>
      </c>
      <c r="E872" s="76" t="s">
        <v>31</v>
      </c>
      <c r="F872" s="27">
        <v>52303</v>
      </c>
      <c r="G872" s="28">
        <v>393.9</v>
      </c>
      <c r="H872" s="2"/>
    </row>
    <row r="873" spans="1:8" ht="15.75" hidden="1" customHeight="1">
      <c r="A873" s="64"/>
      <c r="B873" s="71"/>
      <c r="C873" s="71"/>
      <c r="D873" s="71"/>
      <c r="E873" s="13" t="s">
        <v>340</v>
      </c>
      <c r="F873" s="13"/>
      <c r="G873" s="30">
        <v>0</v>
      </c>
      <c r="H873" s="2"/>
    </row>
    <row r="874" spans="1:8" ht="15.75" hidden="1" customHeight="1">
      <c r="A874" s="64"/>
      <c r="B874" s="17">
        <v>45800</v>
      </c>
      <c r="C874" s="18">
        <v>0</v>
      </c>
      <c r="D874" s="18">
        <v>13105</v>
      </c>
      <c r="E874" s="65" t="s">
        <v>31</v>
      </c>
      <c r="F874" s="20">
        <v>52304</v>
      </c>
      <c r="G874" s="31">
        <v>350.85</v>
      </c>
      <c r="H874" s="2"/>
    </row>
    <row r="875" spans="1:8" ht="15.75" hidden="1" customHeight="1">
      <c r="A875" s="64"/>
      <c r="B875" s="66"/>
      <c r="C875" s="66"/>
      <c r="D875" s="66"/>
      <c r="E875" s="24" t="s">
        <v>78</v>
      </c>
      <c r="F875" s="24"/>
      <c r="G875" s="25">
        <v>0</v>
      </c>
      <c r="H875" s="2"/>
    </row>
    <row r="876" spans="1:8" ht="15.75" hidden="1" customHeight="1">
      <c r="A876" s="64"/>
      <c r="B876" s="11">
        <v>45800</v>
      </c>
      <c r="C876" s="12">
        <v>0</v>
      </c>
      <c r="D876" s="12">
        <v>13105</v>
      </c>
      <c r="E876" s="76" t="s">
        <v>31</v>
      </c>
      <c r="F876" s="27">
        <v>52305</v>
      </c>
      <c r="G876" s="28">
        <v>544.37</v>
      </c>
      <c r="H876" s="2"/>
    </row>
    <row r="877" spans="1:8" ht="15.75" hidden="1" customHeight="1">
      <c r="A877" s="64"/>
      <c r="B877" s="71"/>
      <c r="C877" s="71"/>
      <c r="D877" s="71"/>
      <c r="E877" s="13" t="s">
        <v>78</v>
      </c>
      <c r="F877" s="13"/>
      <c r="G877" s="30">
        <v>0</v>
      </c>
      <c r="H877" s="2"/>
    </row>
    <row r="878" spans="1:8" ht="15.75" hidden="1" customHeight="1">
      <c r="A878" s="64"/>
      <c r="B878" s="17">
        <v>45800</v>
      </c>
      <c r="C878" s="18">
        <v>0</v>
      </c>
      <c r="D878" s="18">
        <v>13105</v>
      </c>
      <c r="E878" s="65" t="s">
        <v>31</v>
      </c>
      <c r="F878" s="20">
        <v>52306</v>
      </c>
      <c r="G878" s="31">
        <v>175.74</v>
      </c>
      <c r="H878" s="2"/>
    </row>
    <row r="879" spans="1:8" ht="28.5" hidden="1" customHeight="1">
      <c r="A879" s="64"/>
      <c r="B879" s="66"/>
      <c r="C879" s="66"/>
      <c r="D879" s="66"/>
      <c r="E879" s="24" t="s">
        <v>289</v>
      </c>
      <c r="F879" s="24"/>
      <c r="G879" s="25">
        <v>0</v>
      </c>
      <c r="H879" s="2"/>
    </row>
    <row r="880" spans="1:8" ht="15.75" hidden="1" customHeight="1">
      <c r="A880" s="64"/>
      <c r="B880" s="11">
        <v>45800</v>
      </c>
      <c r="C880" s="12">
        <v>0</v>
      </c>
      <c r="D880" s="12">
        <v>13105</v>
      </c>
      <c r="E880" s="76" t="s">
        <v>31</v>
      </c>
      <c r="F880" s="27">
        <v>52307</v>
      </c>
      <c r="G880" s="28">
        <v>3773.29</v>
      </c>
      <c r="H880" s="2"/>
    </row>
    <row r="881" spans="1:8" ht="15.75" hidden="1" customHeight="1">
      <c r="A881" s="64"/>
      <c r="B881" s="71"/>
      <c r="C881" s="71"/>
      <c r="D881" s="71"/>
      <c r="E881" s="13" t="s">
        <v>139</v>
      </c>
      <c r="F881" s="13"/>
      <c r="G881" s="30">
        <v>0</v>
      </c>
      <c r="H881" s="2"/>
    </row>
    <row r="882" spans="1:8" ht="15.75" hidden="1" customHeight="1">
      <c r="A882" s="64"/>
      <c r="B882" s="17">
        <v>45800</v>
      </c>
      <c r="C882" s="18">
        <v>0</v>
      </c>
      <c r="D882" s="18">
        <v>13105</v>
      </c>
      <c r="E882" s="65" t="s">
        <v>31</v>
      </c>
      <c r="F882" s="20">
        <v>52308</v>
      </c>
      <c r="G882" s="31">
        <v>291.23</v>
      </c>
      <c r="H882" s="2"/>
    </row>
    <row r="883" spans="1:8" ht="28.5" hidden="1" customHeight="1">
      <c r="A883" s="64"/>
      <c r="B883" s="66"/>
      <c r="C883" s="66"/>
      <c r="D883" s="66"/>
      <c r="E883" s="24" t="s">
        <v>41</v>
      </c>
      <c r="F883" s="24"/>
      <c r="G883" s="25">
        <v>0</v>
      </c>
      <c r="H883" s="2"/>
    </row>
    <row r="884" spans="1:8" ht="15.75" hidden="1" customHeight="1">
      <c r="A884" s="64"/>
      <c r="B884" s="11">
        <v>45800</v>
      </c>
      <c r="C884" s="12">
        <v>0</v>
      </c>
      <c r="D884" s="12">
        <v>13105</v>
      </c>
      <c r="E884" s="76" t="s">
        <v>31</v>
      </c>
      <c r="F884" s="27">
        <v>52309</v>
      </c>
      <c r="G884" s="28">
        <v>612.29999999999995</v>
      </c>
      <c r="H884" s="2"/>
    </row>
    <row r="885" spans="1:8" ht="28.5" hidden="1" customHeight="1">
      <c r="A885" s="64"/>
      <c r="B885" s="71"/>
      <c r="C885" s="71"/>
      <c r="D885" s="71"/>
      <c r="E885" s="13" t="s">
        <v>41</v>
      </c>
      <c r="F885" s="13"/>
      <c r="G885" s="30">
        <v>0</v>
      </c>
      <c r="H885" s="2"/>
    </row>
    <row r="886" spans="1:8" ht="15.75" hidden="1" customHeight="1">
      <c r="A886" s="64"/>
      <c r="B886" s="17">
        <v>45800</v>
      </c>
      <c r="C886" s="18">
        <v>0</v>
      </c>
      <c r="D886" s="18">
        <v>13105</v>
      </c>
      <c r="E886" s="65" t="s">
        <v>31</v>
      </c>
      <c r="F886" s="20">
        <v>52310</v>
      </c>
      <c r="G886" s="31">
        <v>1106.56</v>
      </c>
      <c r="H886" s="2"/>
    </row>
    <row r="887" spans="1:8" ht="28.5" hidden="1" customHeight="1">
      <c r="A887" s="64"/>
      <c r="B887" s="66"/>
      <c r="C887" s="66"/>
      <c r="D887" s="66"/>
      <c r="E887" s="24" t="s">
        <v>223</v>
      </c>
      <c r="F887" s="24"/>
      <c r="G887" s="25">
        <v>0</v>
      </c>
      <c r="H887" s="2"/>
    </row>
    <row r="888" spans="1:8" ht="15.75" hidden="1" customHeight="1">
      <c r="A888" s="64"/>
      <c r="B888" s="11">
        <v>45800</v>
      </c>
      <c r="C888" s="12">
        <v>0</v>
      </c>
      <c r="D888" s="12">
        <v>13105</v>
      </c>
      <c r="E888" s="76" t="s">
        <v>31</v>
      </c>
      <c r="F888" s="27">
        <v>52311</v>
      </c>
      <c r="G888" s="28">
        <v>163.13999999999999</v>
      </c>
      <c r="H888" s="2"/>
    </row>
    <row r="889" spans="1:8" ht="15.75" hidden="1" customHeight="1">
      <c r="A889" s="64"/>
      <c r="B889" s="71"/>
      <c r="C889" s="71"/>
      <c r="D889" s="71"/>
      <c r="E889" s="13" t="s">
        <v>185</v>
      </c>
      <c r="F889" s="13"/>
      <c r="G889" s="30">
        <v>0</v>
      </c>
      <c r="H889" s="2"/>
    </row>
    <row r="890" spans="1:8" ht="15.75" hidden="1" customHeight="1">
      <c r="A890" s="64"/>
      <c r="B890" s="17">
        <v>45800</v>
      </c>
      <c r="C890" s="18">
        <v>0</v>
      </c>
      <c r="D890" s="18">
        <v>13105</v>
      </c>
      <c r="E890" s="65" t="s">
        <v>31</v>
      </c>
      <c r="F890" s="20">
        <v>52312</v>
      </c>
      <c r="G890" s="31">
        <v>400.24</v>
      </c>
      <c r="H890" s="2"/>
    </row>
    <row r="891" spans="1:8" ht="28.5" hidden="1" customHeight="1">
      <c r="A891" s="64"/>
      <c r="B891" s="66"/>
      <c r="C891" s="66"/>
      <c r="D891" s="66"/>
      <c r="E891" s="24" t="s">
        <v>45</v>
      </c>
      <c r="F891" s="24"/>
      <c r="G891" s="25">
        <v>0</v>
      </c>
      <c r="H891" s="2"/>
    </row>
    <row r="892" spans="1:8" ht="15.75" hidden="1" customHeight="1">
      <c r="A892" s="64"/>
      <c r="B892" s="11">
        <v>45800</v>
      </c>
      <c r="C892" s="12">
        <v>0</v>
      </c>
      <c r="D892" s="12">
        <v>13105</v>
      </c>
      <c r="E892" s="76" t="s">
        <v>31</v>
      </c>
      <c r="F892" s="27">
        <v>52313</v>
      </c>
      <c r="G892" s="28">
        <v>299.94</v>
      </c>
      <c r="H892" s="2"/>
    </row>
    <row r="893" spans="1:8" ht="28.5" hidden="1" customHeight="1">
      <c r="A893" s="64"/>
      <c r="B893" s="71"/>
      <c r="C893" s="71"/>
      <c r="D893" s="71"/>
      <c r="E893" s="13" t="s">
        <v>110</v>
      </c>
      <c r="F893" s="13"/>
      <c r="G893" s="30">
        <v>0</v>
      </c>
      <c r="H893" s="2"/>
    </row>
    <row r="894" spans="1:8" ht="15.75" hidden="1" customHeight="1">
      <c r="A894" s="64"/>
      <c r="B894" s="17">
        <v>45800</v>
      </c>
      <c r="C894" s="18">
        <v>0</v>
      </c>
      <c r="D894" s="18">
        <v>13105</v>
      </c>
      <c r="E894" s="65" t="s">
        <v>370</v>
      </c>
      <c r="F894" s="20">
        <v>52314</v>
      </c>
      <c r="G894" s="31">
        <v>20000</v>
      </c>
      <c r="H894" s="2"/>
    </row>
    <row r="895" spans="1:8" ht="28.5" hidden="1" customHeight="1">
      <c r="A895" s="64"/>
      <c r="B895" s="66"/>
      <c r="C895" s="66"/>
      <c r="D895" s="66"/>
      <c r="E895" s="24" t="s">
        <v>371</v>
      </c>
      <c r="F895" s="24"/>
      <c r="G895" s="25">
        <v>0</v>
      </c>
      <c r="H895" s="2"/>
    </row>
    <row r="896" spans="1:8" ht="15.75" hidden="1" customHeight="1">
      <c r="A896" s="64"/>
      <c r="B896" s="11">
        <v>45800</v>
      </c>
      <c r="C896" s="12">
        <v>0</v>
      </c>
      <c r="D896" s="12">
        <v>13105</v>
      </c>
      <c r="E896" s="76" t="s">
        <v>31</v>
      </c>
      <c r="F896" s="27">
        <v>52315</v>
      </c>
      <c r="G896" s="28">
        <v>297.3</v>
      </c>
      <c r="H896" s="2"/>
    </row>
    <row r="897" spans="1:8" ht="28.5" hidden="1" customHeight="1">
      <c r="A897" s="64"/>
      <c r="B897" s="71"/>
      <c r="C897" s="71"/>
      <c r="D897" s="71"/>
      <c r="E897" s="13" t="s">
        <v>45</v>
      </c>
      <c r="F897" s="13"/>
      <c r="G897" s="30">
        <v>0</v>
      </c>
      <c r="H897" s="2"/>
    </row>
    <row r="898" spans="1:8" ht="15.75" hidden="1" customHeight="1">
      <c r="A898" s="64"/>
      <c r="B898" s="17">
        <v>45800</v>
      </c>
      <c r="C898" s="18">
        <v>0</v>
      </c>
      <c r="D898" s="18">
        <v>13105</v>
      </c>
      <c r="E898" s="65" t="s">
        <v>31</v>
      </c>
      <c r="F898" s="20">
        <v>52316</v>
      </c>
      <c r="G898" s="31">
        <v>480.65</v>
      </c>
      <c r="H898" s="2"/>
    </row>
    <row r="899" spans="1:8" ht="28.5" hidden="1" customHeight="1">
      <c r="A899" s="64"/>
      <c r="B899" s="66"/>
      <c r="C899" s="66"/>
      <c r="D899" s="66"/>
      <c r="E899" s="24" t="s">
        <v>45</v>
      </c>
      <c r="F899" s="24"/>
      <c r="G899" s="25">
        <v>0</v>
      </c>
      <c r="H899" s="2"/>
    </row>
    <row r="900" spans="1:8" ht="15.75" hidden="1" customHeight="1">
      <c r="A900" s="64"/>
      <c r="B900" s="11">
        <v>45800</v>
      </c>
      <c r="C900" s="12">
        <v>0</v>
      </c>
      <c r="D900" s="12">
        <v>13105</v>
      </c>
      <c r="E900" s="76" t="s">
        <v>31</v>
      </c>
      <c r="F900" s="27">
        <v>52317</v>
      </c>
      <c r="G900" s="28">
        <v>386.19</v>
      </c>
      <c r="H900" s="2"/>
    </row>
    <row r="901" spans="1:8" ht="28.5" hidden="1" customHeight="1">
      <c r="A901" s="64"/>
      <c r="B901" s="71"/>
      <c r="C901" s="71"/>
      <c r="D901" s="71"/>
      <c r="E901" s="13" t="s">
        <v>45</v>
      </c>
      <c r="F901" s="13"/>
      <c r="G901" s="30">
        <v>0</v>
      </c>
      <c r="H901" s="2"/>
    </row>
    <row r="902" spans="1:8" ht="15.75" hidden="1" customHeight="1">
      <c r="A902" s="64"/>
      <c r="B902" s="17">
        <v>45800</v>
      </c>
      <c r="C902" s="18">
        <v>0</v>
      </c>
      <c r="D902" s="18">
        <v>13113</v>
      </c>
      <c r="E902" s="65" t="s">
        <v>511</v>
      </c>
      <c r="F902" s="20">
        <v>831431100146167</v>
      </c>
      <c r="G902" s="31">
        <v>13</v>
      </c>
      <c r="H902" s="2"/>
    </row>
    <row r="903" spans="1:8" ht="15.75" hidden="1" customHeight="1">
      <c r="A903" s="64"/>
      <c r="B903" s="66"/>
      <c r="C903" s="66"/>
      <c r="D903" s="66"/>
      <c r="E903" s="24" t="s">
        <v>665</v>
      </c>
      <c r="F903" s="24"/>
      <c r="G903" s="25">
        <v>0</v>
      </c>
      <c r="H903" s="2"/>
    </row>
    <row r="904" spans="1:8" ht="15.75" hidden="1" customHeight="1">
      <c r="A904" s="64"/>
      <c r="B904" s="11">
        <v>45800</v>
      </c>
      <c r="C904" s="12">
        <v>0</v>
      </c>
      <c r="D904" s="12">
        <v>0</v>
      </c>
      <c r="E904" s="76" t="s">
        <v>59</v>
      </c>
      <c r="F904" s="27">
        <v>9903</v>
      </c>
      <c r="G904" s="28">
        <v>72.81</v>
      </c>
      <c r="H904" s="2"/>
    </row>
    <row r="905" spans="1:8" ht="15.75" hidden="1" customHeight="1">
      <c r="A905" s="64"/>
      <c r="B905" s="71"/>
      <c r="C905" s="71"/>
      <c r="D905" s="71"/>
      <c r="E905" s="13" t="s">
        <v>53</v>
      </c>
      <c r="F905" s="13"/>
      <c r="G905" s="30">
        <v>0</v>
      </c>
      <c r="H905" s="2"/>
    </row>
    <row r="906" spans="1:8" ht="15.75" hidden="1" customHeight="1">
      <c r="A906" s="64"/>
      <c r="B906" s="17">
        <v>45803</v>
      </c>
      <c r="C906" s="18">
        <v>0</v>
      </c>
      <c r="D906" s="18">
        <v>14397</v>
      </c>
      <c r="E906" s="65" t="s">
        <v>57</v>
      </c>
      <c r="F906" s="20">
        <v>261410500229212</v>
      </c>
      <c r="G906" s="21">
        <v>297.36</v>
      </c>
      <c r="H906" s="2"/>
    </row>
    <row r="907" spans="1:8" ht="28.5" hidden="1" customHeight="1">
      <c r="A907" s="64"/>
      <c r="B907" s="66"/>
      <c r="C907" s="66"/>
      <c r="D907" s="66"/>
      <c r="E907" s="24" t="s">
        <v>666</v>
      </c>
      <c r="F907" s="24"/>
      <c r="G907" s="25">
        <v>0</v>
      </c>
      <c r="H907" s="2"/>
    </row>
    <row r="908" spans="1:8" ht="15.75" hidden="1" customHeight="1">
      <c r="A908" s="64"/>
      <c r="B908" s="11">
        <v>45803</v>
      </c>
      <c r="C908" s="12">
        <v>0</v>
      </c>
      <c r="D908" s="12">
        <v>14397</v>
      </c>
      <c r="E908" s="76" t="s">
        <v>57</v>
      </c>
      <c r="F908" s="27">
        <v>261716214523152</v>
      </c>
      <c r="G908" s="15">
        <v>4824</v>
      </c>
      <c r="H908" s="2"/>
    </row>
    <row r="909" spans="1:8" ht="28.5" hidden="1" customHeight="1">
      <c r="A909" s="64"/>
      <c r="B909" s="71"/>
      <c r="C909" s="71"/>
      <c r="D909" s="71"/>
      <c r="E909" s="13" t="s">
        <v>667</v>
      </c>
      <c r="F909" s="13"/>
      <c r="G909" s="30">
        <v>0</v>
      </c>
      <c r="H909" s="2"/>
    </row>
    <row r="910" spans="1:8" ht="15.75" hidden="1" customHeight="1">
      <c r="A910" s="64"/>
      <c r="B910" s="17">
        <v>45803</v>
      </c>
      <c r="C910" s="18">
        <v>0</v>
      </c>
      <c r="D910" s="18">
        <v>13105</v>
      </c>
      <c r="E910" s="65" t="s">
        <v>80</v>
      </c>
      <c r="F910" s="20">
        <v>52601</v>
      </c>
      <c r="G910" s="31">
        <v>118.12</v>
      </c>
      <c r="H910" s="2"/>
    </row>
    <row r="911" spans="1:8" ht="15.75" hidden="1" customHeight="1">
      <c r="A911" s="64"/>
      <c r="B911" s="66"/>
      <c r="C911" s="66"/>
      <c r="D911" s="66"/>
      <c r="E911" s="24" t="s">
        <v>81</v>
      </c>
      <c r="F911" s="24"/>
      <c r="G911" s="25">
        <v>0</v>
      </c>
      <c r="H911" s="2"/>
    </row>
    <row r="912" spans="1:8" ht="15.75" hidden="1" customHeight="1">
      <c r="A912" s="64"/>
      <c r="B912" s="11">
        <v>45803</v>
      </c>
      <c r="C912" s="12">
        <v>0</v>
      </c>
      <c r="D912" s="12">
        <v>13105</v>
      </c>
      <c r="E912" s="76" t="s">
        <v>31</v>
      </c>
      <c r="F912" s="27">
        <v>52602</v>
      </c>
      <c r="G912" s="28">
        <v>202.7</v>
      </c>
      <c r="H912" s="2"/>
    </row>
    <row r="913" spans="1:8" ht="15.75" hidden="1" customHeight="1">
      <c r="A913" s="64"/>
      <c r="B913" s="71"/>
      <c r="C913" s="71"/>
      <c r="D913" s="71"/>
      <c r="E913" s="13" t="s">
        <v>51</v>
      </c>
      <c r="F913" s="13"/>
      <c r="G913" s="30">
        <v>0</v>
      </c>
      <c r="H913" s="2"/>
    </row>
    <row r="914" spans="1:8" ht="15.75" hidden="1" customHeight="1">
      <c r="A914" s="64"/>
      <c r="B914" s="17">
        <v>45803</v>
      </c>
      <c r="C914" s="18">
        <v>0</v>
      </c>
      <c r="D914" s="18">
        <v>13105</v>
      </c>
      <c r="E914" s="65" t="s">
        <v>31</v>
      </c>
      <c r="F914" s="20">
        <v>52603</v>
      </c>
      <c r="G914" s="31">
        <v>5837.45</v>
      </c>
      <c r="H914" s="2"/>
    </row>
    <row r="915" spans="1:8" ht="28.5" hidden="1" customHeight="1">
      <c r="A915" s="64"/>
      <c r="B915" s="66"/>
      <c r="C915" s="66"/>
      <c r="D915" s="66"/>
      <c r="E915" s="24" t="s">
        <v>362</v>
      </c>
      <c r="F915" s="24"/>
      <c r="G915" s="25">
        <v>0</v>
      </c>
      <c r="H915" s="2"/>
    </row>
    <row r="916" spans="1:8" ht="15.75" hidden="1" customHeight="1">
      <c r="A916" s="64"/>
      <c r="B916" s="11">
        <v>45803</v>
      </c>
      <c r="C916" s="12">
        <v>0</v>
      </c>
      <c r="D916" s="12">
        <v>0</v>
      </c>
      <c r="E916" s="76" t="s">
        <v>52</v>
      </c>
      <c r="F916" s="27">
        <v>9903</v>
      </c>
      <c r="G916" s="15">
        <v>1036.9100000000001</v>
      </c>
      <c r="H916" s="2"/>
    </row>
    <row r="917" spans="1:8" ht="15.75" hidden="1" customHeight="1">
      <c r="A917" s="64"/>
      <c r="B917" s="71"/>
      <c r="C917" s="71"/>
      <c r="D917" s="71"/>
      <c r="E917" s="13" t="s">
        <v>53</v>
      </c>
      <c r="F917" s="13"/>
      <c r="G917" s="30">
        <v>0</v>
      </c>
      <c r="H917" s="2"/>
    </row>
    <row r="918" spans="1:8" ht="15.75" hidden="1" customHeight="1">
      <c r="A918" s="64"/>
      <c r="B918" s="17">
        <v>45804</v>
      </c>
      <c r="C918" s="18">
        <v>0</v>
      </c>
      <c r="D918" s="18">
        <v>14397</v>
      </c>
      <c r="E918" s="65" t="s">
        <v>57</v>
      </c>
      <c r="F918" s="20">
        <v>270812285060212</v>
      </c>
      <c r="G918" s="21">
        <v>200</v>
      </c>
      <c r="H918" s="2"/>
    </row>
    <row r="919" spans="1:8" ht="28.5" hidden="1" customHeight="1">
      <c r="A919" s="64"/>
      <c r="B919" s="66"/>
      <c r="C919" s="66"/>
      <c r="D919" s="66"/>
      <c r="E919" s="24" t="s">
        <v>668</v>
      </c>
      <c r="F919" s="24"/>
      <c r="G919" s="25">
        <v>0</v>
      </c>
      <c r="H919" s="2"/>
    </row>
    <row r="920" spans="1:8" ht="15.75" hidden="1" customHeight="1">
      <c r="A920" s="64"/>
      <c r="B920" s="11">
        <v>45804</v>
      </c>
      <c r="C920" s="12">
        <v>0</v>
      </c>
      <c r="D920" s="12">
        <v>14397</v>
      </c>
      <c r="E920" s="76" t="s">
        <v>57</v>
      </c>
      <c r="F920" s="27">
        <v>271143173504942</v>
      </c>
      <c r="G920" s="15">
        <v>7417.71</v>
      </c>
      <c r="H920" s="2"/>
    </row>
    <row r="921" spans="1:8" ht="28.5" hidden="1" customHeight="1">
      <c r="A921" s="64"/>
      <c r="B921" s="71"/>
      <c r="C921" s="71"/>
      <c r="D921" s="71"/>
      <c r="E921" s="13" t="s">
        <v>669</v>
      </c>
      <c r="F921" s="13"/>
      <c r="G921" s="30">
        <v>0</v>
      </c>
      <c r="H921" s="2"/>
    </row>
    <row r="922" spans="1:8" ht="15.75" hidden="1" customHeight="1">
      <c r="A922" s="64"/>
      <c r="B922" s="17">
        <v>45804</v>
      </c>
      <c r="C922" s="18">
        <v>0</v>
      </c>
      <c r="D922" s="18">
        <v>14397</v>
      </c>
      <c r="E922" s="65" t="s">
        <v>57</v>
      </c>
      <c r="F922" s="20">
        <v>271212208566432</v>
      </c>
      <c r="G922" s="21">
        <v>5700</v>
      </c>
      <c r="H922" s="2"/>
    </row>
    <row r="923" spans="1:8" ht="28.5" hidden="1" customHeight="1">
      <c r="A923" s="64"/>
      <c r="B923" s="66"/>
      <c r="C923" s="66"/>
      <c r="D923" s="66"/>
      <c r="E923" s="24" t="s">
        <v>670</v>
      </c>
      <c r="F923" s="24"/>
      <c r="G923" s="25">
        <v>0</v>
      </c>
      <c r="H923" s="2"/>
    </row>
    <row r="924" spans="1:8" ht="15.75" hidden="1" customHeight="1">
      <c r="A924" s="64"/>
      <c r="B924" s="11">
        <v>45804</v>
      </c>
      <c r="C924" s="12">
        <v>0</v>
      </c>
      <c r="D924" s="12">
        <v>14397</v>
      </c>
      <c r="E924" s="76" t="s">
        <v>57</v>
      </c>
      <c r="F924" s="27">
        <v>271710576344512</v>
      </c>
      <c r="G924" s="15">
        <v>317.38</v>
      </c>
      <c r="H924" s="2"/>
    </row>
    <row r="925" spans="1:8" ht="28.5" hidden="1" customHeight="1">
      <c r="A925" s="64"/>
      <c r="B925" s="71"/>
      <c r="C925" s="71"/>
      <c r="D925" s="71"/>
      <c r="E925" s="13" t="s">
        <v>671</v>
      </c>
      <c r="F925" s="13"/>
      <c r="G925" s="30">
        <v>0</v>
      </c>
      <c r="H925" s="2"/>
    </row>
    <row r="926" spans="1:8" ht="15.75" hidden="1" customHeight="1">
      <c r="A926" s="64"/>
      <c r="B926" s="17">
        <v>45804</v>
      </c>
      <c r="C926" s="18">
        <v>0</v>
      </c>
      <c r="D926" s="18">
        <v>14397</v>
      </c>
      <c r="E926" s="65" t="s">
        <v>57</v>
      </c>
      <c r="F926" s="20">
        <v>271717441682842</v>
      </c>
      <c r="G926" s="21">
        <v>300</v>
      </c>
      <c r="H926" s="2"/>
    </row>
    <row r="927" spans="1:8" ht="28.5" hidden="1" customHeight="1">
      <c r="A927" s="64"/>
      <c r="B927" s="66"/>
      <c r="C927" s="66"/>
      <c r="D927" s="66"/>
      <c r="E927" s="24" t="s">
        <v>672</v>
      </c>
      <c r="F927" s="24"/>
      <c r="G927" s="25">
        <v>0</v>
      </c>
      <c r="H927" s="2"/>
    </row>
    <row r="928" spans="1:8" ht="15.75" hidden="1" customHeight="1">
      <c r="A928" s="64"/>
      <c r="B928" s="11">
        <v>45804</v>
      </c>
      <c r="C928" s="12">
        <v>0</v>
      </c>
      <c r="D928" s="12">
        <v>14397</v>
      </c>
      <c r="E928" s="76" t="s">
        <v>57</v>
      </c>
      <c r="F928" s="27">
        <v>483520038484311</v>
      </c>
      <c r="G928" s="15">
        <v>35.799999999999997</v>
      </c>
      <c r="H928" s="2"/>
    </row>
    <row r="929" spans="1:8" ht="28.5" hidden="1" customHeight="1">
      <c r="A929" s="64"/>
      <c r="B929" s="71"/>
      <c r="C929" s="71"/>
      <c r="D929" s="71"/>
      <c r="E929" s="13" t="s">
        <v>673</v>
      </c>
      <c r="F929" s="13"/>
      <c r="G929" s="30">
        <v>0</v>
      </c>
      <c r="H929" s="2"/>
    </row>
    <row r="930" spans="1:8" ht="15.75" hidden="1" customHeight="1">
      <c r="A930" s="64"/>
      <c r="B930" s="17">
        <v>45804</v>
      </c>
      <c r="C930" s="18">
        <v>1533</v>
      </c>
      <c r="D930" s="18">
        <v>99008</v>
      </c>
      <c r="E930" s="65" t="s">
        <v>29</v>
      </c>
      <c r="F930" s="20">
        <v>269428</v>
      </c>
      <c r="G930" s="31">
        <v>166.48</v>
      </c>
      <c r="H930" s="2"/>
    </row>
    <row r="931" spans="1:8" ht="15.75" hidden="1" customHeight="1">
      <c r="A931" s="64"/>
      <c r="B931" s="66"/>
      <c r="C931" s="66"/>
      <c r="D931" s="66"/>
      <c r="E931" s="24" t="s">
        <v>674</v>
      </c>
      <c r="F931" s="24"/>
      <c r="G931" s="25">
        <v>0</v>
      </c>
      <c r="H931" s="2"/>
    </row>
    <row r="932" spans="1:8" ht="15.75" hidden="1" customHeight="1">
      <c r="A932" s="64"/>
      <c r="B932" s="11">
        <v>45804</v>
      </c>
      <c r="C932" s="12">
        <v>0</v>
      </c>
      <c r="D932" s="12">
        <v>13105</v>
      </c>
      <c r="E932" s="76" t="s">
        <v>80</v>
      </c>
      <c r="F932" s="27">
        <v>52701</v>
      </c>
      <c r="G932" s="28">
        <v>4613.38</v>
      </c>
      <c r="H932" s="2"/>
    </row>
    <row r="933" spans="1:8" ht="15.75" hidden="1" customHeight="1">
      <c r="A933" s="64"/>
      <c r="B933" s="71"/>
      <c r="C933" s="71"/>
      <c r="D933" s="71"/>
      <c r="E933" s="13" t="s">
        <v>172</v>
      </c>
      <c r="F933" s="13"/>
      <c r="G933" s="30">
        <v>0</v>
      </c>
      <c r="H933" s="2"/>
    </row>
    <row r="934" spans="1:8" ht="15.75" hidden="1" customHeight="1">
      <c r="A934" s="64"/>
      <c r="B934" s="17">
        <v>45804</v>
      </c>
      <c r="C934" s="18">
        <v>0</v>
      </c>
      <c r="D934" s="18">
        <v>13105</v>
      </c>
      <c r="E934" s="65" t="s">
        <v>80</v>
      </c>
      <c r="F934" s="20">
        <v>52702</v>
      </c>
      <c r="G934" s="31">
        <v>175</v>
      </c>
      <c r="H934" s="2"/>
    </row>
    <row r="935" spans="1:8" ht="15.75" hidden="1" customHeight="1">
      <c r="A935" s="64"/>
      <c r="B935" s="66"/>
      <c r="C935" s="66"/>
      <c r="D935" s="66"/>
      <c r="E935" s="24" t="s">
        <v>81</v>
      </c>
      <c r="F935" s="24"/>
      <c r="G935" s="25">
        <v>0</v>
      </c>
      <c r="H935" s="2"/>
    </row>
    <row r="936" spans="1:8" ht="15.75" hidden="1" customHeight="1">
      <c r="A936" s="64"/>
      <c r="B936" s="11">
        <v>45804</v>
      </c>
      <c r="C936" s="12">
        <v>0</v>
      </c>
      <c r="D936" s="12">
        <v>13105</v>
      </c>
      <c r="E936" s="76" t="s">
        <v>31</v>
      </c>
      <c r="F936" s="27">
        <v>52703</v>
      </c>
      <c r="G936" s="28">
        <v>1174</v>
      </c>
      <c r="H936" s="2"/>
    </row>
    <row r="937" spans="1:8" ht="15.75" hidden="1" customHeight="1">
      <c r="A937" s="64"/>
      <c r="B937" s="71"/>
      <c r="C937" s="71"/>
      <c r="D937" s="71"/>
      <c r="E937" s="13" t="s">
        <v>307</v>
      </c>
      <c r="F937" s="13"/>
      <c r="G937" s="30">
        <v>0</v>
      </c>
      <c r="H937" s="2"/>
    </row>
    <row r="938" spans="1:8" ht="15.75" hidden="1" customHeight="1">
      <c r="A938" s="64"/>
      <c r="B938" s="17">
        <v>45804</v>
      </c>
      <c r="C938" s="18">
        <v>0</v>
      </c>
      <c r="D938" s="18">
        <v>13105</v>
      </c>
      <c r="E938" s="65" t="s">
        <v>31</v>
      </c>
      <c r="F938" s="20">
        <v>52704</v>
      </c>
      <c r="G938" s="31">
        <v>341.16</v>
      </c>
      <c r="H938" s="2"/>
    </row>
    <row r="939" spans="1:8" ht="28.5" hidden="1" customHeight="1">
      <c r="A939" s="64"/>
      <c r="B939" s="66"/>
      <c r="C939" s="66"/>
      <c r="D939" s="66"/>
      <c r="E939" s="24" t="s">
        <v>675</v>
      </c>
      <c r="F939" s="24"/>
      <c r="G939" s="25">
        <v>0</v>
      </c>
      <c r="H939" s="2"/>
    </row>
    <row r="940" spans="1:8" ht="15.75" hidden="1" customHeight="1">
      <c r="A940" s="64"/>
      <c r="B940" s="11">
        <v>45804</v>
      </c>
      <c r="C940" s="12">
        <v>0</v>
      </c>
      <c r="D940" s="12">
        <v>13105</v>
      </c>
      <c r="E940" s="76" t="s">
        <v>31</v>
      </c>
      <c r="F940" s="27">
        <v>52705</v>
      </c>
      <c r="G940" s="28">
        <v>934.23</v>
      </c>
      <c r="H940" s="2"/>
    </row>
    <row r="941" spans="1:8" ht="15.75" hidden="1" customHeight="1">
      <c r="A941" s="64"/>
      <c r="B941" s="71"/>
      <c r="C941" s="71"/>
      <c r="D941" s="71"/>
      <c r="E941" s="13" t="s">
        <v>441</v>
      </c>
      <c r="F941" s="13"/>
      <c r="G941" s="30">
        <v>0</v>
      </c>
      <c r="H941" s="2"/>
    </row>
    <row r="942" spans="1:8" ht="15.75" hidden="1" customHeight="1">
      <c r="A942" s="64"/>
      <c r="B942" s="17">
        <v>45804</v>
      </c>
      <c r="C942" s="18">
        <v>0</v>
      </c>
      <c r="D942" s="18">
        <v>13105</v>
      </c>
      <c r="E942" s="65" t="s">
        <v>31</v>
      </c>
      <c r="F942" s="20">
        <v>52706</v>
      </c>
      <c r="G942" s="31">
        <v>291.93</v>
      </c>
      <c r="H942" s="2"/>
    </row>
    <row r="943" spans="1:8" ht="15.75" hidden="1" customHeight="1">
      <c r="A943" s="64"/>
      <c r="B943" s="66"/>
      <c r="C943" s="66"/>
      <c r="D943" s="66"/>
      <c r="E943" s="24" t="s">
        <v>111</v>
      </c>
      <c r="F943" s="24"/>
      <c r="G943" s="25">
        <v>0</v>
      </c>
      <c r="H943" s="2"/>
    </row>
    <row r="944" spans="1:8" ht="15.75" hidden="1" customHeight="1">
      <c r="A944" s="64"/>
      <c r="B944" s="11">
        <v>45804</v>
      </c>
      <c r="C944" s="12">
        <v>0</v>
      </c>
      <c r="D944" s="12">
        <v>13105</v>
      </c>
      <c r="E944" s="76" t="s">
        <v>31</v>
      </c>
      <c r="F944" s="27">
        <v>52707</v>
      </c>
      <c r="G944" s="28">
        <v>196.54</v>
      </c>
      <c r="H944" s="2"/>
    </row>
    <row r="945" spans="1:8" ht="15.75" hidden="1" customHeight="1">
      <c r="A945" s="64"/>
      <c r="B945" s="71"/>
      <c r="C945" s="71"/>
      <c r="D945" s="71"/>
      <c r="E945" s="13" t="s">
        <v>111</v>
      </c>
      <c r="F945" s="13"/>
      <c r="G945" s="30">
        <v>0</v>
      </c>
      <c r="H945" s="2"/>
    </row>
    <row r="946" spans="1:8" ht="15.75" hidden="1" customHeight="1">
      <c r="A946" s="64"/>
      <c r="B946" s="17">
        <v>45804</v>
      </c>
      <c r="C946" s="18">
        <v>0</v>
      </c>
      <c r="D946" s="18">
        <v>13105</v>
      </c>
      <c r="E946" s="65" t="s">
        <v>31</v>
      </c>
      <c r="F946" s="20">
        <v>52708</v>
      </c>
      <c r="G946" s="31">
        <v>432.77</v>
      </c>
      <c r="H946" s="2"/>
    </row>
    <row r="947" spans="1:8" ht="28.5" hidden="1" customHeight="1">
      <c r="A947" s="64"/>
      <c r="B947" s="66"/>
      <c r="C947" s="66"/>
      <c r="D947" s="66"/>
      <c r="E947" s="24" t="s">
        <v>45</v>
      </c>
      <c r="F947" s="24"/>
      <c r="G947" s="25">
        <v>0</v>
      </c>
      <c r="H947" s="2"/>
    </row>
    <row r="948" spans="1:8" ht="15.75" hidden="1" customHeight="1">
      <c r="A948" s="64"/>
      <c r="B948" s="11">
        <v>45804</v>
      </c>
      <c r="C948" s="12">
        <v>0</v>
      </c>
      <c r="D948" s="12">
        <v>13105</v>
      </c>
      <c r="E948" s="76" t="s">
        <v>31</v>
      </c>
      <c r="F948" s="27">
        <v>52709</v>
      </c>
      <c r="G948" s="28">
        <v>396.4</v>
      </c>
      <c r="H948" s="2"/>
    </row>
    <row r="949" spans="1:8" ht="28.5" hidden="1" customHeight="1">
      <c r="A949" s="64"/>
      <c r="B949" s="71"/>
      <c r="C949" s="71"/>
      <c r="D949" s="71"/>
      <c r="E949" s="13" t="s">
        <v>45</v>
      </c>
      <c r="F949" s="13"/>
      <c r="G949" s="30">
        <v>0</v>
      </c>
      <c r="H949" s="2"/>
    </row>
    <row r="950" spans="1:8" ht="15.75" hidden="1" customHeight="1">
      <c r="A950" s="64"/>
      <c r="B950" s="17">
        <v>45804</v>
      </c>
      <c r="C950" s="18">
        <v>0</v>
      </c>
      <c r="D950" s="18">
        <v>13105</v>
      </c>
      <c r="E950" s="65" t="s">
        <v>31</v>
      </c>
      <c r="F950" s="20">
        <v>52710</v>
      </c>
      <c r="G950" s="31">
        <v>401.21</v>
      </c>
      <c r="H950" s="2"/>
    </row>
    <row r="951" spans="1:8" ht="28.5" hidden="1" customHeight="1">
      <c r="A951" s="64"/>
      <c r="B951" s="66"/>
      <c r="C951" s="66"/>
      <c r="D951" s="66"/>
      <c r="E951" s="24" t="s">
        <v>45</v>
      </c>
      <c r="F951" s="24"/>
      <c r="G951" s="25">
        <v>0</v>
      </c>
      <c r="H951" s="2"/>
    </row>
    <row r="952" spans="1:8" ht="15.75" hidden="1" customHeight="1">
      <c r="A952" s="64"/>
      <c r="B952" s="11">
        <v>45804</v>
      </c>
      <c r="C952" s="12">
        <v>0</v>
      </c>
      <c r="D952" s="12">
        <v>13105</v>
      </c>
      <c r="E952" s="76" t="s">
        <v>31</v>
      </c>
      <c r="F952" s="27">
        <v>52711</v>
      </c>
      <c r="G952" s="28">
        <v>284.8</v>
      </c>
      <c r="H952" s="2"/>
    </row>
    <row r="953" spans="1:8" ht="28.5" hidden="1" customHeight="1">
      <c r="A953" s="64"/>
      <c r="B953" s="71"/>
      <c r="C953" s="71"/>
      <c r="D953" s="71"/>
      <c r="E953" s="13" t="s">
        <v>45</v>
      </c>
      <c r="F953" s="13"/>
      <c r="G953" s="30">
        <v>0</v>
      </c>
      <c r="H953" s="2"/>
    </row>
    <row r="954" spans="1:8" ht="15.75" hidden="1" customHeight="1">
      <c r="A954" s="64"/>
      <c r="B954" s="17">
        <v>45804</v>
      </c>
      <c r="C954" s="18">
        <v>0</v>
      </c>
      <c r="D954" s="18">
        <v>13105</v>
      </c>
      <c r="E954" s="65" t="s">
        <v>31</v>
      </c>
      <c r="F954" s="20">
        <v>52712</v>
      </c>
      <c r="G954" s="31">
        <v>233.32</v>
      </c>
      <c r="H954" s="2"/>
    </row>
    <row r="955" spans="1:8" ht="28.5" hidden="1" customHeight="1">
      <c r="A955" s="64"/>
      <c r="B955" s="66"/>
      <c r="C955" s="66"/>
      <c r="D955" s="66"/>
      <c r="E955" s="24" t="s">
        <v>45</v>
      </c>
      <c r="F955" s="24"/>
      <c r="G955" s="25">
        <v>0</v>
      </c>
      <c r="H955" s="2"/>
    </row>
    <row r="956" spans="1:8" ht="15.75" hidden="1" customHeight="1">
      <c r="A956" s="64"/>
      <c r="B956" s="11">
        <v>45804</v>
      </c>
      <c r="C956" s="12">
        <v>0</v>
      </c>
      <c r="D956" s="12">
        <v>13105</v>
      </c>
      <c r="E956" s="76" t="s">
        <v>31</v>
      </c>
      <c r="F956" s="27">
        <v>52713</v>
      </c>
      <c r="G956" s="28">
        <v>491.22</v>
      </c>
      <c r="H956" s="2"/>
    </row>
    <row r="957" spans="1:8" ht="28.5" hidden="1" customHeight="1">
      <c r="A957" s="64"/>
      <c r="B957" s="71"/>
      <c r="C957" s="71"/>
      <c r="D957" s="71"/>
      <c r="E957" s="13" t="s">
        <v>396</v>
      </c>
      <c r="F957" s="13"/>
      <c r="G957" s="30">
        <v>0</v>
      </c>
      <c r="H957" s="2"/>
    </row>
    <row r="958" spans="1:8" ht="15.75" hidden="1" customHeight="1">
      <c r="A958" s="64"/>
      <c r="B958" s="17">
        <v>45804</v>
      </c>
      <c r="C958" s="18">
        <v>0</v>
      </c>
      <c r="D958" s="18">
        <v>13105</v>
      </c>
      <c r="E958" s="65" t="s">
        <v>31</v>
      </c>
      <c r="F958" s="20">
        <v>52714</v>
      </c>
      <c r="G958" s="31">
        <v>315.29000000000002</v>
      </c>
      <c r="H958" s="2"/>
    </row>
    <row r="959" spans="1:8" ht="15.75" hidden="1" customHeight="1">
      <c r="A959" s="64"/>
      <c r="B959" s="66"/>
      <c r="C959" s="66"/>
      <c r="D959" s="66"/>
      <c r="E959" s="24" t="s">
        <v>46</v>
      </c>
      <c r="F959" s="24"/>
      <c r="G959" s="25">
        <v>0</v>
      </c>
      <c r="H959" s="2"/>
    </row>
    <row r="960" spans="1:8" ht="15.75" hidden="1" customHeight="1">
      <c r="A960" s="64"/>
      <c r="B960" s="11">
        <v>45804</v>
      </c>
      <c r="C960" s="12">
        <v>0</v>
      </c>
      <c r="D960" s="12">
        <v>13105</v>
      </c>
      <c r="E960" s="76" t="s">
        <v>31</v>
      </c>
      <c r="F960" s="27">
        <v>52715</v>
      </c>
      <c r="G960" s="28">
        <v>55.05</v>
      </c>
      <c r="H960" s="2"/>
    </row>
    <row r="961" spans="1:8" ht="15.75" hidden="1" customHeight="1">
      <c r="A961" s="64"/>
      <c r="B961" s="71"/>
      <c r="C961" s="71"/>
      <c r="D961" s="71"/>
      <c r="E961" s="13" t="s">
        <v>46</v>
      </c>
      <c r="F961" s="13"/>
      <c r="G961" s="30">
        <v>0</v>
      </c>
      <c r="H961" s="2"/>
    </row>
    <row r="962" spans="1:8" ht="15.75" hidden="1" customHeight="1">
      <c r="A962" s="64"/>
      <c r="B962" s="17">
        <v>45804</v>
      </c>
      <c r="C962" s="18">
        <v>0</v>
      </c>
      <c r="D962" s="18">
        <v>13105</v>
      </c>
      <c r="E962" s="65" t="s">
        <v>31</v>
      </c>
      <c r="F962" s="20">
        <v>52716</v>
      </c>
      <c r="G962" s="31">
        <v>170.2</v>
      </c>
      <c r="H962" s="2"/>
    </row>
    <row r="963" spans="1:8" ht="15.75" hidden="1" customHeight="1">
      <c r="A963" s="64"/>
      <c r="B963" s="66"/>
      <c r="C963" s="66"/>
      <c r="D963" s="66"/>
      <c r="E963" s="24" t="s">
        <v>46</v>
      </c>
      <c r="F963" s="24"/>
      <c r="G963" s="25">
        <v>0</v>
      </c>
      <c r="H963" s="2"/>
    </row>
    <row r="964" spans="1:8" ht="15.75" hidden="1" customHeight="1">
      <c r="A964" s="64"/>
      <c r="B964" s="11">
        <v>45804</v>
      </c>
      <c r="C964" s="12">
        <v>0</v>
      </c>
      <c r="D964" s="12">
        <v>13105</v>
      </c>
      <c r="E964" s="76" t="s">
        <v>31</v>
      </c>
      <c r="F964" s="27">
        <v>52717</v>
      </c>
      <c r="G964" s="28">
        <v>267.79000000000002</v>
      </c>
      <c r="H964" s="2"/>
    </row>
    <row r="965" spans="1:8" ht="15.75" hidden="1" customHeight="1">
      <c r="A965" s="64"/>
      <c r="B965" s="71"/>
      <c r="C965" s="71"/>
      <c r="D965" s="71"/>
      <c r="E965" s="13" t="s">
        <v>439</v>
      </c>
      <c r="F965" s="13"/>
      <c r="G965" s="30">
        <v>0</v>
      </c>
      <c r="H965" s="2"/>
    </row>
    <row r="966" spans="1:8" ht="15.75" hidden="1" customHeight="1">
      <c r="A966" s="64"/>
      <c r="B966" s="17">
        <v>45804</v>
      </c>
      <c r="C966" s="18">
        <v>0</v>
      </c>
      <c r="D966" s="18">
        <v>13105</v>
      </c>
      <c r="E966" s="65" t="s">
        <v>31</v>
      </c>
      <c r="F966" s="20">
        <v>52718</v>
      </c>
      <c r="G966" s="31">
        <v>1087.31</v>
      </c>
      <c r="H966" s="2"/>
    </row>
    <row r="967" spans="1:8" ht="15.75" hidden="1" customHeight="1">
      <c r="A967" s="64"/>
      <c r="B967" s="66"/>
      <c r="C967" s="66"/>
      <c r="D967" s="66"/>
      <c r="E967" s="24" t="s">
        <v>163</v>
      </c>
      <c r="F967" s="24"/>
      <c r="G967" s="25">
        <v>0</v>
      </c>
      <c r="H967" s="2"/>
    </row>
    <row r="968" spans="1:8" ht="15.75" hidden="1" customHeight="1">
      <c r="A968" s="64"/>
      <c r="B968" s="11">
        <v>45804</v>
      </c>
      <c r="C968" s="12">
        <v>0</v>
      </c>
      <c r="D968" s="12">
        <v>13105</v>
      </c>
      <c r="E968" s="76" t="s">
        <v>31</v>
      </c>
      <c r="F968" s="27">
        <v>52719</v>
      </c>
      <c r="G968" s="28">
        <v>364.67</v>
      </c>
      <c r="H968" s="2"/>
    </row>
    <row r="969" spans="1:8" ht="28.5" hidden="1" customHeight="1">
      <c r="A969" s="64"/>
      <c r="B969" s="71"/>
      <c r="C969" s="71"/>
      <c r="D969" s="71"/>
      <c r="E969" s="13" t="s">
        <v>110</v>
      </c>
      <c r="F969" s="13"/>
      <c r="G969" s="30">
        <v>0</v>
      </c>
      <c r="H969" s="2"/>
    </row>
    <row r="970" spans="1:8" ht="15.75" hidden="1" customHeight="1">
      <c r="A970" s="64"/>
      <c r="B970" s="17">
        <v>45804</v>
      </c>
      <c r="C970" s="18">
        <v>0</v>
      </c>
      <c r="D970" s="18">
        <v>13105</v>
      </c>
      <c r="E970" s="65" t="s">
        <v>31</v>
      </c>
      <c r="F970" s="20">
        <v>52720</v>
      </c>
      <c r="G970" s="31">
        <v>382.21</v>
      </c>
      <c r="H970" s="2"/>
    </row>
    <row r="971" spans="1:8" ht="15.75" hidden="1" customHeight="1">
      <c r="A971" s="64"/>
      <c r="B971" s="66"/>
      <c r="C971" s="66"/>
      <c r="D971" s="66"/>
      <c r="E971" s="24" t="s">
        <v>47</v>
      </c>
      <c r="F971" s="24"/>
      <c r="G971" s="25">
        <v>0</v>
      </c>
      <c r="H971" s="2"/>
    </row>
    <row r="972" spans="1:8" ht="15.75" hidden="1" customHeight="1">
      <c r="A972" s="64"/>
      <c r="B972" s="11">
        <v>45804</v>
      </c>
      <c r="C972" s="12">
        <v>0</v>
      </c>
      <c r="D972" s="12">
        <v>13105</v>
      </c>
      <c r="E972" s="76" t="s">
        <v>34</v>
      </c>
      <c r="F972" s="27">
        <v>52721</v>
      </c>
      <c r="G972" s="28">
        <v>65.849999999999994</v>
      </c>
      <c r="H972" s="2"/>
    </row>
    <row r="973" spans="1:8" ht="15.75" hidden="1" customHeight="1">
      <c r="A973" s="64"/>
      <c r="B973" s="71"/>
      <c r="C973" s="71"/>
      <c r="D973" s="71"/>
      <c r="E973" s="13" t="s">
        <v>288</v>
      </c>
      <c r="F973" s="13"/>
      <c r="G973" s="30">
        <v>0</v>
      </c>
      <c r="H973" s="2"/>
    </row>
    <row r="974" spans="1:8" ht="15.75" hidden="1" customHeight="1">
      <c r="A974" s="64"/>
      <c r="B974" s="17">
        <v>45804</v>
      </c>
      <c r="C974" s="18">
        <v>0</v>
      </c>
      <c r="D974" s="18">
        <v>13105</v>
      </c>
      <c r="E974" s="65" t="s">
        <v>31</v>
      </c>
      <c r="F974" s="20">
        <v>52722</v>
      </c>
      <c r="G974" s="31">
        <v>451.27</v>
      </c>
      <c r="H974" s="2"/>
    </row>
    <row r="975" spans="1:8" ht="28.5" hidden="1" customHeight="1">
      <c r="A975" s="64"/>
      <c r="B975" s="66"/>
      <c r="C975" s="66"/>
      <c r="D975" s="66"/>
      <c r="E975" s="24" t="s">
        <v>223</v>
      </c>
      <c r="F975" s="24"/>
      <c r="G975" s="25">
        <v>0</v>
      </c>
      <c r="H975" s="2"/>
    </row>
    <row r="976" spans="1:8" ht="15.75" hidden="1" customHeight="1">
      <c r="A976" s="64"/>
      <c r="B976" s="11">
        <v>45804</v>
      </c>
      <c r="C976" s="12">
        <v>0</v>
      </c>
      <c r="D976" s="12">
        <v>13105</v>
      </c>
      <c r="E976" s="76" t="s">
        <v>31</v>
      </c>
      <c r="F976" s="27">
        <v>52723</v>
      </c>
      <c r="G976" s="28">
        <v>37.71</v>
      </c>
      <c r="H976" s="2"/>
    </row>
    <row r="977" spans="1:8" ht="15.75" hidden="1" customHeight="1">
      <c r="A977" s="64"/>
      <c r="B977" s="71"/>
      <c r="C977" s="71"/>
      <c r="D977" s="71"/>
      <c r="E977" s="13" t="s">
        <v>437</v>
      </c>
      <c r="F977" s="13"/>
      <c r="G977" s="30">
        <v>0</v>
      </c>
      <c r="H977" s="2"/>
    </row>
    <row r="978" spans="1:8" ht="15.75" hidden="1" customHeight="1">
      <c r="A978" s="64"/>
      <c r="B978" s="17">
        <v>45804</v>
      </c>
      <c r="C978" s="18">
        <v>0</v>
      </c>
      <c r="D978" s="18">
        <v>13105</v>
      </c>
      <c r="E978" s="65" t="s">
        <v>31</v>
      </c>
      <c r="F978" s="20">
        <v>52724</v>
      </c>
      <c r="G978" s="31">
        <v>230.95</v>
      </c>
      <c r="H978" s="2"/>
    </row>
    <row r="979" spans="1:8" ht="28.5" hidden="1" customHeight="1">
      <c r="A979" s="64"/>
      <c r="B979" s="66"/>
      <c r="C979" s="66"/>
      <c r="D979" s="66"/>
      <c r="E979" s="24" t="s">
        <v>41</v>
      </c>
      <c r="F979" s="24"/>
      <c r="G979" s="25">
        <v>0</v>
      </c>
      <c r="H979" s="2"/>
    </row>
    <row r="980" spans="1:8" ht="15.75" hidden="1" customHeight="1">
      <c r="A980" s="64"/>
      <c r="B980" s="11">
        <v>45804</v>
      </c>
      <c r="C980" s="12">
        <v>0</v>
      </c>
      <c r="D980" s="12">
        <v>13105</v>
      </c>
      <c r="E980" s="76" t="s">
        <v>31</v>
      </c>
      <c r="F980" s="27">
        <v>52725</v>
      </c>
      <c r="G980" s="28">
        <v>245.06</v>
      </c>
      <c r="H980" s="2"/>
    </row>
    <row r="981" spans="1:8" ht="28.5" hidden="1" customHeight="1">
      <c r="A981" s="64"/>
      <c r="B981" s="71"/>
      <c r="C981" s="71"/>
      <c r="D981" s="71"/>
      <c r="E981" s="13" t="s">
        <v>41</v>
      </c>
      <c r="F981" s="13"/>
      <c r="G981" s="30">
        <v>0</v>
      </c>
      <c r="H981" s="2"/>
    </row>
    <row r="982" spans="1:8" ht="15.75" hidden="1" customHeight="1">
      <c r="A982" s="64"/>
      <c r="B982" s="17">
        <v>45804</v>
      </c>
      <c r="C982" s="18">
        <v>0</v>
      </c>
      <c r="D982" s="18">
        <v>13105</v>
      </c>
      <c r="E982" s="65" t="s">
        <v>34</v>
      </c>
      <c r="F982" s="20">
        <v>52726</v>
      </c>
      <c r="G982" s="31">
        <v>136.13</v>
      </c>
      <c r="H982" s="2"/>
    </row>
    <row r="983" spans="1:8" ht="15.75" hidden="1" customHeight="1">
      <c r="A983" s="64"/>
      <c r="B983" s="66"/>
      <c r="C983" s="66"/>
      <c r="D983" s="66"/>
      <c r="E983" s="24" t="s">
        <v>35</v>
      </c>
      <c r="F983" s="24"/>
      <c r="G983" s="25">
        <v>0</v>
      </c>
      <c r="H983" s="2"/>
    </row>
    <row r="984" spans="1:8" ht="15.75" hidden="1" customHeight="1">
      <c r="A984" s="64"/>
      <c r="B984" s="11">
        <v>45804</v>
      </c>
      <c r="C984" s="12">
        <v>0</v>
      </c>
      <c r="D984" s="12">
        <v>0</v>
      </c>
      <c r="E984" s="76" t="s">
        <v>59</v>
      </c>
      <c r="F984" s="27">
        <v>9903</v>
      </c>
      <c r="G984" s="28">
        <v>28.96</v>
      </c>
      <c r="H984" s="2"/>
    </row>
    <row r="985" spans="1:8" ht="15.75" hidden="1" customHeight="1">
      <c r="A985" s="64"/>
      <c r="B985" s="71"/>
      <c r="C985" s="71"/>
      <c r="D985" s="71"/>
      <c r="E985" s="13" t="s">
        <v>53</v>
      </c>
      <c r="F985" s="13"/>
      <c r="G985" s="30">
        <v>0</v>
      </c>
      <c r="H985" s="2"/>
    </row>
    <row r="986" spans="1:8" ht="15.75" hidden="1" customHeight="1">
      <c r="A986" s="64"/>
      <c r="B986" s="17">
        <v>45805</v>
      </c>
      <c r="C986" s="18">
        <v>0</v>
      </c>
      <c r="D986" s="18">
        <v>14175</v>
      </c>
      <c r="E986" s="65" t="s">
        <v>62</v>
      </c>
      <c r="F986" s="20">
        <v>382494902</v>
      </c>
      <c r="G986" s="21">
        <v>1000</v>
      </c>
      <c r="H986" s="2" t="s">
        <v>537</v>
      </c>
    </row>
    <row r="987" spans="1:8" ht="28.5" hidden="1" customHeight="1">
      <c r="A987" s="64"/>
      <c r="B987" s="66"/>
      <c r="C987" s="66"/>
      <c r="D987" s="66"/>
      <c r="E987" s="24" t="s">
        <v>97</v>
      </c>
      <c r="F987" s="24"/>
      <c r="G987" s="25">
        <v>0</v>
      </c>
      <c r="H987" s="2"/>
    </row>
    <row r="988" spans="1:8" ht="15.75" hidden="1" customHeight="1">
      <c r="A988" s="64"/>
      <c r="B988" s="11">
        <v>45805</v>
      </c>
      <c r="C988" s="12">
        <v>0</v>
      </c>
      <c r="D988" s="12">
        <v>14397</v>
      </c>
      <c r="E988" s="76" t="s">
        <v>57</v>
      </c>
      <c r="F988" s="27">
        <v>281615596348812</v>
      </c>
      <c r="G988" s="15">
        <v>36.479999999999997</v>
      </c>
      <c r="H988" s="2"/>
    </row>
    <row r="989" spans="1:8" ht="28.5" hidden="1" customHeight="1">
      <c r="A989" s="64"/>
      <c r="B989" s="71"/>
      <c r="C989" s="71"/>
      <c r="D989" s="71"/>
      <c r="E989" s="13" t="s">
        <v>676</v>
      </c>
      <c r="F989" s="13"/>
      <c r="G989" s="30">
        <v>0</v>
      </c>
      <c r="H989" s="2"/>
    </row>
    <row r="990" spans="1:8" ht="15.75" hidden="1" customHeight="1">
      <c r="A990" s="64"/>
      <c r="B990" s="17">
        <v>45805</v>
      </c>
      <c r="C990" s="18">
        <v>0</v>
      </c>
      <c r="D990" s="18">
        <v>13105</v>
      </c>
      <c r="E990" s="65" t="s">
        <v>31</v>
      </c>
      <c r="F990" s="20">
        <v>52801</v>
      </c>
      <c r="G990" s="31">
        <v>878.83</v>
      </c>
      <c r="H990" s="2"/>
    </row>
    <row r="991" spans="1:8" ht="15.75" hidden="1" customHeight="1">
      <c r="A991" s="64"/>
      <c r="B991" s="66"/>
      <c r="C991" s="66"/>
      <c r="D991" s="66"/>
      <c r="E991" s="24" t="s">
        <v>677</v>
      </c>
      <c r="F991" s="24"/>
      <c r="G991" s="25">
        <v>0</v>
      </c>
      <c r="H991" s="2"/>
    </row>
    <row r="992" spans="1:8" ht="15.75" hidden="1" customHeight="1">
      <c r="A992" s="64"/>
      <c r="B992" s="11">
        <v>45805</v>
      </c>
      <c r="C992" s="12">
        <v>0</v>
      </c>
      <c r="D992" s="12">
        <v>13105</v>
      </c>
      <c r="E992" s="76" t="s">
        <v>118</v>
      </c>
      <c r="F992" s="27">
        <v>52802</v>
      </c>
      <c r="G992" s="28">
        <v>22.9</v>
      </c>
      <c r="H992" s="2"/>
    </row>
    <row r="993" spans="1:9" ht="15.75" hidden="1" customHeight="1">
      <c r="A993" s="64"/>
      <c r="B993" s="71"/>
      <c r="C993" s="71"/>
      <c r="D993" s="71"/>
      <c r="E993" s="13" t="s">
        <v>678</v>
      </c>
      <c r="F993" s="13"/>
      <c r="G993" s="30">
        <v>0</v>
      </c>
      <c r="H993" s="2"/>
    </row>
    <row r="994" spans="1:9" ht="15.75" hidden="1" customHeight="1">
      <c r="A994" s="64"/>
      <c r="B994" s="17">
        <v>45805</v>
      </c>
      <c r="C994" s="18">
        <v>0</v>
      </c>
      <c r="D994" s="18">
        <v>0</v>
      </c>
      <c r="E994" s="65" t="s">
        <v>59</v>
      </c>
      <c r="F994" s="20">
        <v>9903</v>
      </c>
      <c r="G994" s="31">
        <v>134.75</v>
      </c>
      <c r="H994" s="2"/>
    </row>
    <row r="995" spans="1:9" ht="15.75" hidden="1" customHeight="1">
      <c r="A995" s="64"/>
      <c r="B995" s="66"/>
      <c r="C995" s="66"/>
      <c r="D995" s="66"/>
      <c r="E995" s="24" t="s">
        <v>53</v>
      </c>
      <c r="F995" s="24"/>
      <c r="G995" s="25">
        <v>0</v>
      </c>
      <c r="H995" s="2"/>
    </row>
    <row r="996" spans="1:9" ht="15.75" hidden="1" customHeight="1">
      <c r="A996" s="64"/>
      <c r="B996" s="11">
        <v>45806</v>
      </c>
      <c r="C996" s="12">
        <v>0</v>
      </c>
      <c r="D996" s="12">
        <v>14175</v>
      </c>
      <c r="E996" s="76" t="s">
        <v>62</v>
      </c>
      <c r="F996" s="27">
        <v>382600140</v>
      </c>
      <c r="G996" s="15">
        <v>3000</v>
      </c>
      <c r="H996" s="2" t="s">
        <v>537</v>
      </c>
    </row>
    <row r="997" spans="1:9" ht="28.5" hidden="1" customHeight="1">
      <c r="A997" s="64"/>
      <c r="B997" s="71"/>
      <c r="C997" s="71"/>
      <c r="D997" s="71"/>
      <c r="E997" s="13" t="s">
        <v>97</v>
      </c>
      <c r="F997" s="13"/>
      <c r="G997" s="30">
        <v>0</v>
      </c>
      <c r="H997" s="2"/>
    </row>
    <row r="998" spans="1:9" ht="15.75" customHeight="1">
      <c r="A998" s="130" t="s">
        <v>140</v>
      </c>
      <c r="B998" s="41">
        <v>45806</v>
      </c>
      <c r="C998" s="42">
        <v>0</v>
      </c>
      <c r="D998" s="42">
        <v>14138</v>
      </c>
      <c r="E998" s="73" t="s">
        <v>141</v>
      </c>
      <c r="F998" s="74">
        <v>202505280021211</v>
      </c>
      <c r="G998" s="75">
        <v>4798.45</v>
      </c>
      <c r="H998" s="2" t="s">
        <v>679</v>
      </c>
      <c r="I998" s="79" t="s">
        <v>428</v>
      </c>
    </row>
    <row r="999" spans="1:9" ht="15.75" hidden="1" customHeight="1">
      <c r="A999" s="64"/>
      <c r="B999" s="66"/>
      <c r="C999" s="66"/>
      <c r="D999" s="66"/>
      <c r="E999" s="24" t="s">
        <v>143</v>
      </c>
      <c r="F999" s="24"/>
      <c r="G999" s="25">
        <v>0</v>
      </c>
      <c r="H999" s="2"/>
    </row>
    <row r="1000" spans="1:9" ht="15.75" customHeight="1">
      <c r="A1000" s="130" t="s">
        <v>140</v>
      </c>
      <c r="B1000" s="34">
        <v>45806</v>
      </c>
      <c r="C1000" s="35">
        <v>0</v>
      </c>
      <c r="D1000" s="35">
        <v>14138</v>
      </c>
      <c r="E1000" s="68" t="s">
        <v>141</v>
      </c>
      <c r="F1000" s="69">
        <v>202505280021212</v>
      </c>
      <c r="G1000" s="70">
        <v>4656.03</v>
      </c>
      <c r="H1000" s="2" t="s">
        <v>680</v>
      </c>
      <c r="I1000" s="79" t="s">
        <v>428</v>
      </c>
    </row>
    <row r="1001" spans="1:9" ht="15.75" hidden="1" customHeight="1">
      <c r="A1001" s="64"/>
      <c r="B1001" s="71"/>
      <c r="C1001" s="71"/>
      <c r="D1001" s="71"/>
      <c r="E1001" s="13" t="s">
        <v>143</v>
      </c>
      <c r="F1001" s="13"/>
      <c r="G1001" s="30">
        <v>0</v>
      </c>
      <c r="H1001" s="2"/>
    </row>
    <row r="1002" spans="1:9" ht="15.75" customHeight="1">
      <c r="A1002" s="130" t="s">
        <v>140</v>
      </c>
      <c r="B1002" s="41">
        <v>45806</v>
      </c>
      <c r="C1002" s="42">
        <v>0</v>
      </c>
      <c r="D1002" s="42">
        <v>14138</v>
      </c>
      <c r="E1002" s="73" t="s">
        <v>141</v>
      </c>
      <c r="F1002" s="74">
        <v>202505280021227</v>
      </c>
      <c r="G1002" s="75">
        <v>2560.5</v>
      </c>
      <c r="H1002" s="2">
        <v>3515</v>
      </c>
      <c r="I1002" s="79" t="s">
        <v>428</v>
      </c>
    </row>
    <row r="1003" spans="1:9" ht="15.75" hidden="1" customHeight="1">
      <c r="A1003" s="64"/>
      <c r="B1003" s="66"/>
      <c r="C1003" s="66"/>
      <c r="D1003" s="66"/>
      <c r="E1003" s="24" t="s">
        <v>143</v>
      </c>
      <c r="F1003" s="24"/>
      <c r="G1003" s="25">
        <v>0</v>
      </c>
      <c r="H1003" s="2"/>
    </row>
    <row r="1004" spans="1:9" ht="15.75" customHeight="1">
      <c r="A1004" s="130" t="s">
        <v>140</v>
      </c>
      <c r="B1004" s="34">
        <v>45806</v>
      </c>
      <c r="C1004" s="35">
        <v>0</v>
      </c>
      <c r="D1004" s="35">
        <v>14138</v>
      </c>
      <c r="E1004" s="68" t="s">
        <v>141</v>
      </c>
      <c r="F1004" s="69">
        <v>202505280021229</v>
      </c>
      <c r="G1004" s="70">
        <v>1668.08</v>
      </c>
      <c r="H1004" s="2">
        <v>3489</v>
      </c>
      <c r="I1004" s="79" t="s">
        <v>428</v>
      </c>
    </row>
    <row r="1005" spans="1:9" ht="15.75" hidden="1" customHeight="1">
      <c r="A1005" s="64"/>
      <c r="B1005" s="71"/>
      <c r="C1005" s="71"/>
      <c r="D1005" s="71"/>
      <c r="E1005" s="13" t="s">
        <v>143</v>
      </c>
      <c r="F1005" s="13"/>
      <c r="G1005" s="30">
        <v>0</v>
      </c>
      <c r="H1005" s="2"/>
    </row>
    <row r="1006" spans="1:9" ht="15.75" hidden="1" customHeight="1">
      <c r="A1006" s="64"/>
      <c r="B1006" s="17">
        <v>45806</v>
      </c>
      <c r="C1006" s="18">
        <v>0</v>
      </c>
      <c r="D1006" s="18">
        <v>14397</v>
      </c>
      <c r="E1006" s="65" t="s">
        <v>57</v>
      </c>
      <c r="F1006" s="20">
        <v>485275539671831</v>
      </c>
      <c r="G1006" s="21">
        <v>389.64</v>
      </c>
      <c r="H1006" s="2"/>
    </row>
    <row r="1007" spans="1:9" ht="28.5" hidden="1" customHeight="1">
      <c r="A1007" s="64"/>
      <c r="B1007" s="66"/>
      <c r="C1007" s="66"/>
      <c r="D1007" s="66"/>
      <c r="E1007" s="24" t="s">
        <v>681</v>
      </c>
      <c r="F1007" s="24"/>
      <c r="G1007" s="25">
        <v>0</v>
      </c>
      <c r="H1007" s="2"/>
    </row>
    <row r="1008" spans="1:9" ht="15.75" hidden="1" customHeight="1">
      <c r="A1008" s="64"/>
      <c r="B1008" s="11">
        <v>45806</v>
      </c>
      <c r="C1008" s="12">
        <v>0</v>
      </c>
      <c r="D1008" s="12">
        <v>14397</v>
      </c>
      <c r="E1008" s="76" t="s">
        <v>57</v>
      </c>
      <c r="F1008" s="27">
        <v>485611996023791</v>
      </c>
      <c r="G1008" s="15">
        <v>340.81</v>
      </c>
      <c r="H1008" s="2"/>
    </row>
    <row r="1009" spans="1:8" ht="28.5" hidden="1" customHeight="1">
      <c r="A1009" s="64"/>
      <c r="B1009" s="71"/>
      <c r="C1009" s="71"/>
      <c r="D1009" s="71"/>
      <c r="E1009" s="13" t="s">
        <v>682</v>
      </c>
      <c r="F1009" s="13"/>
      <c r="G1009" s="30">
        <v>0</v>
      </c>
      <c r="H1009" s="2"/>
    </row>
    <row r="1010" spans="1:8" ht="15.75" hidden="1" customHeight="1">
      <c r="A1010" s="64"/>
      <c r="B1010" s="17">
        <v>45806</v>
      </c>
      <c r="C1010" s="18">
        <v>1533</v>
      </c>
      <c r="D1010" s="18">
        <v>99008</v>
      </c>
      <c r="E1010" s="65" t="s">
        <v>29</v>
      </c>
      <c r="F1010" s="20">
        <v>431083</v>
      </c>
      <c r="G1010" s="31">
        <v>152.18</v>
      </c>
      <c r="H1010" s="2"/>
    </row>
    <row r="1011" spans="1:8" ht="15.75" hidden="1" customHeight="1">
      <c r="A1011" s="64"/>
      <c r="B1011" s="66"/>
      <c r="C1011" s="66"/>
      <c r="D1011" s="66"/>
      <c r="E1011" s="24" t="s">
        <v>683</v>
      </c>
      <c r="F1011" s="24"/>
      <c r="G1011" s="25">
        <v>0</v>
      </c>
      <c r="H1011" s="2"/>
    </row>
    <row r="1012" spans="1:8" ht="15.75" hidden="1" customHeight="1">
      <c r="A1012" s="64"/>
      <c r="B1012" s="11">
        <v>45806</v>
      </c>
      <c r="C1012" s="12">
        <v>1533</v>
      </c>
      <c r="D1012" s="12">
        <v>99015</v>
      </c>
      <c r="E1012" s="76" t="s">
        <v>195</v>
      </c>
      <c r="F1012" s="27">
        <v>551845000113366</v>
      </c>
      <c r="G1012" s="28">
        <v>5000</v>
      </c>
      <c r="H1012" s="2"/>
    </row>
    <row r="1013" spans="1:8" ht="28.5" hidden="1" customHeight="1">
      <c r="A1013" s="64"/>
      <c r="B1013" s="71"/>
      <c r="C1013" s="71"/>
      <c r="D1013" s="71"/>
      <c r="E1013" s="13" t="s">
        <v>684</v>
      </c>
      <c r="F1013" s="13"/>
      <c r="G1013" s="30">
        <v>0</v>
      </c>
      <c r="H1013" s="2"/>
    </row>
    <row r="1014" spans="1:8" ht="15.75" hidden="1" customHeight="1">
      <c r="A1014" s="64"/>
      <c r="B1014" s="17">
        <v>45806</v>
      </c>
      <c r="C1014" s="18">
        <v>0</v>
      </c>
      <c r="D1014" s="18">
        <v>13105</v>
      </c>
      <c r="E1014" s="65" t="s">
        <v>31</v>
      </c>
      <c r="F1014" s="20">
        <v>52901</v>
      </c>
      <c r="G1014" s="31">
        <v>672.15</v>
      </c>
      <c r="H1014" s="2"/>
    </row>
    <row r="1015" spans="1:8" ht="15.75" hidden="1" customHeight="1">
      <c r="A1015" s="64"/>
      <c r="B1015" s="66"/>
      <c r="C1015" s="66"/>
      <c r="D1015" s="66"/>
      <c r="E1015" s="24" t="s">
        <v>36</v>
      </c>
      <c r="F1015" s="24"/>
      <c r="G1015" s="25">
        <v>0</v>
      </c>
      <c r="H1015" s="2"/>
    </row>
    <row r="1016" spans="1:8" ht="15.75" hidden="1" customHeight="1">
      <c r="A1016" s="64"/>
      <c r="B1016" s="11">
        <v>45806</v>
      </c>
      <c r="C1016" s="12">
        <v>0</v>
      </c>
      <c r="D1016" s="12">
        <v>13105</v>
      </c>
      <c r="E1016" s="76" t="s">
        <v>31</v>
      </c>
      <c r="F1016" s="27">
        <v>52902</v>
      </c>
      <c r="G1016" s="28">
        <v>1636.67</v>
      </c>
      <c r="H1016" s="2"/>
    </row>
    <row r="1017" spans="1:8" ht="15.75" hidden="1" customHeight="1">
      <c r="A1017" s="64"/>
      <c r="B1017" s="71"/>
      <c r="C1017" s="71"/>
      <c r="D1017" s="71"/>
      <c r="E1017" s="13" t="s">
        <v>71</v>
      </c>
      <c r="F1017" s="13"/>
      <c r="G1017" s="30">
        <v>0</v>
      </c>
      <c r="H1017" s="2"/>
    </row>
    <row r="1018" spans="1:8" ht="15.75" hidden="1" customHeight="1">
      <c r="A1018" s="64"/>
      <c r="B1018" s="17">
        <v>45806</v>
      </c>
      <c r="C1018" s="18">
        <v>0</v>
      </c>
      <c r="D1018" s="18">
        <v>13105</v>
      </c>
      <c r="E1018" s="65" t="s">
        <v>31</v>
      </c>
      <c r="F1018" s="20">
        <v>52903</v>
      </c>
      <c r="G1018" s="31">
        <v>4020</v>
      </c>
      <c r="H1018" s="2"/>
    </row>
    <row r="1019" spans="1:8" ht="28.5" hidden="1" customHeight="1">
      <c r="A1019" s="64"/>
      <c r="B1019" s="66"/>
      <c r="C1019" s="66"/>
      <c r="D1019" s="66"/>
      <c r="E1019" s="24" t="s">
        <v>530</v>
      </c>
      <c r="F1019" s="24"/>
      <c r="G1019" s="25">
        <v>0</v>
      </c>
      <c r="H1019" s="2"/>
    </row>
    <row r="1020" spans="1:8" ht="15.75" hidden="1" customHeight="1">
      <c r="A1020" s="64"/>
      <c r="B1020" s="11">
        <v>45806</v>
      </c>
      <c r="C1020" s="12">
        <v>0</v>
      </c>
      <c r="D1020" s="12">
        <v>13105</v>
      </c>
      <c r="E1020" s="76" t="s">
        <v>31</v>
      </c>
      <c r="F1020" s="27">
        <v>52904</v>
      </c>
      <c r="G1020" s="28">
        <v>334.42</v>
      </c>
      <c r="H1020" s="2"/>
    </row>
    <row r="1021" spans="1:8" ht="15.75" hidden="1" customHeight="1">
      <c r="A1021" s="64"/>
      <c r="B1021" s="71"/>
      <c r="C1021" s="71"/>
      <c r="D1021" s="71"/>
      <c r="E1021" s="13" t="s">
        <v>231</v>
      </c>
      <c r="F1021" s="13"/>
      <c r="G1021" s="30">
        <v>0</v>
      </c>
      <c r="H1021" s="2"/>
    </row>
    <row r="1022" spans="1:8" ht="15.75" hidden="1" customHeight="1">
      <c r="A1022" s="64"/>
      <c r="B1022" s="17">
        <v>45806</v>
      </c>
      <c r="C1022" s="18">
        <v>0</v>
      </c>
      <c r="D1022" s="18">
        <v>13105</v>
      </c>
      <c r="E1022" s="65" t="s">
        <v>31</v>
      </c>
      <c r="F1022" s="20">
        <v>52905</v>
      </c>
      <c r="G1022" s="31">
        <v>280.79000000000002</v>
      </c>
      <c r="H1022" s="2"/>
    </row>
    <row r="1023" spans="1:8" ht="28.5" hidden="1" customHeight="1">
      <c r="A1023" s="64"/>
      <c r="B1023" s="66"/>
      <c r="C1023" s="66"/>
      <c r="D1023" s="66"/>
      <c r="E1023" s="24" t="s">
        <v>45</v>
      </c>
      <c r="F1023" s="24"/>
      <c r="G1023" s="25">
        <v>0</v>
      </c>
      <c r="H1023" s="2"/>
    </row>
    <row r="1024" spans="1:8" ht="15.75" hidden="1" customHeight="1">
      <c r="A1024" s="64"/>
      <c r="B1024" s="11">
        <v>45806</v>
      </c>
      <c r="C1024" s="12">
        <v>0</v>
      </c>
      <c r="D1024" s="12">
        <v>13105</v>
      </c>
      <c r="E1024" s="76" t="s">
        <v>31</v>
      </c>
      <c r="F1024" s="27">
        <v>52906</v>
      </c>
      <c r="G1024" s="28">
        <v>479.1</v>
      </c>
      <c r="H1024" s="2"/>
    </row>
    <row r="1025" spans="1:8" ht="28.5" hidden="1" customHeight="1">
      <c r="A1025" s="64"/>
      <c r="B1025" s="71"/>
      <c r="C1025" s="71"/>
      <c r="D1025" s="71"/>
      <c r="E1025" s="13" t="s">
        <v>45</v>
      </c>
      <c r="F1025" s="13"/>
      <c r="G1025" s="30">
        <v>0</v>
      </c>
      <c r="H1025" s="2"/>
    </row>
    <row r="1026" spans="1:8" ht="15.75" hidden="1" customHeight="1">
      <c r="A1026" s="64"/>
      <c r="B1026" s="17">
        <v>45806</v>
      </c>
      <c r="C1026" s="18">
        <v>0</v>
      </c>
      <c r="D1026" s="18">
        <v>13105</v>
      </c>
      <c r="E1026" s="65" t="s">
        <v>31</v>
      </c>
      <c r="F1026" s="20">
        <v>52907</v>
      </c>
      <c r="G1026" s="31">
        <v>378.63</v>
      </c>
      <c r="H1026" s="2"/>
    </row>
    <row r="1027" spans="1:8" ht="15.75" hidden="1" customHeight="1">
      <c r="A1027" s="64"/>
      <c r="B1027" s="66"/>
      <c r="C1027" s="66"/>
      <c r="D1027" s="66"/>
      <c r="E1027" s="24" t="s">
        <v>46</v>
      </c>
      <c r="F1027" s="24"/>
      <c r="G1027" s="25">
        <v>0</v>
      </c>
      <c r="H1027" s="2"/>
    </row>
    <row r="1028" spans="1:8" ht="15.75" hidden="1" customHeight="1">
      <c r="A1028" s="64"/>
      <c r="B1028" s="11">
        <v>45806</v>
      </c>
      <c r="C1028" s="12">
        <v>0</v>
      </c>
      <c r="D1028" s="12">
        <v>13105</v>
      </c>
      <c r="E1028" s="76" t="s">
        <v>31</v>
      </c>
      <c r="F1028" s="27">
        <v>52908</v>
      </c>
      <c r="G1028" s="28">
        <v>297.17</v>
      </c>
      <c r="H1028" s="2"/>
    </row>
    <row r="1029" spans="1:8" ht="15.75" hidden="1" customHeight="1">
      <c r="A1029" s="64"/>
      <c r="B1029" s="71"/>
      <c r="C1029" s="71"/>
      <c r="D1029" s="71"/>
      <c r="E1029" s="13" t="s">
        <v>46</v>
      </c>
      <c r="F1029" s="13"/>
      <c r="G1029" s="30">
        <v>0</v>
      </c>
      <c r="H1029" s="2"/>
    </row>
    <row r="1030" spans="1:8" ht="15.75" hidden="1" customHeight="1">
      <c r="A1030" s="64"/>
      <c r="B1030" s="17">
        <v>45806</v>
      </c>
      <c r="C1030" s="18">
        <v>0</v>
      </c>
      <c r="D1030" s="18">
        <v>13105</v>
      </c>
      <c r="E1030" s="65" t="s">
        <v>31</v>
      </c>
      <c r="F1030" s="20">
        <v>52909</v>
      </c>
      <c r="G1030" s="31">
        <v>768.17</v>
      </c>
      <c r="H1030" s="2"/>
    </row>
    <row r="1031" spans="1:8" ht="15.75" hidden="1" customHeight="1">
      <c r="A1031" s="64"/>
      <c r="B1031" s="66"/>
      <c r="C1031" s="66"/>
      <c r="D1031" s="66"/>
      <c r="E1031" s="24" t="s">
        <v>46</v>
      </c>
      <c r="F1031" s="24"/>
      <c r="G1031" s="25">
        <v>0</v>
      </c>
      <c r="H1031" s="2"/>
    </row>
    <row r="1032" spans="1:8" ht="15.75" hidden="1" customHeight="1">
      <c r="A1032" s="64"/>
      <c r="B1032" s="11">
        <v>45806</v>
      </c>
      <c r="C1032" s="12">
        <v>0</v>
      </c>
      <c r="D1032" s="12">
        <v>13105</v>
      </c>
      <c r="E1032" s="76" t="s">
        <v>31</v>
      </c>
      <c r="F1032" s="27">
        <v>52910</v>
      </c>
      <c r="G1032" s="28">
        <v>296.36</v>
      </c>
      <c r="H1032" s="2"/>
    </row>
    <row r="1033" spans="1:8" ht="28.5" hidden="1" customHeight="1">
      <c r="A1033" s="64"/>
      <c r="B1033" s="71"/>
      <c r="C1033" s="71"/>
      <c r="D1033" s="71"/>
      <c r="E1033" s="13" t="s">
        <v>41</v>
      </c>
      <c r="F1033" s="13"/>
      <c r="G1033" s="30">
        <v>0</v>
      </c>
      <c r="H1033" s="2"/>
    </row>
    <row r="1034" spans="1:8" ht="15.75" hidden="1" customHeight="1">
      <c r="A1034" s="64"/>
      <c r="B1034" s="17">
        <v>45806</v>
      </c>
      <c r="C1034" s="18">
        <v>0</v>
      </c>
      <c r="D1034" s="18">
        <v>13105</v>
      </c>
      <c r="E1034" s="65" t="s">
        <v>31</v>
      </c>
      <c r="F1034" s="20">
        <v>52911</v>
      </c>
      <c r="G1034" s="31">
        <v>240.55</v>
      </c>
      <c r="H1034" s="2"/>
    </row>
    <row r="1035" spans="1:8" ht="15.75" hidden="1" customHeight="1">
      <c r="A1035" s="64"/>
      <c r="B1035" s="66"/>
      <c r="C1035" s="66"/>
      <c r="D1035" s="66"/>
      <c r="E1035" s="24" t="s">
        <v>111</v>
      </c>
      <c r="F1035" s="24"/>
      <c r="G1035" s="25">
        <v>0</v>
      </c>
      <c r="H1035" s="2"/>
    </row>
    <row r="1036" spans="1:8" ht="15.75" hidden="1" customHeight="1">
      <c r="A1036" s="64"/>
      <c r="B1036" s="11">
        <v>45806</v>
      </c>
      <c r="C1036" s="12">
        <v>0</v>
      </c>
      <c r="D1036" s="12">
        <v>13105</v>
      </c>
      <c r="E1036" s="76" t="s">
        <v>31</v>
      </c>
      <c r="F1036" s="27">
        <v>52912</v>
      </c>
      <c r="G1036" s="28">
        <v>256.27999999999997</v>
      </c>
      <c r="H1036" s="2"/>
    </row>
    <row r="1037" spans="1:8" ht="15.75" hidden="1" customHeight="1">
      <c r="A1037" s="64"/>
      <c r="B1037" s="71"/>
      <c r="C1037" s="71"/>
      <c r="D1037" s="71"/>
      <c r="E1037" s="13" t="s">
        <v>111</v>
      </c>
      <c r="F1037" s="13"/>
      <c r="G1037" s="30">
        <v>0</v>
      </c>
      <c r="H1037" s="2"/>
    </row>
    <row r="1038" spans="1:8" ht="15.75" hidden="1" customHeight="1">
      <c r="A1038" s="64"/>
      <c r="B1038" s="17">
        <v>45806</v>
      </c>
      <c r="C1038" s="18">
        <v>0</v>
      </c>
      <c r="D1038" s="18">
        <v>13105</v>
      </c>
      <c r="E1038" s="65" t="s">
        <v>31</v>
      </c>
      <c r="F1038" s="20">
        <v>52913</v>
      </c>
      <c r="G1038" s="31">
        <v>201.27</v>
      </c>
      <c r="H1038" s="2"/>
    </row>
    <row r="1039" spans="1:8" ht="15.75" hidden="1" customHeight="1">
      <c r="A1039" s="64"/>
      <c r="B1039" s="66"/>
      <c r="C1039" s="66"/>
      <c r="D1039" s="66"/>
      <c r="E1039" s="24" t="s">
        <v>111</v>
      </c>
      <c r="F1039" s="24"/>
      <c r="G1039" s="25">
        <v>0</v>
      </c>
      <c r="H1039" s="2"/>
    </row>
    <row r="1040" spans="1:8" ht="15.75" hidden="1" customHeight="1">
      <c r="A1040" s="64"/>
      <c r="B1040" s="11">
        <v>45806</v>
      </c>
      <c r="C1040" s="12">
        <v>0</v>
      </c>
      <c r="D1040" s="12">
        <v>13105</v>
      </c>
      <c r="E1040" s="76" t="s">
        <v>31</v>
      </c>
      <c r="F1040" s="27">
        <v>52914</v>
      </c>
      <c r="G1040" s="28">
        <v>182.4</v>
      </c>
      <c r="H1040" s="2"/>
    </row>
    <row r="1041" spans="1:8" ht="28.5" hidden="1" customHeight="1">
      <c r="A1041" s="64"/>
      <c r="B1041" s="71"/>
      <c r="C1041" s="71"/>
      <c r="D1041" s="71"/>
      <c r="E1041" s="13" t="s">
        <v>41</v>
      </c>
      <c r="F1041" s="13"/>
      <c r="G1041" s="30">
        <v>0</v>
      </c>
      <c r="H1041" s="2"/>
    </row>
    <row r="1042" spans="1:8" ht="15.75" hidden="1" customHeight="1">
      <c r="A1042" s="64"/>
      <c r="B1042" s="17">
        <v>45806</v>
      </c>
      <c r="C1042" s="18">
        <v>0</v>
      </c>
      <c r="D1042" s="18">
        <v>13105</v>
      </c>
      <c r="E1042" s="65" t="s">
        <v>31</v>
      </c>
      <c r="F1042" s="20">
        <v>52915</v>
      </c>
      <c r="G1042" s="31">
        <v>677.1</v>
      </c>
      <c r="H1042" s="2"/>
    </row>
    <row r="1043" spans="1:8" ht="15.75" hidden="1" customHeight="1">
      <c r="A1043" s="64"/>
      <c r="B1043" s="66"/>
      <c r="C1043" s="66"/>
      <c r="D1043" s="66"/>
      <c r="E1043" s="24" t="s">
        <v>340</v>
      </c>
      <c r="F1043" s="24"/>
      <c r="G1043" s="25">
        <v>0</v>
      </c>
      <c r="H1043" s="2"/>
    </row>
    <row r="1044" spans="1:8" ht="15.75" hidden="1" customHeight="1">
      <c r="A1044" s="64"/>
      <c r="B1044" s="11">
        <v>45806</v>
      </c>
      <c r="C1044" s="12">
        <v>0</v>
      </c>
      <c r="D1044" s="12">
        <v>13105</v>
      </c>
      <c r="E1044" s="76" t="s">
        <v>31</v>
      </c>
      <c r="F1044" s="27">
        <v>52916</v>
      </c>
      <c r="G1044" s="28">
        <v>540.07000000000005</v>
      </c>
      <c r="H1044" s="2"/>
    </row>
    <row r="1045" spans="1:8" ht="15.75" hidden="1" customHeight="1">
      <c r="A1045" s="64"/>
      <c r="B1045" s="71"/>
      <c r="C1045" s="71"/>
      <c r="D1045" s="71"/>
      <c r="E1045" s="13" t="s">
        <v>200</v>
      </c>
      <c r="F1045" s="13"/>
      <c r="G1045" s="30">
        <v>0</v>
      </c>
      <c r="H1045" s="2"/>
    </row>
    <row r="1046" spans="1:8" ht="15.75" hidden="1" customHeight="1">
      <c r="A1046" s="64"/>
      <c r="B1046" s="17">
        <v>45806</v>
      </c>
      <c r="C1046" s="18">
        <v>0</v>
      </c>
      <c r="D1046" s="18">
        <v>13105</v>
      </c>
      <c r="E1046" s="65" t="s">
        <v>31</v>
      </c>
      <c r="F1046" s="20">
        <v>52917</v>
      </c>
      <c r="G1046" s="31">
        <v>34.65</v>
      </c>
      <c r="H1046" s="2"/>
    </row>
    <row r="1047" spans="1:8" ht="15.75" hidden="1" customHeight="1">
      <c r="A1047" s="64"/>
      <c r="B1047" s="66"/>
      <c r="C1047" s="66"/>
      <c r="D1047" s="66"/>
      <c r="E1047" s="24" t="s">
        <v>56</v>
      </c>
      <c r="F1047" s="24"/>
      <c r="G1047" s="25">
        <v>0</v>
      </c>
      <c r="H1047" s="2"/>
    </row>
    <row r="1048" spans="1:8" ht="15.75" hidden="1" customHeight="1">
      <c r="A1048" s="64"/>
      <c r="B1048" s="11">
        <v>45806</v>
      </c>
      <c r="C1048" s="12">
        <v>0</v>
      </c>
      <c r="D1048" s="12">
        <v>13105</v>
      </c>
      <c r="E1048" s="76" t="s">
        <v>31</v>
      </c>
      <c r="F1048" s="27">
        <v>52918</v>
      </c>
      <c r="G1048" s="28">
        <v>115.92</v>
      </c>
      <c r="H1048" s="2"/>
    </row>
    <row r="1049" spans="1:8" ht="15.75" hidden="1" customHeight="1">
      <c r="A1049" s="64"/>
      <c r="B1049" s="71"/>
      <c r="C1049" s="71"/>
      <c r="D1049" s="71"/>
      <c r="E1049" s="13" t="s">
        <v>56</v>
      </c>
      <c r="F1049" s="13"/>
      <c r="G1049" s="30">
        <v>0</v>
      </c>
      <c r="H1049" s="2"/>
    </row>
    <row r="1050" spans="1:8" ht="15.75" hidden="1" customHeight="1">
      <c r="A1050" s="64"/>
      <c r="B1050" s="17">
        <v>45806</v>
      </c>
      <c r="C1050" s="18">
        <v>0</v>
      </c>
      <c r="D1050" s="18">
        <v>13105</v>
      </c>
      <c r="E1050" s="65" t="s">
        <v>31</v>
      </c>
      <c r="F1050" s="20">
        <v>52919</v>
      </c>
      <c r="G1050" s="31">
        <v>460.6</v>
      </c>
      <c r="H1050" s="2"/>
    </row>
    <row r="1051" spans="1:8" ht="15.75" hidden="1" customHeight="1">
      <c r="A1051" s="64"/>
      <c r="B1051" s="66"/>
      <c r="C1051" s="66"/>
      <c r="D1051" s="66"/>
      <c r="E1051" s="24" t="s">
        <v>201</v>
      </c>
      <c r="F1051" s="24"/>
      <c r="G1051" s="25">
        <v>0</v>
      </c>
      <c r="H1051" s="2"/>
    </row>
    <row r="1052" spans="1:8" ht="15.75" hidden="1" customHeight="1">
      <c r="A1052" s="64"/>
      <c r="B1052" s="11">
        <v>45806</v>
      </c>
      <c r="C1052" s="12">
        <v>0</v>
      </c>
      <c r="D1052" s="12">
        <v>0</v>
      </c>
      <c r="E1052" s="76" t="s">
        <v>59</v>
      </c>
      <c r="F1052" s="27">
        <v>9903</v>
      </c>
      <c r="G1052" s="28">
        <v>389.03</v>
      </c>
      <c r="H1052" s="2"/>
    </row>
    <row r="1053" spans="1:8" ht="15.75" hidden="1" customHeight="1">
      <c r="A1053" s="64"/>
      <c r="B1053" s="17">
        <v>45807</v>
      </c>
      <c r="C1053" s="18">
        <v>9001</v>
      </c>
      <c r="D1053" s="18">
        <v>11006</v>
      </c>
      <c r="E1053" s="65" t="s">
        <v>204</v>
      </c>
      <c r="F1053" s="20">
        <v>3941</v>
      </c>
      <c r="G1053" s="31">
        <v>1017.84</v>
      </c>
      <c r="H1053" s="2"/>
    </row>
    <row r="1054" spans="1:8" ht="15.75" hidden="1" customHeight="1">
      <c r="A1054" s="64"/>
      <c r="B1054" s="11">
        <v>45807</v>
      </c>
      <c r="C1054" s="12">
        <v>9001</v>
      </c>
      <c r="D1054" s="12">
        <v>11006</v>
      </c>
      <c r="E1054" s="76" t="s">
        <v>204</v>
      </c>
      <c r="F1054" s="27">
        <v>3941</v>
      </c>
      <c r="G1054" s="28">
        <v>801.82</v>
      </c>
      <c r="H1054" s="2"/>
    </row>
    <row r="1055" spans="1:8" ht="15.75" hidden="1" customHeight="1">
      <c r="A1055" s="64"/>
      <c r="B1055" s="17">
        <v>45807</v>
      </c>
      <c r="C1055" s="18">
        <v>9001</v>
      </c>
      <c r="D1055" s="18">
        <v>11006</v>
      </c>
      <c r="E1055" s="65" t="s">
        <v>204</v>
      </c>
      <c r="F1055" s="20">
        <v>3941</v>
      </c>
      <c r="G1055" s="31">
        <v>832.25</v>
      </c>
      <c r="H1055" s="2"/>
    </row>
    <row r="1056" spans="1:8" ht="15.75" hidden="1" customHeight="1">
      <c r="A1056" s="64"/>
      <c r="B1056" s="11">
        <v>45807</v>
      </c>
      <c r="C1056" s="12">
        <v>9001</v>
      </c>
      <c r="D1056" s="12">
        <v>11006</v>
      </c>
      <c r="E1056" s="76" t="s">
        <v>204</v>
      </c>
      <c r="F1056" s="27">
        <v>3941</v>
      </c>
      <c r="G1056" s="28">
        <v>2398.62</v>
      </c>
      <c r="H1056" s="2"/>
    </row>
    <row r="1057" spans="1:9" ht="15.75" customHeight="1">
      <c r="A1057" s="130" t="s">
        <v>140</v>
      </c>
      <c r="B1057" s="41">
        <v>45807</v>
      </c>
      <c r="C1057" s="42">
        <v>1533</v>
      </c>
      <c r="D1057" s="42">
        <v>32</v>
      </c>
      <c r="E1057" s="73" t="s">
        <v>141</v>
      </c>
      <c r="F1057" s="74">
        <v>202505290088286</v>
      </c>
      <c r="G1057" s="75">
        <v>1232.8399999999999</v>
      </c>
      <c r="H1057" s="2">
        <v>3317</v>
      </c>
      <c r="I1057" s="64" t="s">
        <v>428</v>
      </c>
    </row>
    <row r="1058" spans="1:9" ht="15.75" hidden="1" customHeight="1">
      <c r="A1058" s="64"/>
      <c r="B1058" s="66"/>
      <c r="C1058" s="66"/>
      <c r="D1058" s="66"/>
      <c r="E1058" s="24" t="s">
        <v>143</v>
      </c>
      <c r="F1058" s="24"/>
      <c r="G1058" s="25">
        <v>0</v>
      </c>
      <c r="H1058" s="2"/>
    </row>
    <row r="1059" spans="1:9" ht="15.75" customHeight="1">
      <c r="A1059" s="130" t="s">
        <v>140</v>
      </c>
      <c r="B1059" s="34">
        <v>45807</v>
      </c>
      <c r="C1059" s="35">
        <v>1533</v>
      </c>
      <c r="D1059" s="35">
        <v>32</v>
      </c>
      <c r="E1059" s="68" t="s">
        <v>141</v>
      </c>
      <c r="F1059" s="69">
        <v>202505290088294</v>
      </c>
      <c r="G1059" s="70">
        <v>2190.7399999999998</v>
      </c>
      <c r="H1059" s="2">
        <v>3361</v>
      </c>
      <c r="I1059" s="64" t="s">
        <v>428</v>
      </c>
    </row>
    <row r="1060" spans="1:9" ht="15.75" hidden="1" customHeight="1">
      <c r="A1060" s="64"/>
      <c r="B1060" s="71"/>
      <c r="C1060" s="71"/>
      <c r="D1060" s="71"/>
      <c r="E1060" s="13" t="s">
        <v>143</v>
      </c>
      <c r="F1060" s="13"/>
      <c r="G1060" s="30">
        <v>0</v>
      </c>
      <c r="H1060" s="2"/>
    </row>
    <row r="1061" spans="1:9" ht="15.75" customHeight="1">
      <c r="A1061" s="130" t="s">
        <v>140</v>
      </c>
      <c r="B1061" s="41">
        <v>45807</v>
      </c>
      <c r="C1061" s="42">
        <v>1533</v>
      </c>
      <c r="D1061" s="42">
        <v>32</v>
      </c>
      <c r="E1061" s="73" t="s">
        <v>141</v>
      </c>
      <c r="F1061" s="74">
        <v>202505290088303</v>
      </c>
      <c r="G1061" s="75">
        <v>1232.8399999999999</v>
      </c>
      <c r="H1061" s="2">
        <v>3395</v>
      </c>
      <c r="I1061" s="64" t="s">
        <v>428</v>
      </c>
    </row>
    <row r="1062" spans="1:9" ht="15.75" hidden="1" customHeight="1">
      <c r="A1062" s="64"/>
      <c r="B1062" s="66"/>
      <c r="C1062" s="66"/>
      <c r="D1062" s="66"/>
      <c r="E1062" s="24" t="s">
        <v>143</v>
      </c>
      <c r="F1062" s="24"/>
      <c r="G1062" s="25">
        <v>0</v>
      </c>
      <c r="H1062" s="2"/>
    </row>
    <row r="1063" spans="1:9" ht="15.75" customHeight="1">
      <c r="A1063" s="130" t="s">
        <v>140</v>
      </c>
      <c r="B1063" s="34">
        <v>45807</v>
      </c>
      <c r="C1063" s="35">
        <v>1533</v>
      </c>
      <c r="D1063" s="35">
        <v>32</v>
      </c>
      <c r="E1063" s="68" t="s">
        <v>141</v>
      </c>
      <c r="F1063" s="69">
        <v>202505290088307</v>
      </c>
      <c r="G1063" s="70">
        <v>2190.7399999999998</v>
      </c>
      <c r="H1063" s="2">
        <v>3446</v>
      </c>
      <c r="I1063" s="64" t="s">
        <v>428</v>
      </c>
    </row>
    <row r="1064" spans="1:9" ht="15.75" hidden="1" customHeight="1">
      <c r="A1064" s="64"/>
      <c r="B1064" s="71"/>
      <c r="C1064" s="71"/>
      <c r="D1064" s="71"/>
      <c r="E1064" s="13" t="s">
        <v>143</v>
      </c>
      <c r="F1064" s="13"/>
      <c r="G1064" s="30">
        <v>0</v>
      </c>
      <c r="H1064" s="2"/>
    </row>
    <row r="1065" spans="1:9" ht="15.75" customHeight="1">
      <c r="A1065" s="130" t="s">
        <v>140</v>
      </c>
      <c r="B1065" s="41">
        <v>45807</v>
      </c>
      <c r="C1065" s="42">
        <v>1533</v>
      </c>
      <c r="D1065" s="42">
        <v>32</v>
      </c>
      <c r="E1065" s="73" t="s">
        <v>141</v>
      </c>
      <c r="F1065" s="74">
        <v>202505290088335</v>
      </c>
      <c r="G1065" s="75">
        <v>609.28</v>
      </c>
      <c r="H1065" s="2">
        <v>3582</v>
      </c>
      <c r="I1065" s="64" t="s">
        <v>419</v>
      </c>
    </row>
    <row r="1066" spans="1:9" ht="15.75" hidden="1" customHeight="1">
      <c r="A1066" s="64"/>
      <c r="B1066" s="66"/>
      <c r="C1066" s="66"/>
      <c r="D1066" s="66"/>
      <c r="E1066" s="24" t="s">
        <v>143</v>
      </c>
      <c r="F1066" s="24"/>
      <c r="G1066" s="25">
        <v>0</v>
      </c>
      <c r="H1066" s="2"/>
    </row>
    <row r="1067" spans="1:9" ht="15.75" customHeight="1">
      <c r="A1067" s="130" t="s">
        <v>140</v>
      </c>
      <c r="B1067" s="34">
        <v>45807</v>
      </c>
      <c r="C1067" s="35">
        <v>1533</v>
      </c>
      <c r="D1067" s="35">
        <v>32</v>
      </c>
      <c r="E1067" s="68" t="s">
        <v>141</v>
      </c>
      <c r="F1067" s="69">
        <v>202505290088343</v>
      </c>
      <c r="G1067" s="70">
        <v>1668.08</v>
      </c>
      <c r="H1067" s="2">
        <v>3564</v>
      </c>
      <c r="I1067" s="64" t="s">
        <v>428</v>
      </c>
    </row>
    <row r="1068" spans="1:9" ht="15.75" hidden="1" customHeight="1">
      <c r="B1068" s="71"/>
      <c r="C1068" s="71"/>
      <c r="D1068" s="71"/>
      <c r="E1068" s="13" t="s">
        <v>143</v>
      </c>
      <c r="F1068" s="13"/>
      <c r="G1068" s="30">
        <v>0</v>
      </c>
      <c r="H1068" s="2"/>
    </row>
    <row r="1069" spans="1:9" ht="15.75" hidden="1" customHeight="1">
      <c r="B1069" s="17">
        <v>45807</v>
      </c>
      <c r="C1069" s="18">
        <v>1533</v>
      </c>
      <c r="D1069" s="18">
        <v>103</v>
      </c>
      <c r="E1069" s="65" t="s">
        <v>57</v>
      </c>
      <c r="F1069" s="20">
        <v>301016216016872</v>
      </c>
      <c r="G1069" s="21">
        <v>675.02</v>
      </c>
      <c r="H1069" s="2"/>
    </row>
    <row r="1070" spans="1:9" ht="28.5" hidden="1" customHeight="1">
      <c r="B1070" s="66"/>
      <c r="C1070" s="66"/>
      <c r="D1070" s="66"/>
      <c r="E1070" s="24" t="s">
        <v>685</v>
      </c>
      <c r="F1070" s="24"/>
      <c r="G1070" s="25">
        <v>0</v>
      </c>
      <c r="H1070" s="2"/>
    </row>
    <row r="1071" spans="1:9" ht="15.75" hidden="1" customHeight="1">
      <c r="B1071" s="11">
        <v>45807</v>
      </c>
      <c r="C1071" s="12">
        <v>1533</v>
      </c>
      <c r="D1071" s="12">
        <v>1533</v>
      </c>
      <c r="E1071" s="76" t="s">
        <v>118</v>
      </c>
      <c r="F1071" s="27">
        <v>53001</v>
      </c>
      <c r="G1071" s="28">
        <v>204.97</v>
      </c>
      <c r="H1071" s="2"/>
    </row>
    <row r="1072" spans="1:9" ht="28.5" hidden="1" customHeight="1">
      <c r="B1072" s="71"/>
      <c r="C1072" s="71"/>
      <c r="D1072" s="71"/>
      <c r="E1072" s="13" t="s">
        <v>686</v>
      </c>
      <c r="F1072" s="13"/>
      <c r="G1072" s="30">
        <v>0</v>
      </c>
      <c r="H1072" s="2"/>
    </row>
    <row r="1073" spans="2:8" ht="15.75" hidden="1" customHeight="1">
      <c r="B1073" s="17">
        <v>45807</v>
      </c>
      <c r="C1073" s="18">
        <v>984</v>
      </c>
      <c r="D1073" s="18">
        <v>984</v>
      </c>
      <c r="E1073" s="65" t="s">
        <v>27</v>
      </c>
      <c r="F1073" s="20">
        <v>550984000024887</v>
      </c>
      <c r="G1073" s="21">
        <v>2665.6</v>
      </c>
      <c r="H1073" s="2" t="s">
        <v>89</v>
      </c>
    </row>
    <row r="1074" spans="2:8" ht="28.5" hidden="1" customHeight="1">
      <c r="B1074" s="66"/>
      <c r="C1074" s="66"/>
      <c r="D1074" s="66"/>
      <c r="E1074" s="24" t="s">
        <v>687</v>
      </c>
      <c r="F1074" s="24"/>
      <c r="G1074" s="25">
        <v>0</v>
      </c>
      <c r="H1074" s="2"/>
    </row>
    <row r="1075" spans="2:8" ht="15.75" hidden="1" customHeight="1">
      <c r="B1075" s="11">
        <v>45807</v>
      </c>
      <c r="C1075" s="12">
        <v>984</v>
      </c>
      <c r="D1075" s="12">
        <v>984</v>
      </c>
      <c r="E1075" s="76" t="s">
        <v>27</v>
      </c>
      <c r="F1075" s="27">
        <v>550984000024887</v>
      </c>
      <c r="G1075" s="15">
        <v>2665.6</v>
      </c>
      <c r="H1075" s="2" t="s">
        <v>89</v>
      </c>
    </row>
    <row r="1076" spans="2:8" ht="28.5" hidden="1" customHeight="1">
      <c r="B1076" s="71"/>
      <c r="C1076" s="71"/>
      <c r="D1076" s="71"/>
      <c r="E1076" s="13" t="s">
        <v>687</v>
      </c>
      <c r="F1076" s="13"/>
      <c r="G1076" s="30">
        <v>0</v>
      </c>
      <c r="H1076" s="2"/>
    </row>
    <row r="1077" spans="2:8" ht="15.75" hidden="1" customHeight="1">
      <c r="B1077" s="17">
        <v>45807</v>
      </c>
      <c r="C1077" s="18">
        <v>1533</v>
      </c>
      <c r="D1077" s="18">
        <v>54</v>
      </c>
      <c r="E1077" s="65" t="s">
        <v>688</v>
      </c>
      <c r="F1077" s="20">
        <v>382891726</v>
      </c>
      <c r="G1077" s="21">
        <v>2200</v>
      </c>
      <c r="H1077" s="2" t="s">
        <v>537</v>
      </c>
    </row>
    <row r="1078" spans="2:8" ht="28.5" hidden="1" customHeight="1">
      <c r="B1078" s="66"/>
      <c r="C1078" s="66"/>
      <c r="D1078" s="66"/>
      <c r="E1078" s="24" t="s">
        <v>97</v>
      </c>
      <c r="F1078" s="24"/>
      <c r="G1078" s="25">
        <v>0</v>
      </c>
      <c r="H1078" s="2"/>
    </row>
    <row r="1079" spans="2:8" ht="15.75" hidden="1" customHeight="1">
      <c r="B1079" s="11">
        <v>45807</v>
      </c>
      <c r="C1079" s="12">
        <v>1533</v>
      </c>
      <c r="D1079" s="12">
        <v>1533</v>
      </c>
      <c r="E1079" s="76" t="s">
        <v>31</v>
      </c>
      <c r="F1079" s="27">
        <v>53002</v>
      </c>
      <c r="G1079" s="28">
        <v>741.98</v>
      </c>
      <c r="H1079" s="2"/>
    </row>
    <row r="1080" spans="2:8" ht="28.5" hidden="1" customHeight="1">
      <c r="B1080" s="71"/>
      <c r="C1080" s="71"/>
      <c r="D1080" s="71"/>
      <c r="E1080" s="13" t="s">
        <v>188</v>
      </c>
      <c r="F1080" s="13"/>
      <c r="G1080" s="30">
        <v>0</v>
      </c>
      <c r="H1080" s="2"/>
    </row>
    <row r="1081" spans="2:8" ht="15.75" hidden="1" customHeight="1">
      <c r="B1081" s="17">
        <v>45807</v>
      </c>
      <c r="C1081" s="18">
        <v>1533</v>
      </c>
      <c r="D1081" s="18">
        <v>1533</v>
      </c>
      <c r="E1081" s="65" t="s">
        <v>31</v>
      </c>
      <c r="F1081" s="20">
        <v>53003</v>
      </c>
      <c r="G1081" s="31">
        <v>175.74</v>
      </c>
      <c r="H1081" s="2"/>
    </row>
    <row r="1082" spans="2:8" ht="28.5" hidden="1" customHeight="1">
      <c r="B1082" s="66"/>
      <c r="C1082" s="66"/>
      <c r="D1082" s="66"/>
      <c r="E1082" s="24" t="s">
        <v>289</v>
      </c>
      <c r="F1082" s="24"/>
      <c r="G1082" s="25">
        <v>0</v>
      </c>
      <c r="H1082" s="2"/>
    </row>
    <row r="1083" spans="2:8" ht="15.75" hidden="1" customHeight="1">
      <c r="B1083" s="11">
        <v>45807</v>
      </c>
      <c r="C1083" s="12">
        <v>1533</v>
      </c>
      <c r="D1083" s="12">
        <v>1533</v>
      </c>
      <c r="E1083" s="76" t="s">
        <v>31</v>
      </c>
      <c r="F1083" s="27">
        <v>53004</v>
      </c>
      <c r="G1083" s="28">
        <v>1203.21</v>
      </c>
      <c r="H1083" s="2"/>
    </row>
    <row r="1084" spans="2:8" ht="15.75" hidden="1" customHeight="1">
      <c r="B1084" s="71"/>
      <c r="C1084" s="71"/>
      <c r="D1084" s="71"/>
      <c r="E1084" s="13" t="s">
        <v>689</v>
      </c>
      <c r="F1084" s="13"/>
      <c r="G1084" s="30">
        <v>0</v>
      </c>
      <c r="H1084" s="2"/>
    </row>
    <row r="1085" spans="2:8" ht="15.75" hidden="1" customHeight="1">
      <c r="B1085" s="17">
        <v>45807</v>
      </c>
      <c r="C1085" s="18">
        <v>1533</v>
      </c>
      <c r="D1085" s="18">
        <v>1533</v>
      </c>
      <c r="E1085" s="65" t="s">
        <v>31</v>
      </c>
      <c r="F1085" s="20">
        <v>53005</v>
      </c>
      <c r="G1085" s="31">
        <v>2403.3200000000002</v>
      </c>
      <c r="H1085" s="2"/>
    </row>
    <row r="1086" spans="2:8" ht="28.5" hidden="1" customHeight="1">
      <c r="B1086" s="66"/>
      <c r="C1086" s="66"/>
      <c r="D1086" s="66"/>
      <c r="E1086" s="24" t="s">
        <v>37</v>
      </c>
      <c r="F1086" s="24"/>
      <c r="G1086" s="25">
        <v>0</v>
      </c>
      <c r="H1086" s="2"/>
    </row>
    <row r="1087" spans="2:8" ht="15.75" hidden="1" customHeight="1">
      <c r="B1087" s="11">
        <v>45807</v>
      </c>
      <c r="C1087" s="12">
        <v>1533</v>
      </c>
      <c r="D1087" s="12">
        <v>1533</v>
      </c>
      <c r="E1087" s="76" t="s">
        <v>31</v>
      </c>
      <c r="F1087" s="27">
        <v>53006</v>
      </c>
      <c r="G1087" s="28">
        <v>1320</v>
      </c>
      <c r="H1087" s="2"/>
    </row>
    <row r="1088" spans="2:8" ht="15.75" hidden="1" customHeight="1">
      <c r="B1088" s="71"/>
      <c r="C1088" s="71"/>
      <c r="D1088" s="71"/>
      <c r="E1088" s="13" t="s">
        <v>85</v>
      </c>
      <c r="F1088" s="13"/>
      <c r="G1088" s="30">
        <v>0</v>
      </c>
      <c r="H1088" s="2"/>
    </row>
    <row r="1089" spans="2:8" ht="15.75" hidden="1" customHeight="1">
      <c r="B1089" s="17">
        <v>45807</v>
      </c>
      <c r="C1089" s="18">
        <v>1533</v>
      </c>
      <c r="D1089" s="18">
        <v>1533</v>
      </c>
      <c r="E1089" s="65" t="s">
        <v>31</v>
      </c>
      <c r="F1089" s="20">
        <v>53007</v>
      </c>
      <c r="G1089" s="31">
        <v>974.68</v>
      </c>
      <c r="H1089" s="2"/>
    </row>
    <row r="1090" spans="2:8" ht="15.75" hidden="1" customHeight="1">
      <c r="B1090" s="66"/>
      <c r="C1090" s="66"/>
      <c r="D1090" s="66"/>
      <c r="E1090" s="24" t="s">
        <v>507</v>
      </c>
      <c r="F1090" s="24"/>
      <c r="G1090" s="25">
        <v>0</v>
      </c>
      <c r="H1090" s="2"/>
    </row>
    <row r="1091" spans="2:8" ht="15.75" hidden="1" customHeight="1">
      <c r="B1091" s="11">
        <v>45807</v>
      </c>
      <c r="C1091" s="12">
        <v>1533</v>
      </c>
      <c r="D1091" s="12">
        <v>1533</v>
      </c>
      <c r="E1091" s="76" t="s">
        <v>31</v>
      </c>
      <c r="F1091" s="27">
        <v>53008</v>
      </c>
      <c r="G1091" s="28">
        <v>3433.4</v>
      </c>
      <c r="H1091" s="2"/>
    </row>
    <row r="1092" spans="2:8" ht="15.75" hidden="1" customHeight="1">
      <c r="B1092" s="71"/>
      <c r="C1092" s="71"/>
      <c r="D1092" s="71"/>
      <c r="E1092" s="13" t="s">
        <v>33</v>
      </c>
      <c r="F1092" s="13"/>
      <c r="G1092" s="30">
        <v>0</v>
      </c>
      <c r="H1092" s="2"/>
    </row>
    <row r="1093" spans="2:8" ht="15.75" hidden="1" customHeight="1">
      <c r="B1093" s="17">
        <v>45807</v>
      </c>
      <c r="C1093" s="18">
        <v>1533</v>
      </c>
      <c r="D1093" s="18">
        <v>1533</v>
      </c>
      <c r="E1093" s="65" t="s">
        <v>31</v>
      </c>
      <c r="F1093" s="20">
        <v>53009</v>
      </c>
      <c r="G1093" s="31">
        <v>95</v>
      </c>
      <c r="H1093" s="2"/>
    </row>
    <row r="1094" spans="2:8" ht="15.75" hidden="1" customHeight="1">
      <c r="B1094" s="66"/>
      <c r="C1094" s="66"/>
      <c r="D1094" s="66"/>
      <c r="E1094" s="24" t="s">
        <v>43</v>
      </c>
      <c r="F1094" s="24"/>
      <c r="G1094" s="25">
        <v>0</v>
      </c>
      <c r="H1094" s="2"/>
    </row>
    <row r="1095" spans="2:8" ht="15.75" hidden="1" customHeight="1">
      <c r="B1095" s="11">
        <v>45807</v>
      </c>
      <c r="C1095" s="12">
        <v>1533</v>
      </c>
      <c r="D1095" s="12">
        <v>1533</v>
      </c>
      <c r="E1095" s="76" t="s">
        <v>31</v>
      </c>
      <c r="F1095" s="27">
        <v>53010</v>
      </c>
      <c r="G1095" s="28">
        <v>603.76</v>
      </c>
      <c r="H1095" s="2"/>
    </row>
    <row r="1096" spans="2:8" ht="15.75" hidden="1" customHeight="1">
      <c r="B1096" s="71"/>
      <c r="C1096" s="71"/>
      <c r="D1096" s="71"/>
      <c r="E1096" s="13" t="s">
        <v>46</v>
      </c>
      <c r="F1096" s="13"/>
      <c r="G1096" s="30">
        <v>0</v>
      </c>
      <c r="H1096" s="2"/>
    </row>
    <row r="1097" spans="2:8" ht="15.75" hidden="1" customHeight="1">
      <c r="B1097" s="17">
        <v>45807</v>
      </c>
      <c r="C1097" s="18">
        <v>1533</v>
      </c>
      <c r="D1097" s="18">
        <v>1533</v>
      </c>
      <c r="E1097" s="65" t="s">
        <v>31</v>
      </c>
      <c r="F1097" s="20">
        <v>53011</v>
      </c>
      <c r="G1097" s="31">
        <v>205.67</v>
      </c>
      <c r="H1097" s="2"/>
    </row>
    <row r="1098" spans="2:8" ht="15.75" hidden="1" customHeight="1">
      <c r="B1098" s="66"/>
      <c r="C1098" s="66"/>
      <c r="D1098" s="66"/>
      <c r="E1098" s="24" t="s">
        <v>111</v>
      </c>
      <c r="F1098" s="24"/>
      <c r="G1098" s="25">
        <v>0</v>
      </c>
      <c r="H1098" s="2"/>
    </row>
  </sheetData>
  <pageMargins left="0.511811024" right="0.511811024" top="0.78740157499999996" bottom="0.78740157499999996" header="0" footer="0"/>
  <pageSetup paperSize="9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S1000"/>
  <sheetViews>
    <sheetView topLeftCell="C1" workbookViewId="0">
      <selection activeCell="J147" sqref="J147"/>
    </sheetView>
  </sheetViews>
  <sheetFormatPr defaultColWidth="14.42578125" defaultRowHeight="15" customHeight="1"/>
  <cols>
    <col min="1" max="1" width="8.7109375" customWidth="1"/>
    <col min="2" max="2" width="16.42578125" customWidth="1"/>
    <col min="3" max="3" width="13.85546875" customWidth="1"/>
    <col min="4" max="4" width="8.7109375" customWidth="1"/>
    <col min="5" max="5" width="12.28515625" customWidth="1"/>
    <col min="6" max="6" width="20.7109375" customWidth="1"/>
    <col min="7" max="7" width="16.28515625" customWidth="1"/>
    <col min="8" max="8" width="49.5703125" customWidth="1"/>
    <col min="9" max="9" width="12.28515625" customWidth="1"/>
    <col min="10" max="11" width="13.85546875" customWidth="1"/>
    <col min="12" max="12" width="11.140625" customWidth="1"/>
    <col min="13" max="13" width="14.28515625" customWidth="1"/>
    <col min="14" max="26" width="8.7109375" customWidth="1"/>
  </cols>
  <sheetData>
    <row r="1" spans="1:19">
      <c r="A1" s="243" t="s">
        <v>18</v>
      </c>
      <c r="B1" s="244" t="s">
        <v>19</v>
      </c>
      <c r="C1" s="244" t="s">
        <v>20</v>
      </c>
      <c r="D1" s="244" t="s">
        <v>21</v>
      </c>
      <c r="E1" s="245" t="s">
        <v>22</v>
      </c>
      <c r="F1" s="246" t="s">
        <v>23</v>
      </c>
      <c r="G1" s="247" t="s">
        <v>24</v>
      </c>
      <c r="H1" s="248" t="s">
        <v>404</v>
      </c>
      <c r="I1" s="243" t="s">
        <v>405</v>
      </c>
      <c r="J1" s="1" t="s">
        <v>406</v>
      </c>
      <c r="K1" s="3">
        <f>SUMIF(I7:I1066,"Hematologia", G7:G1097)</f>
        <v>63636.03</v>
      </c>
      <c r="L1" s="86" t="s">
        <v>536</v>
      </c>
      <c r="M1" s="3">
        <f>SUBTOTAL(9,Jun!$G$2:$G$922)</f>
        <v>954127.35000000009</v>
      </c>
      <c r="N1" s="79"/>
      <c r="O1" s="79"/>
      <c r="P1" s="79"/>
      <c r="Q1" s="79"/>
      <c r="R1" s="79"/>
      <c r="S1" s="79"/>
    </row>
    <row r="2" spans="1:19" ht="30" hidden="1">
      <c r="A2" s="79"/>
      <c r="B2" s="232">
        <v>45807</v>
      </c>
      <c r="C2" s="233">
        <v>0</v>
      </c>
      <c r="D2" s="233">
        <v>0</v>
      </c>
      <c r="E2" s="234" t="s">
        <v>26</v>
      </c>
      <c r="F2" s="235"/>
      <c r="G2" s="236">
        <v>0</v>
      </c>
      <c r="H2" s="79"/>
      <c r="I2" s="79"/>
      <c r="J2" s="1"/>
      <c r="K2" s="1"/>
      <c r="L2" s="1"/>
      <c r="M2" s="1"/>
    </row>
    <row r="3" spans="1:19" ht="36" hidden="1">
      <c r="A3" s="79"/>
      <c r="B3" s="232">
        <v>45810</v>
      </c>
      <c r="C3" s="233">
        <v>0</v>
      </c>
      <c r="D3" s="233">
        <v>14175</v>
      </c>
      <c r="E3" s="237" t="s">
        <v>62</v>
      </c>
      <c r="F3" s="238">
        <v>383054221</v>
      </c>
      <c r="G3" s="236">
        <v>5000</v>
      </c>
      <c r="H3" s="79"/>
      <c r="I3" s="79"/>
      <c r="J3" s="1"/>
      <c r="K3" s="1"/>
      <c r="L3" s="1"/>
      <c r="M3" s="1"/>
    </row>
    <row r="4" spans="1:19" ht="28.5" hidden="1" customHeight="1">
      <c r="A4" s="79"/>
      <c r="B4" s="239"/>
      <c r="C4" s="239"/>
      <c r="D4" s="239"/>
      <c r="E4" s="234" t="s">
        <v>97</v>
      </c>
      <c r="F4" s="234"/>
      <c r="G4" s="240"/>
      <c r="H4" s="79"/>
      <c r="I4" s="79"/>
      <c r="J4" s="1"/>
      <c r="K4" s="1"/>
      <c r="L4" s="1"/>
      <c r="M4" s="1"/>
    </row>
    <row r="5" spans="1:19" ht="24" hidden="1">
      <c r="A5" s="79"/>
      <c r="B5" s="232">
        <v>45810</v>
      </c>
      <c r="C5" s="233">
        <v>0</v>
      </c>
      <c r="D5" s="233">
        <v>14397</v>
      </c>
      <c r="E5" s="237" t="s">
        <v>57</v>
      </c>
      <c r="F5" s="238">
        <v>21533353591952</v>
      </c>
      <c r="G5" s="236">
        <v>153.5</v>
      </c>
      <c r="H5" s="79"/>
      <c r="I5" s="79"/>
      <c r="J5" s="1"/>
      <c r="K5" s="1"/>
      <c r="L5" s="1"/>
      <c r="M5" s="1"/>
    </row>
    <row r="6" spans="1:19" ht="28.5" hidden="1" customHeight="1">
      <c r="A6" s="79"/>
      <c r="B6" s="239"/>
      <c r="C6" s="239"/>
      <c r="D6" s="239"/>
      <c r="E6" s="234" t="s">
        <v>690</v>
      </c>
      <c r="F6" s="234"/>
      <c r="G6" s="240"/>
      <c r="H6" s="79"/>
      <c r="I6" s="79"/>
      <c r="J6" s="1"/>
      <c r="K6" s="1"/>
      <c r="L6" s="1"/>
      <c r="M6" s="1"/>
    </row>
    <row r="7" spans="1:19" ht="30">
      <c r="A7" s="130" t="s">
        <v>140</v>
      </c>
      <c r="B7" s="232">
        <v>45810</v>
      </c>
      <c r="C7" s="233">
        <v>0</v>
      </c>
      <c r="D7" s="233">
        <v>14138</v>
      </c>
      <c r="E7" s="241" t="s">
        <v>141</v>
      </c>
      <c r="F7" s="238">
        <v>202505300004586</v>
      </c>
      <c r="G7" s="236">
        <v>1415.81</v>
      </c>
      <c r="H7" s="2">
        <v>3711</v>
      </c>
      <c r="I7" s="79" t="s">
        <v>428</v>
      </c>
      <c r="J7" s="1" t="s">
        <v>541</v>
      </c>
      <c r="K7" s="3">
        <f>SUMIF(I7:I1066,"Coagulação", G7:G1097)</f>
        <v>3753.1399999999994</v>
      </c>
      <c r="L7" s="1" t="s">
        <v>691</v>
      </c>
      <c r="M7" s="3">
        <f>SUMIF(A:A,"Baixado",G:G)</f>
        <v>117011.20999999998</v>
      </c>
      <c r="N7" s="79"/>
      <c r="O7" s="79"/>
      <c r="P7" s="79"/>
      <c r="Q7" s="79"/>
      <c r="R7" s="79"/>
      <c r="S7" s="79"/>
    </row>
    <row r="8" spans="1:19" ht="45" hidden="1">
      <c r="A8" s="79"/>
      <c r="B8" s="239"/>
      <c r="C8" s="239"/>
      <c r="D8" s="239"/>
      <c r="E8" s="234" t="s">
        <v>143</v>
      </c>
      <c r="F8" s="234"/>
      <c r="G8" s="240"/>
      <c r="H8" s="79"/>
      <c r="I8" s="79"/>
      <c r="J8" s="1"/>
      <c r="K8" s="1"/>
      <c r="L8" s="1"/>
      <c r="M8" s="1"/>
    </row>
    <row r="9" spans="1:19" ht="30">
      <c r="A9" s="130" t="s">
        <v>140</v>
      </c>
      <c r="B9" s="232">
        <v>45810</v>
      </c>
      <c r="C9" s="233">
        <v>0</v>
      </c>
      <c r="D9" s="233">
        <v>14138</v>
      </c>
      <c r="E9" s="241" t="s">
        <v>141</v>
      </c>
      <c r="F9" s="238">
        <v>202505300004594</v>
      </c>
      <c r="G9" s="236">
        <v>1668.08</v>
      </c>
      <c r="H9" s="2">
        <v>3490</v>
      </c>
      <c r="I9" s="79" t="s">
        <v>428</v>
      </c>
      <c r="J9" s="1" t="s">
        <v>543</v>
      </c>
      <c r="K9" s="3">
        <f>SUMIF(I7:I1066,"TT/TTPA", G7:G1097)</f>
        <v>0</v>
      </c>
      <c r="L9" s="1" t="s">
        <v>692</v>
      </c>
      <c r="M9" s="3">
        <f>SUMIF(A:A,"Pendente",G:G)</f>
        <v>18455.07</v>
      </c>
      <c r="N9" s="79"/>
      <c r="O9" s="79"/>
      <c r="P9" s="79"/>
      <c r="Q9" s="79"/>
      <c r="R9" s="79"/>
      <c r="S9" s="79"/>
    </row>
    <row r="10" spans="1:19" ht="45" hidden="1">
      <c r="A10" s="79"/>
      <c r="B10" s="239"/>
      <c r="C10" s="239"/>
      <c r="D10" s="239"/>
      <c r="E10" s="234" t="s">
        <v>143</v>
      </c>
      <c r="F10" s="234"/>
      <c r="G10" s="240"/>
      <c r="H10" s="79"/>
      <c r="I10" s="79"/>
      <c r="J10" s="1"/>
      <c r="K10" s="1"/>
    </row>
    <row r="11" spans="1:19" ht="30">
      <c r="A11" s="130" t="s">
        <v>140</v>
      </c>
      <c r="B11" s="232">
        <v>45810</v>
      </c>
      <c r="C11" s="233">
        <v>0</v>
      </c>
      <c r="D11" s="233">
        <v>14138</v>
      </c>
      <c r="E11" s="241" t="s">
        <v>141</v>
      </c>
      <c r="F11" s="238">
        <v>202505300004598</v>
      </c>
      <c r="G11" s="236">
        <v>3112.28</v>
      </c>
      <c r="H11" s="2">
        <v>3512</v>
      </c>
      <c r="I11" s="79" t="s">
        <v>428</v>
      </c>
      <c r="J11" s="1" t="s">
        <v>545</v>
      </c>
      <c r="K11" s="3">
        <f>SUMIF(I7:I1066,"Ionograma", G7:G1097)</f>
        <v>48389.200000000004</v>
      </c>
      <c r="L11" s="79"/>
      <c r="M11" s="79"/>
      <c r="N11" s="79"/>
      <c r="O11" s="79"/>
      <c r="P11" s="79"/>
      <c r="Q11" s="79"/>
      <c r="R11" s="79"/>
      <c r="S11" s="79"/>
    </row>
    <row r="12" spans="1:19" ht="45" hidden="1">
      <c r="A12" s="79"/>
      <c r="B12" s="239"/>
      <c r="C12" s="239"/>
      <c r="D12" s="239"/>
      <c r="E12" s="234" t="s">
        <v>143</v>
      </c>
      <c r="F12" s="234"/>
      <c r="G12" s="240"/>
      <c r="H12" s="79"/>
      <c r="I12" s="79"/>
    </row>
    <row r="13" spans="1:19" ht="30">
      <c r="A13" s="130" t="s">
        <v>140</v>
      </c>
      <c r="B13" s="232">
        <v>45810</v>
      </c>
      <c r="C13" s="233">
        <v>0</v>
      </c>
      <c r="D13" s="233">
        <v>14138</v>
      </c>
      <c r="E13" s="241" t="s">
        <v>141</v>
      </c>
      <c r="F13" s="238">
        <v>202505300004607</v>
      </c>
      <c r="G13" s="236">
        <v>274.56</v>
      </c>
      <c r="H13" s="2">
        <v>3713</v>
      </c>
      <c r="I13" s="79" t="s">
        <v>419</v>
      </c>
      <c r="J13" s="79"/>
      <c r="K13" s="79"/>
      <c r="L13" s="79"/>
      <c r="M13" s="79"/>
      <c r="N13" s="79"/>
      <c r="O13" s="79"/>
      <c r="P13" s="79"/>
      <c r="Q13" s="79"/>
      <c r="R13" s="79"/>
      <c r="S13" s="79"/>
    </row>
    <row r="14" spans="1:19" ht="45" hidden="1">
      <c r="A14" s="79"/>
      <c r="B14" s="239"/>
      <c r="C14" s="239"/>
      <c r="D14" s="239"/>
      <c r="E14" s="234" t="s">
        <v>143</v>
      </c>
      <c r="F14" s="234"/>
      <c r="G14" s="240"/>
      <c r="H14" s="79"/>
      <c r="I14" s="79"/>
    </row>
    <row r="15" spans="1:19" ht="24" hidden="1">
      <c r="A15" s="79"/>
      <c r="B15" s="232">
        <v>45810</v>
      </c>
      <c r="C15" s="233">
        <v>1533</v>
      </c>
      <c r="D15" s="233">
        <v>99008</v>
      </c>
      <c r="E15" s="237" t="s">
        <v>29</v>
      </c>
      <c r="F15" s="238">
        <v>421945</v>
      </c>
      <c r="G15" s="242">
        <v>189.28</v>
      </c>
      <c r="H15" s="79"/>
      <c r="I15" s="79"/>
    </row>
    <row r="16" spans="1:19" ht="60" hidden="1">
      <c r="A16" s="79"/>
      <c r="B16" s="239"/>
      <c r="C16" s="239"/>
      <c r="D16" s="239"/>
      <c r="E16" s="234" t="s">
        <v>693</v>
      </c>
      <c r="F16" s="234"/>
      <c r="G16" s="240"/>
      <c r="H16" s="79"/>
      <c r="I16" s="79"/>
    </row>
    <row r="17" spans="1:9" hidden="1">
      <c r="A17" s="79"/>
      <c r="B17" s="232">
        <v>45810</v>
      </c>
      <c r="C17" s="233">
        <v>0</v>
      </c>
      <c r="D17" s="233">
        <v>13105</v>
      </c>
      <c r="E17" s="237" t="s">
        <v>80</v>
      </c>
      <c r="F17" s="238">
        <v>60201</v>
      </c>
      <c r="G17" s="242">
        <v>259.55</v>
      </c>
      <c r="H17" s="79"/>
      <c r="I17" s="79"/>
    </row>
    <row r="18" spans="1:9" ht="45" hidden="1">
      <c r="A18" s="79"/>
      <c r="B18" s="239"/>
      <c r="C18" s="239"/>
      <c r="D18" s="239"/>
      <c r="E18" s="234" t="s">
        <v>81</v>
      </c>
      <c r="F18" s="234"/>
      <c r="G18" s="240"/>
      <c r="H18" s="79"/>
      <c r="I18" s="79"/>
    </row>
    <row r="19" spans="1:9" ht="36" hidden="1">
      <c r="A19" s="79"/>
      <c r="B19" s="232">
        <v>45810</v>
      </c>
      <c r="C19" s="233">
        <v>0</v>
      </c>
      <c r="D19" s="233">
        <v>13105</v>
      </c>
      <c r="E19" s="237" t="s">
        <v>31</v>
      </c>
      <c r="F19" s="238">
        <v>60202</v>
      </c>
      <c r="G19" s="242">
        <v>2587.92</v>
      </c>
      <c r="H19" s="79"/>
      <c r="I19" s="79"/>
    </row>
    <row r="20" spans="1:9" ht="45" hidden="1">
      <c r="A20" s="79"/>
      <c r="B20" s="239"/>
      <c r="C20" s="239"/>
      <c r="D20" s="239"/>
      <c r="E20" s="234" t="s">
        <v>523</v>
      </c>
      <c r="F20" s="234"/>
      <c r="G20" s="240"/>
      <c r="H20" s="79"/>
      <c r="I20" s="79"/>
    </row>
    <row r="21" spans="1:9" ht="15.75" hidden="1" customHeight="1">
      <c r="A21" s="79"/>
      <c r="B21" s="232">
        <v>45810</v>
      </c>
      <c r="C21" s="233">
        <v>0</v>
      </c>
      <c r="D21" s="233">
        <v>13105</v>
      </c>
      <c r="E21" s="237" t="s">
        <v>31</v>
      </c>
      <c r="F21" s="238">
        <v>60203</v>
      </c>
      <c r="G21" s="242">
        <v>2677.12</v>
      </c>
      <c r="H21" s="79"/>
      <c r="I21" s="79"/>
    </row>
    <row r="22" spans="1:9" ht="28.5" hidden="1" customHeight="1">
      <c r="A22" s="79"/>
      <c r="B22" s="239"/>
      <c r="C22" s="239"/>
      <c r="D22" s="239"/>
      <c r="E22" s="234" t="s">
        <v>65</v>
      </c>
      <c r="F22" s="234"/>
      <c r="G22" s="240"/>
      <c r="H22" s="79"/>
      <c r="I22" s="79"/>
    </row>
    <row r="23" spans="1:9" ht="15.75" hidden="1" customHeight="1">
      <c r="A23" s="79"/>
      <c r="B23" s="232">
        <v>45810</v>
      </c>
      <c r="C23" s="233">
        <v>0</v>
      </c>
      <c r="D23" s="233">
        <v>13105</v>
      </c>
      <c r="E23" s="237" t="s">
        <v>31</v>
      </c>
      <c r="F23" s="238">
        <v>60204</v>
      </c>
      <c r="G23" s="242">
        <v>116.9</v>
      </c>
      <c r="H23" s="79"/>
      <c r="I23" s="79"/>
    </row>
    <row r="24" spans="1:9" ht="15.75" hidden="1" customHeight="1">
      <c r="A24" s="79"/>
      <c r="B24" s="239"/>
      <c r="C24" s="239"/>
      <c r="D24" s="239"/>
      <c r="E24" s="234" t="s">
        <v>179</v>
      </c>
      <c r="F24" s="234"/>
      <c r="G24" s="240"/>
      <c r="H24" s="79"/>
      <c r="I24" s="79"/>
    </row>
    <row r="25" spans="1:9" ht="15.75" hidden="1" customHeight="1">
      <c r="A25" s="79"/>
      <c r="B25" s="232">
        <v>45810</v>
      </c>
      <c r="C25" s="233">
        <v>0</v>
      </c>
      <c r="D25" s="233">
        <v>13105</v>
      </c>
      <c r="E25" s="237" t="s">
        <v>31</v>
      </c>
      <c r="F25" s="238">
        <v>60205</v>
      </c>
      <c r="G25" s="242">
        <v>1320</v>
      </c>
      <c r="H25" s="79"/>
      <c r="I25" s="79"/>
    </row>
    <row r="26" spans="1:9" ht="15.75" hidden="1" customHeight="1">
      <c r="A26" s="79"/>
      <c r="B26" s="239"/>
      <c r="C26" s="239"/>
      <c r="D26" s="239"/>
      <c r="E26" s="234" t="s">
        <v>85</v>
      </c>
      <c r="F26" s="234"/>
      <c r="G26" s="240"/>
      <c r="H26" s="79"/>
      <c r="I26" s="79"/>
    </row>
    <row r="27" spans="1:9" ht="15.75" hidden="1" customHeight="1">
      <c r="A27" s="79"/>
      <c r="B27" s="232">
        <v>45810</v>
      </c>
      <c r="C27" s="233">
        <v>0</v>
      </c>
      <c r="D27" s="233">
        <v>13105</v>
      </c>
      <c r="E27" s="237" t="s">
        <v>31</v>
      </c>
      <c r="F27" s="238">
        <v>60206</v>
      </c>
      <c r="G27" s="242">
        <v>422.92</v>
      </c>
      <c r="H27" s="79"/>
      <c r="I27" s="79"/>
    </row>
    <row r="28" spans="1:9" ht="28.5" hidden="1" customHeight="1">
      <c r="A28" s="79"/>
      <c r="B28" s="239"/>
      <c r="C28" s="239"/>
      <c r="D28" s="239"/>
      <c r="E28" s="234" t="s">
        <v>45</v>
      </c>
      <c r="F28" s="234"/>
      <c r="G28" s="240"/>
      <c r="H28" s="79"/>
      <c r="I28" s="79"/>
    </row>
    <row r="29" spans="1:9" ht="15.75" hidden="1" customHeight="1">
      <c r="A29" s="79"/>
      <c r="B29" s="232">
        <v>45810</v>
      </c>
      <c r="C29" s="233">
        <v>0</v>
      </c>
      <c r="D29" s="233">
        <v>13105</v>
      </c>
      <c r="E29" s="237" t="s">
        <v>31</v>
      </c>
      <c r="F29" s="238">
        <v>60207</v>
      </c>
      <c r="G29" s="242">
        <v>387.38</v>
      </c>
      <c r="H29" s="79"/>
      <c r="I29" s="79"/>
    </row>
    <row r="30" spans="1:9" ht="28.5" hidden="1" customHeight="1">
      <c r="A30" s="79"/>
      <c r="B30" s="239"/>
      <c r="C30" s="239"/>
      <c r="D30" s="239"/>
      <c r="E30" s="234" t="s">
        <v>45</v>
      </c>
      <c r="F30" s="234"/>
      <c r="G30" s="240"/>
      <c r="H30" s="79"/>
      <c r="I30" s="79"/>
    </row>
    <row r="31" spans="1:9" ht="15.75" hidden="1" customHeight="1">
      <c r="A31" s="79"/>
      <c r="B31" s="232">
        <v>45810</v>
      </c>
      <c r="C31" s="233">
        <v>0</v>
      </c>
      <c r="D31" s="233">
        <v>13105</v>
      </c>
      <c r="E31" s="237" t="s">
        <v>31</v>
      </c>
      <c r="F31" s="238">
        <v>60208</v>
      </c>
      <c r="G31" s="242">
        <v>554.02</v>
      </c>
      <c r="H31" s="79"/>
      <c r="I31" s="79"/>
    </row>
    <row r="32" spans="1:9" ht="15.75" hidden="1" customHeight="1">
      <c r="A32" s="79"/>
      <c r="B32" s="239"/>
      <c r="C32" s="239"/>
      <c r="D32" s="239"/>
      <c r="E32" s="234" t="s">
        <v>46</v>
      </c>
      <c r="F32" s="234"/>
      <c r="G32" s="240"/>
      <c r="H32" s="79"/>
      <c r="I32" s="79"/>
    </row>
    <row r="33" spans="1:9" ht="15.75" hidden="1" customHeight="1">
      <c r="A33" s="79"/>
      <c r="B33" s="232">
        <v>45810</v>
      </c>
      <c r="C33" s="233">
        <v>0</v>
      </c>
      <c r="D33" s="233">
        <v>13105</v>
      </c>
      <c r="E33" s="237" t="s">
        <v>31</v>
      </c>
      <c r="F33" s="238">
        <v>60209</v>
      </c>
      <c r="G33" s="242">
        <v>344.74</v>
      </c>
      <c r="H33" s="79"/>
      <c r="I33" s="79"/>
    </row>
    <row r="34" spans="1:9" ht="15.75" hidden="1" customHeight="1">
      <c r="A34" s="79"/>
      <c r="B34" s="239"/>
      <c r="C34" s="239"/>
      <c r="D34" s="239"/>
      <c r="E34" s="234" t="s">
        <v>46</v>
      </c>
      <c r="F34" s="234"/>
      <c r="G34" s="240"/>
      <c r="H34" s="79"/>
      <c r="I34" s="79"/>
    </row>
    <row r="35" spans="1:9" ht="15.75" hidden="1" customHeight="1">
      <c r="A35" s="79"/>
      <c r="B35" s="232">
        <v>45810</v>
      </c>
      <c r="C35" s="233">
        <v>0</v>
      </c>
      <c r="D35" s="233">
        <v>13105</v>
      </c>
      <c r="E35" s="237" t="s">
        <v>31</v>
      </c>
      <c r="F35" s="238">
        <v>60210</v>
      </c>
      <c r="G35" s="242">
        <v>447.56</v>
      </c>
      <c r="H35" s="79"/>
      <c r="I35" s="79"/>
    </row>
    <row r="36" spans="1:9" ht="28.5" hidden="1" customHeight="1">
      <c r="A36" s="79"/>
      <c r="B36" s="239"/>
      <c r="C36" s="239"/>
      <c r="D36" s="239"/>
      <c r="E36" s="234" t="s">
        <v>223</v>
      </c>
      <c r="F36" s="234"/>
      <c r="G36" s="240"/>
      <c r="H36" s="79"/>
      <c r="I36" s="79"/>
    </row>
    <row r="37" spans="1:9" ht="15.75" hidden="1" customHeight="1">
      <c r="A37" s="79"/>
      <c r="B37" s="232">
        <v>45810</v>
      </c>
      <c r="C37" s="233">
        <v>0</v>
      </c>
      <c r="D37" s="233">
        <v>13105</v>
      </c>
      <c r="E37" s="237" t="s">
        <v>31</v>
      </c>
      <c r="F37" s="238">
        <v>60211</v>
      </c>
      <c r="G37" s="242">
        <v>37.4</v>
      </c>
      <c r="H37" s="79"/>
      <c r="I37" s="79"/>
    </row>
    <row r="38" spans="1:9" ht="15.75" hidden="1" customHeight="1">
      <c r="A38" s="79"/>
      <c r="B38" s="239"/>
      <c r="C38" s="239"/>
      <c r="D38" s="239"/>
      <c r="E38" s="234" t="s">
        <v>437</v>
      </c>
      <c r="F38" s="234"/>
      <c r="G38" s="240"/>
      <c r="H38" s="79"/>
      <c r="I38" s="79"/>
    </row>
    <row r="39" spans="1:9" ht="15.75" hidden="1" customHeight="1">
      <c r="A39" s="79"/>
      <c r="B39" s="232">
        <v>45810</v>
      </c>
      <c r="C39" s="233">
        <v>0</v>
      </c>
      <c r="D39" s="233">
        <v>13105</v>
      </c>
      <c r="E39" s="237" t="s">
        <v>31</v>
      </c>
      <c r="F39" s="238">
        <v>60212</v>
      </c>
      <c r="G39" s="242">
        <v>240.44</v>
      </c>
      <c r="H39" s="79"/>
      <c r="I39" s="79"/>
    </row>
    <row r="40" spans="1:9" ht="15.75" hidden="1" customHeight="1">
      <c r="A40" s="79"/>
      <c r="B40" s="239"/>
      <c r="C40" s="239"/>
      <c r="D40" s="239"/>
      <c r="E40" s="234" t="s">
        <v>111</v>
      </c>
      <c r="F40" s="234"/>
      <c r="G40" s="240"/>
      <c r="H40" s="79"/>
      <c r="I40" s="79"/>
    </row>
    <row r="41" spans="1:9" ht="15.75" hidden="1" customHeight="1">
      <c r="A41" s="79"/>
      <c r="B41" s="232">
        <v>45810</v>
      </c>
      <c r="C41" s="233">
        <v>0</v>
      </c>
      <c r="D41" s="233">
        <v>13105</v>
      </c>
      <c r="E41" s="237" t="s">
        <v>31</v>
      </c>
      <c r="F41" s="238">
        <v>60213</v>
      </c>
      <c r="G41" s="242">
        <v>296.12</v>
      </c>
      <c r="H41" s="79"/>
      <c r="I41" s="79"/>
    </row>
    <row r="42" spans="1:9" ht="15.75" hidden="1" customHeight="1">
      <c r="A42" s="79"/>
      <c r="B42" s="239"/>
      <c r="C42" s="239"/>
      <c r="D42" s="239"/>
      <c r="E42" s="234" t="s">
        <v>165</v>
      </c>
      <c r="F42" s="234"/>
      <c r="G42" s="240"/>
      <c r="H42" s="79"/>
      <c r="I42" s="79"/>
    </row>
    <row r="43" spans="1:9" ht="15.75" hidden="1" customHeight="1">
      <c r="A43" s="79"/>
      <c r="B43" s="232">
        <v>45810</v>
      </c>
      <c r="C43" s="233">
        <v>0</v>
      </c>
      <c r="D43" s="233">
        <v>13105</v>
      </c>
      <c r="E43" s="237" t="s">
        <v>31</v>
      </c>
      <c r="F43" s="238">
        <v>60214</v>
      </c>
      <c r="G43" s="242">
        <v>222.45</v>
      </c>
      <c r="H43" s="79"/>
      <c r="I43" s="79"/>
    </row>
    <row r="44" spans="1:9" ht="28.5" hidden="1" customHeight="1">
      <c r="A44" s="79"/>
      <c r="B44" s="239"/>
      <c r="C44" s="239"/>
      <c r="D44" s="239"/>
      <c r="E44" s="234" t="s">
        <v>396</v>
      </c>
      <c r="F44" s="234"/>
      <c r="G44" s="240"/>
      <c r="H44" s="79"/>
      <c r="I44" s="79"/>
    </row>
    <row r="45" spans="1:9" ht="15.75" hidden="1" customHeight="1">
      <c r="A45" s="79"/>
      <c r="B45" s="232">
        <v>45810</v>
      </c>
      <c r="C45" s="233">
        <v>0</v>
      </c>
      <c r="D45" s="233">
        <v>13105</v>
      </c>
      <c r="E45" s="237" t="s">
        <v>31</v>
      </c>
      <c r="F45" s="238">
        <v>60215</v>
      </c>
      <c r="G45" s="242">
        <v>462.1</v>
      </c>
      <c r="H45" s="79"/>
      <c r="I45" s="79"/>
    </row>
    <row r="46" spans="1:9" ht="15.75" hidden="1" customHeight="1">
      <c r="A46" s="79"/>
      <c r="B46" s="239"/>
      <c r="C46" s="239"/>
      <c r="D46" s="239"/>
      <c r="E46" s="234" t="s">
        <v>51</v>
      </c>
      <c r="F46" s="234"/>
      <c r="G46" s="240"/>
      <c r="H46" s="79"/>
      <c r="I46" s="79"/>
    </row>
    <row r="47" spans="1:9" ht="15.75" hidden="1" customHeight="1">
      <c r="A47" s="79"/>
      <c r="B47" s="232">
        <v>45810</v>
      </c>
      <c r="C47" s="233">
        <v>0</v>
      </c>
      <c r="D47" s="233">
        <v>13105</v>
      </c>
      <c r="E47" s="237" t="s">
        <v>31</v>
      </c>
      <c r="F47" s="238">
        <v>60216</v>
      </c>
      <c r="G47" s="242">
        <v>49.9</v>
      </c>
      <c r="H47" s="79"/>
      <c r="I47" s="79"/>
    </row>
    <row r="48" spans="1:9" ht="15.75" hidden="1" customHeight="1">
      <c r="A48" s="79"/>
      <c r="B48" s="239"/>
      <c r="C48" s="239"/>
      <c r="D48" s="239"/>
      <c r="E48" s="234" t="s">
        <v>43</v>
      </c>
      <c r="F48" s="234"/>
      <c r="G48" s="240"/>
      <c r="H48" s="79"/>
      <c r="I48" s="79"/>
    </row>
    <row r="49" spans="1:9" ht="15.75" hidden="1" customHeight="1">
      <c r="A49" s="79"/>
      <c r="B49" s="232">
        <v>45810</v>
      </c>
      <c r="C49" s="233">
        <v>0</v>
      </c>
      <c r="D49" s="233">
        <v>0</v>
      </c>
      <c r="E49" s="237" t="s">
        <v>59</v>
      </c>
      <c r="F49" s="238">
        <v>9903</v>
      </c>
      <c r="G49" s="242">
        <v>1008.43</v>
      </c>
      <c r="H49" s="79"/>
      <c r="I49" s="79"/>
    </row>
    <row r="50" spans="1:9" ht="15.75" hidden="1" customHeight="1">
      <c r="A50" s="79"/>
      <c r="B50" s="239"/>
      <c r="C50" s="239"/>
      <c r="D50" s="239"/>
      <c r="E50" s="234" t="s">
        <v>53</v>
      </c>
      <c r="F50" s="234"/>
      <c r="G50" s="240"/>
      <c r="H50" s="79"/>
      <c r="I50" s="79"/>
    </row>
    <row r="51" spans="1:9" ht="15.75" hidden="1" customHeight="1">
      <c r="A51" s="79"/>
      <c r="B51" s="232">
        <v>45811</v>
      </c>
      <c r="C51" s="233">
        <v>0</v>
      </c>
      <c r="D51" s="233">
        <v>14397</v>
      </c>
      <c r="E51" s="237" t="s">
        <v>57</v>
      </c>
      <c r="F51" s="238">
        <v>489521472727051</v>
      </c>
      <c r="G51" s="236">
        <v>684.43</v>
      </c>
      <c r="H51" s="79"/>
      <c r="I51" s="79"/>
    </row>
    <row r="52" spans="1:9" ht="28.5" hidden="1" customHeight="1">
      <c r="A52" s="79"/>
      <c r="B52" s="239"/>
      <c r="C52" s="239"/>
      <c r="D52" s="239"/>
      <c r="E52" s="234" t="s">
        <v>694</v>
      </c>
      <c r="F52" s="234"/>
      <c r="G52" s="240"/>
      <c r="H52" s="79"/>
      <c r="I52" s="79"/>
    </row>
    <row r="53" spans="1:9" ht="15.75" hidden="1" customHeight="1">
      <c r="A53" s="79"/>
      <c r="B53" s="232">
        <v>45811</v>
      </c>
      <c r="C53" s="233">
        <v>0</v>
      </c>
      <c r="D53" s="233">
        <v>14397</v>
      </c>
      <c r="E53" s="237" t="s">
        <v>57</v>
      </c>
      <c r="F53" s="238">
        <v>489683252172211</v>
      </c>
      <c r="G53" s="236">
        <v>2000</v>
      </c>
      <c r="H53" s="79"/>
      <c r="I53" s="79"/>
    </row>
    <row r="54" spans="1:9" ht="28.5" hidden="1" customHeight="1">
      <c r="A54" s="79"/>
      <c r="B54" s="239"/>
      <c r="C54" s="239"/>
      <c r="D54" s="239"/>
      <c r="E54" s="234" t="s">
        <v>695</v>
      </c>
      <c r="F54" s="234"/>
      <c r="G54" s="240"/>
      <c r="H54" s="79"/>
      <c r="I54" s="79"/>
    </row>
    <row r="55" spans="1:9" ht="15.75" hidden="1" customHeight="1">
      <c r="A55" s="79"/>
      <c r="B55" s="232">
        <v>45811</v>
      </c>
      <c r="C55" s="233">
        <v>0</v>
      </c>
      <c r="D55" s="233">
        <v>14397</v>
      </c>
      <c r="E55" s="237" t="s">
        <v>57</v>
      </c>
      <c r="F55" s="238">
        <v>489893449278021</v>
      </c>
      <c r="G55" s="236">
        <v>3000</v>
      </c>
      <c r="H55" s="79"/>
      <c r="I55" s="79"/>
    </row>
    <row r="56" spans="1:9" ht="28.5" hidden="1" customHeight="1">
      <c r="A56" s="79"/>
      <c r="B56" s="239"/>
      <c r="C56" s="239"/>
      <c r="D56" s="239"/>
      <c r="E56" s="234" t="s">
        <v>696</v>
      </c>
      <c r="F56" s="234"/>
      <c r="G56" s="240"/>
      <c r="H56" s="79"/>
      <c r="I56" s="79"/>
    </row>
    <row r="57" spans="1:9" ht="15.75" hidden="1" customHeight="1">
      <c r="A57" s="79"/>
      <c r="B57" s="232">
        <v>45811</v>
      </c>
      <c r="C57" s="233">
        <v>0</v>
      </c>
      <c r="D57" s="233">
        <v>13105</v>
      </c>
      <c r="E57" s="237" t="s">
        <v>31</v>
      </c>
      <c r="F57" s="238">
        <v>60301</v>
      </c>
      <c r="G57" s="242">
        <v>3290.33</v>
      </c>
      <c r="H57" s="79"/>
      <c r="I57" s="79"/>
    </row>
    <row r="58" spans="1:9" ht="15.75" hidden="1" customHeight="1">
      <c r="A58" s="79"/>
      <c r="B58" s="239"/>
      <c r="C58" s="239"/>
      <c r="D58" s="239"/>
      <c r="E58" s="234" t="s">
        <v>55</v>
      </c>
      <c r="F58" s="234"/>
      <c r="G58" s="240"/>
      <c r="H58" s="79"/>
      <c r="I58" s="79"/>
    </row>
    <row r="59" spans="1:9" ht="15.75" hidden="1" customHeight="1">
      <c r="A59" s="79"/>
      <c r="B59" s="232">
        <v>45811</v>
      </c>
      <c r="C59" s="233">
        <v>0</v>
      </c>
      <c r="D59" s="233">
        <v>13105</v>
      </c>
      <c r="E59" s="237" t="s">
        <v>31</v>
      </c>
      <c r="F59" s="238">
        <v>60302</v>
      </c>
      <c r="G59" s="242">
        <v>341.16</v>
      </c>
      <c r="H59" s="79"/>
      <c r="I59" s="79"/>
    </row>
    <row r="60" spans="1:9" ht="28.5" hidden="1" customHeight="1">
      <c r="A60" s="79"/>
      <c r="B60" s="239"/>
      <c r="C60" s="239"/>
      <c r="D60" s="239"/>
      <c r="E60" s="234" t="s">
        <v>675</v>
      </c>
      <c r="F60" s="234"/>
      <c r="G60" s="240"/>
      <c r="H60" s="79"/>
      <c r="I60" s="79"/>
    </row>
    <row r="61" spans="1:9" ht="15.75" hidden="1" customHeight="1">
      <c r="A61" s="79"/>
      <c r="B61" s="232">
        <v>45811</v>
      </c>
      <c r="C61" s="233">
        <v>0</v>
      </c>
      <c r="D61" s="233">
        <v>13105</v>
      </c>
      <c r="E61" s="237" t="s">
        <v>31</v>
      </c>
      <c r="F61" s="238">
        <v>60303</v>
      </c>
      <c r="G61" s="242">
        <v>291.77</v>
      </c>
      <c r="H61" s="79"/>
      <c r="I61" s="79"/>
    </row>
    <row r="62" spans="1:9" ht="28.5" hidden="1" customHeight="1">
      <c r="A62" s="79"/>
      <c r="B62" s="239"/>
      <c r="C62" s="239"/>
      <c r="D62" s="239"/>
      <c r="E62" s="234" t="s">
        <v>45</v>
      </c>
      <c r="F62" s="234"/>
      <c r="G62" s="240"/>
      <c r="H62" s="79"/>
      <c r="I62" s="79"/>
    </row>
    <row r="63" spans="1:9" ht="15.75" hidden="1" customHeight="1">
      <c r="A63" s="79"/>
      <c r="B63" s="232">
        <v>45811</v>
      </c>
      <c r="C63" s="233">
        <v>0</v>
      </c>
      <c r="D63" s="233">
        <v>13105</v>
      </c>
      <c r="E63" s="237" t="s">
        <v>31</v>
      </c>
      <c r="F63" s="238">
        <v>60304</v>
      </c>
      <c r="G63" s="242">
        <v>337.17</v>
      </c>
      <c r="H63" s="79"/>
      <c r="I63" s="79"/>
    </row>
    <row r="64" spans="1:9" ht="28.5" hidden="1" customHeight="1">
      <c r="A64" s="79"/>
      <c r="B64" s="239"/>
      <c r="C64" s="239"/>
      <c r="D64" s="239"/>
      <c r="E64" s="234" t="s">
        <v>45</v>
      </c>
      <c r="F64" s="234"/>
      <c r="G64" s="240"/>
      <c r="H64" s="79"/>
      <c r="I64" s="79"/>
    </row>
    <row r="65" spans="1:9" ht="15.75" hidden="1" customHeight="1">
      <c r="A65" s="79"/>
      <c r="B65" s="232">
        <v>45811</v>
      </c>
      <c r="C65" s="233">
        <v>0</v>
      </c>
      <c r="D65" s="233">
        <v>13105</v>
      </c>
      <c r="E65" s="237" t="s">
        <v>31</v>
      </c>
      <c r="F65" s="238">
        <v>60305</v>
      </c>
      <c r="G65" s="242">
        <v>273.81</v>
      </c>
      <c r="H65" s="79"/>
      <c r="I65" s="79"/>
    </row>
    <row r="66" spans="1:9" ht="15.75" hidden="1" customHeight="1">
      <c r="A66" s="79"/>
      <c r="B66" s="239"/>
      <c r="C66" s="239"/>
      <c r="D66" s="239"/>
      <c r="E66" s="234" t="s">
        <v>46</v>
      </c>
      <c r="F66" s="234"/>
      <c r="G66" s="240"/>
      <c r="H66" s="79"/>
      <c r="I66" s="79"/>
    </row>
    <row r="67" spans="1:9" ht="15.75" hidden="1" customHeight="1">
      <c r="A67" s="79"/>
      <c r="B67" s="232">
        <v>45811</v>
      </c>
      <c r="C67" s="233">
        <v>0</v>
      </c>
      <c r="D67" s="233">
        <v>13105</v>
      </c>
      <c r="E67" s="237" t="s">
        <v>31</v>
      </c>
      <c r="F67" s="238">
        <v>60306</v>
      </c>
      <c r="G67" s="242">
        <v>393.9</v>
      </c>
      <c r="H67" s="79"/>
      <c r="I67" s="79"/>
    </row>
    <row r="68" spans="1:9" ht="15.75" hidden="1" customHeight="1">
      <c r="A68" s="79"/>
      <c r="B68" s="239"/>
      <c r="C68" s="239"/>
      <c r="D68" s="239"/>
      <c r="E68" s="234" t="s">
        <v>340</v>
      </c>
      <c r="F68" s="234"/>
      <c r="G68" s="240"/>
      <c r="H68" s="79"/>
      <c r="I68" s="79"/>
    </row>
    <row r="69" spans="1:9" ht="15.75" hidden="1" customHeight="1">
      <c r="A69" s="79"/>
      <c r="B69" s="232">
        <v>45811</v>
      </c>
      <c r="C69" s="233">
        <v>0</v>
      </c>
      <c r="D69" s="233">
        <v>13105</v>
      </c>
      <c r="E69" s="237" t="s">
        <v>31</v>
      </c>
      <c r="F69" s="238">
        <v>60307</v>
      </c>
      <c r="G69" s="242">
        <v>196.54</v>
      </c>
      <c r="H69" s="79"/>
      <c r="I69" s="79"/>
    </row>
    <row r="70" spans="1:9" ht="15.75" hidden="1" customHeight="1">
      <c r="A70" s="79"/>
      <c r="B70" s="239"/>
      <c r="C70" s="239"/>
      <c r="D70" s="239"/>
      <c r="E70" s="234" t="s">
        <v>111</v>
      </c>
      <c r="F70" s="234"/>
      <c r="G70" s="240"/>
      <c r="H70" s="79"/>
      <c r="I70" s="79"/>
    </row>
    <row r="71" spans="1:9" ht="15.75" hidden="1" customHeight="1">
      <c r="A71" s="79"/>
      <c r="B71" s="232">
        <v>45811</v>
      </c>
      <c r="C71" s="233">
        <v>0</v>
      </c>
      <c r="D71" s="233">
        <v>0</v>
      </c>
      <c r="E71" s="237" t="s">
        <v>59</v>
      </c>
      <c r="F71" s="238">
        <v>9903</v>
      </c>
      <c r="G71" s="242">
        <v>559.75</v>
      </c>
      <c r="H71" s="79"/>
      <c r="I71" s="79"/>
    </row>
    <row r="72" spans="1:9" ht="15.75" hidden="1" customHeight="1">
      <c r="A72" s="79"/>
      <c r="B72" s="239"/>
      <c r="C72" s="239"/>
      <c r="D72" s="239"/>
      <c r="E72" s="234" t="s">
        <v>53</v>
      </c>
      <c r="F72" s="234"/>
      <c r="G72" s="240"/>
      <c r="H72" s="79"/>
      <c r="I72" s="79"/>
    </row>
    <row r="73" spans="1:9" ht="15.75" hidden="1" customHeight="1">
      <c r="A73" s="79"/>
      <c r="B73" s="232">
        <v>45812</v>
      </c>
      <c r="C73" s="233">
        <v>0</v>
      </c>
      <c r="D73" s="233">
        <v>14175</v>
      </c>
      <c r="E73" s="237" t="s">
        <v>62</v>
      </c>
      <c r="F73" s="238">
        <v>383351373</v>
      </c>
      <c r="G73" s="236">
        <v>3100</v>
      </c>
      <c r="H73" s="79"/>
      <c r="I73" s="79"/>
    </row>
    <row r="74" spans="1:9" ht="28.5" hidden="1" customHeight="1">
      <c r="A74" s="79"/>
      <c r="B74" s="239"/>
      <c r="C74" s="239"/>
      <c r="D74" s="239"/>
      <c r="E74" s="234" t="s">
        <v>97</v>
      </c>
      <c r="F74" s="234"/>
      <c r="G74" s="240"/>
      <c r="H74" s="79"/>
      <c r="I74" s="79"/>
    </row>
    <row r="75" spans="1:9" ht="15.75" hidden="1" customHeight="1">
      <c r="A75" s="79"/>
      <c r="B75" s="232">
        <v>45812</v>
      </c>
      <c r="C75" s="233">
        <v>0</v>
      </c>
      <c r="D75" s="233">
        <v>14397</v>
      </c>
      <c r="E75" s="237" t="s">
        <v>57</v>
      </c>
      <c r="F75" s="238">
        <v>41233072423332</v>
      </c>
      <c r="G75" s="236">
        <v>3096.05</v>
      </c>
      <c r="H75" s="79"/>
      <c r="I75" s="79"/>
    </row>
    <row r="76" spans="1:9" ht="28.5" hidden="1" customHeight="1">
      <c r="A76" s="79"/>
      <c r="B76" s="239"/>
      <c r="C76" s="239"/>
      <c r="D76" s="239"/>
      <c r="E76" s="234" t="s">
        <v>697</v>
      </c>
      <c r="F76" s="234"/>
      <c r="G76" s="240"/>
      <c r="H76" s="79"/>
      <c r="I76" s="79"/>
    </row>
    <row r="77" spans="1:9" ht="15.75" hidden="1" customHeight="1">
      <c r="A77" s="79"/>
      <c r="B77" s="232">
        <v>45812</v>
      </c>
      <c r="C77" s="233">
        <v>0</v>
      </c>
      <c r="D77" s="233">
        <v>13105</v>
      </c>
      <c r="E77" s="237" t="s">
        <v>31</v>
      </c>
      <c r="F77" s="238">
        <v>60401</v>
      </c>
      <c r="G77" s="242">
        <v>1518</v>
      </c>
      <c r="H77" s="79"/>
      <c r="I77" s="79"/>
    </row>
    <row r="78" spans="1:9" ht="28.5" hidden="1" customHeight="1">
      <c r="A78" s="79"/>
      <c r="B78" s="239"/>
      <c r="C78" s="239"/>
      <c r="D78" s="239"/>
      <c r="E78" s="234" t="s">
        <v>68</v>
      </c>
      <c r="F78" s="234"/>
      <c r="G78" s="240"/>
      <c r="H78" s="79"/>
      <c r="I78" s="79"/>
    </row>
    <row r="79" spans="1:9" ht="15.75" hidden="1" customHeight="1">
      <c r="A79" s="79"/>
      <c r="B79" s="232">
        <v>45812</v>
      </c>
      <c r="C79" s="233">
        <v>0</v>
      </c>
      <c r="D79" s="233">
        <v>13105</v>
      </c>
      <c r="E79" s="237" t="s">
        <v>31</v>
      </c>
      <c r="F79" s="238">
        <v>60402</v>
      </c>
      <c r="G79" s="242">
        <v>1448.57</v>
      </c>
      <c r="H79" s="79"/>
      <c r="I79" s="79"/>
    </row>
    <row r="80" spans="1:9" ht="28.5" hidden="1" customHeight="1">
      <c r="A80" s="79"/>
      <c r="B80" s="239"/>
      <c r="C80" s="239"/>
      <c r="D80" s="239"/>
      <c r="E80" s="234" t="s">
        <v>455</v>
      </c>
      <c r="F80" s="234"/>
      <c r="G80" s="240"/>
      <c r="H80" s="79"/>
      <c r="I80" s="79"/>
    </row>
    <row r="81" spans="1:9" ht="15.75" hidden="1" customHeight="1">
      <c r="A81" s="79"/>
      <c r="B81" s="232">
        <v>45812</v>
      </c>
      <c r="C81" s="233">
        <v>0</v>
      </c>
      <c r="D81" s="233">
        <v>13105</v>
      </c>
      <c r="E81" s="237" t="s">
        <v>31</v>
      </c>
      <c r="F81" s="238">
        <v>60403</v>
      </c>
      <c r="G81" s="242">
        <v>836.73</v>
      </c>
      <c r="H81" s="79"/>
      <c r="I81" s="79"/>
    </row>
    <row r="82" spans="1:9" ht="15.75" hidden="1" customHeight="1">
      <c r="A82" s="79"/>
      <c r="B82" s="239"/>
      <c r="C82" s="239"/>
      <c r="D82" s="239"/>
      <c r="E82" s="234" t="s">
        <v>46</v>
      </c>
      <c r="F82" s="234"/>
      <c r="G82" s="240"/>
      <c r="H82" s="79"/>
      <c r="I82" s="79"/>
    </row>
    <row r="83" spans="1:9" ht="15.75" hidden="1" customHeight="1">
      <c r="A83" s="79"/>
      <c r="B83" s="232">
        <v>45812</v>
      </c>
      <c r="C83" s="233">
        <v>0</v>
      </c>
      <c r="D83" s="233">
        <v>13105</v>
      </c>
      <c r="E83" s="237" t="s">
        <v>31</v>
      </c>
      <c r="F83" s="238">
        <v>60404</v>
      </c>
      <c r="G83" s="242">
        <v>337.78</v>
      </c>
      <c r="H83" s="79"/>
      <c r="I83" s="79"/>
    </row>
    <row r="84" spans="1:9" ht="15.75" hidden="1" customHeight="1">
      <c r="A84" s="79"/>
      <c r="B84" s="239"/>
      <c r="C84" s="239"/>
      <c r="D84" s="239"/>
      <c r="E84" s="234" t="s">
        <v>46</v>
      </c>
      <c r="F84" s="234"/>
      <c r="G84" s="240"/>
      <c r="H84" s="79"/>
      <c r="I84" s="79"/>
    </row>
    <row r="85" spans="1:9" ht="15.75" hidden="1" customHeight="1">
      <c r="A85" s="79"/>
      <c r="B85" s="232">
        <v>45812</v>
      </c>
      <c r="C85" s="233">
        <v>0</v>
      </c>
      <c r="D85" s="233">
        <v>13105</v>
      </c>
      <c r="E85" s="237" t="s">
        <v>31</v>
      </c>
      <c r="F85" s="238">
        <v>60405</v>
      </c>
      <c r="G85" s="242">
        <v>70.91</v>
      </c>
      <c r="H85" s="79"/>
      <c r="I85" s="79"/>
    </row>
    <row r="86" spans="1:9" ht="15.75" hidden="1" customHeight="1">
      <c r="A86" s="79"/>
      <c r="B86" s="239"/>
      <c r="C86" s="239"/>
      <c r="D86" s="239"/>
      <c r="E86" s="234" t="s">
        <v>46</v>
      </c>
      <c r="F86" s="234"/>
      <c r="G86" s="240"/>
      <c r="H86" s="79"/>
      <c r="I86" s="79"/>
    </row>
    <row r="87" spans="1:9" ht="15.75" hidden="1" customHeight="1">
      <c r="A87" s="79"/>
      <c r="B87" s="232">
        <v>45812</v>
      </c>
      <c r="C87" s="233">
        <v>0</v>
      </c>
      <c r="D87" s="233">
        <v>13105</v>
      </c>
      <c r="E87" s="237" t="s">
        <v>31</v>
      </c>
      <c r="F87" s="238">
        <v>60406</v>
      </c>
      <c r="G87" s="242">
        <v>375.82</v>
      </c>
      <c r="H87" s="79"/>
      <c r="I87" s="79"/>
    </row>
    <row r="88" spans="1:9" ht="28.5" hidden="1" customHeight="1">
      <c r="A88" s="79"/>
      <c r="B88" s="239"/>
      <c r="C88" s="239"/>
      <c r="D88" s="239"/>
      <c r="E88" s="234" t="s">
        <v>45</v>
      </c>
      <c r="F88" s="234"/>
      <c r="G88" s="240"/>
      <c r="H88" s="79"/>
      <c r="I88" s="79"/>
    </row>
    <row r="89" spans="1:9" ht="15.75" hidden="1" customHeight="1">
      <c r="A89" s="79"/>
      <c r="B89" s="232">
        <v>45812</v>
      </c>
      <c r="C89" s="233">
        <v>0</v>
      </c>
      <c r="D89" s="233">
        <v>13105</v>
      </c>
      <c r="E89" s="237" t="s">
        <v>31</v>
      </c>
      <c r="F89" s="238">
        <v>60407</v>
      </c>
      <c r="G89" s="242">
        <v>468.19</v>
      </c>
      <c r="H89" s="79"/>
      <c r="I89" s="79"/>
    </row>
    <row r="90" spans="1:9" ht="28.5" hidden="1" customHeight="1">
      <c r="A90" s="79"/>
      <c r="B90" s="239"/>
      <c r="C90" s="239"/>
      <c r="D90" s="239"/>
      <c r="E90" s="234" t="s">
        <v>45</v>
      </c>
      <c r="F90" s="234"/>
      <c r="G90" s="240"/>
      <c r="H90" s="79"/>
      <c r="I90" s="79"/>
    </row>
    <row r="91" spans="1:9" ht="15.75" hidden="1" customHeight="1">
      <c r="A91" s="79"/>
      <c r="B91" s="232">
        <v>45812</v>
      </c>
      <c r="C91" s="233">
        <v>0</v>
      </c>
      <c r="D91" s="233">
        <v>13105</v>
      </c>
      <c r="E91" s="237" t="s">
        <v>31</v>
      </c>
      <c r="F91" s="238">
        <v>60408</v>
      </c>
      <c r="G91" s="242">
        <v>469.68</v>
      </c>
      <c r="H91" s="79"/>
      <c r="I91" s="79"/>
    </row>
    <row r="92" spans="1:9" ht="15.75" hidden="1" customHeight="1">
      <c r="A92" s="79"/>
      <c r="B92" s="239"/>
      <c r="C92" s="239"/>
      <c r="D92" s="239"/>
      <c r="E92" s="234" t="s">
        <v>498</v>
      </c>
      <c r="F92" s="234"/>
      <c r="G92" s="240"/>
      <c r="H92" s="79"/>
      <c r="I92" s="79"/>
    </row>
    <row r="93" spans="1:9" ht="15.75" hidden="1" customHeight="1">
      <c r="A93" s="79"/>
      <c r="B93" s="232">
        <v>45812</v>
      </c>
      <c r="C93" s="233">
        <v>0</v>
      </c>
      <c r="D93" s="233">
        <v>13105</v>
      </c>
      <c r="E93" s="237" t="s">
        <v>31</v>
      </c>
      <c r="F93" s="238">
        <v>60409</v>
      </c>
      <c r="G93" s="242">
        <v>287.72000000000003</v>
      </c>
      <c r="H93" s="79"/>
      <c r="I93" s="79"/>
    </row>
    <row r="94" spans="1:9" ht="15.75" hidden="1" customHeight="1">
      <c r="A94" s="79"/>
      <c r="B94" s="239"/>
      <c r="C94" s="239"/>
      <c r="D94" s="239"/>
      <c r="E94" s="234" t="s">
        <v>111</v>
      </c>
      <c r="F94" s="234"/>
      <c r="G94" s="240"/>
      <c r="H94" s="79"/>
      <c r="I94" s="79"/>
    </row>
    <row r="95" spans="1:9" ht="15.75" hidden="1" customHeight="1">
      <c r="A95" s="79"/>
      <c r="B95" s="232">
        <v>45812</v>
      </c>
      <c r="C95" s="233">
        <v>0</v>
      </c>
      <c r="D95" s="233">
        <v>13105</v>
      </c>
      <c r="E95" s="237" t="s">
        <v>31</v>
      </c>
      <c r="F95" s="238">
        <v>60410</v>
      </c>
      <c r="G95" s="242">
        <v>279.44</v>
      </c>
      <c r="H95" s="79"/>
      <c r="I95" s="79"/>
    </row>
    <row r="96" spans="1:9" ht="15.75" hidden="1" customHeight="1">
      <c r="A96" s="79"/>
      <c r="B96" s="239"/>
      <c r="C96" s="239"/>
      <c r="D96" s="239"/>
      <c r="E96" s="234" t="s">
        <v>111</v>
      </c>
      <c r="F96" s="234"/>
      <c r="G96" s="240"/>
      <c r="H96" s="79"/>
      <c r="I96" s="79"/>
    </row>
    <row r="97" spans="1:9" ht="15.75" hidden="1" customHeight="1">
      <c r="A97" s="79"/>
      <c r="B97" s="232">
        <v>45812</v>
      </c>
      <c r="C97" s="233">
        <v>0</v>
      </c>
      <c r="D97" s="233">
        <v>0</v>
      </c>
      <c r="E97" s="237" t="s">
        <v>59</v>
      </c>
      <c r="F97" s="238">
        <v>9903</v>
      </c>
      <c r="G97" s="242">
        <v>103.21</v>
      </c>
      <c r="H97" s="79"/>
      <c r="I97" s="79"/>
    </row>
    <row r="98" spans="1:9" ht="15.75" hidden="1" customHeight="1">
      <c r="A98" s="79"/>
      <c r="B98" s="239"/>
      <c r="C98" s="239"/>
      <c r="D98" s="239"/>
      <c r="E98" s="234" t="s">
        <v>53</v>
      </c>
      <c r="F98" s="234"/>
      <c r="G98" s="240"/>
      <c r="H98" s="79"/>
      <c r="I98" s="79"/>
    </row>
    <row r="99" spans="1:9" ht="15.75" hidden="1" customHeight="1">
      <c r="A99" s="79"/>
      <c r="B99" s="232">
        <v>45813</v>
      </c>
      <c r="C99" s="233">
        <v>0</v>
      </c>
      <c r="D99" s="233">
        <v>14175</v>
      </c>
      <c r="E99" s="237" t="s">
        <v>62</v>
      </c>
      <c r="F99" s="238">
        <v>34599346</v>
      </c>
      <c r="G99" s="236">
        <v>11424</v>
      </c>
      <c r="H99" s="79"/>
      <c r="I99" s="79"/>
    </row>
    <row r="100" spans="1:9" ht="28.5" hidden="1" customHeight="1">
      <c r="A100" s="79"/>
      <c r="B100" s="239"/>
      <c r="C100" s="239"/>
      <c r="D100" s="239"/>
      <c r="E100" s="234" t="s">
        <v>698</v>
      </c>
      <c r="F100" s="234"/>
      <c r="G100" s="240"/>
      <c r="H100" s="79"/>
      <c r="I100" s="79"/>
    </row>
    <row r="101" spans="1:9" ht="15.75" hidden="1" customHeight="1">
      <c r="A101" s="79"/>
      <c r="B101" s="232">
        <v>45813</v>
      </c>
      <c r="C101" s="233">
        <v>0</v>
      </c>
      <c r="D101" s="233">
        <v>14397</v>
      </c>
      <c r="E101" s="237" t="s">
        <v>57</v>
      </c>
      <c r="F101" s="238">
        <v>51719420408272</v>
      </c>
      <c r="G101" s="236">
        <v>2000</v>
      </c>
      <c r="H101" s="79"/>
      <c r="I101" s="79"/>
    </row>
    <row r="102" spans="1:9" ht="28.5" hidden="1" customHeight="1">
      <c r="A102" s="79"/>
      <c r="B102" s="239"/>
      <c r="C102" s="239"/>
      <c r="D102" s="239"/>
      <c r="E102" s="234" t="s">
        <v>699</v>
      </c>
      <c r="F102" s="234"/>
      <c r="G102" s="240"/>
      <c r="H102" s="79"/>
      <c r="I102" s="79"/>
    </row>
    <row r="103" spans="1:9" ht="15.75" hidden="1" customHeight="1">
      <c r="A103" s="79"/>
      <c r="B103" s="232">
        <v>45813</v>
      </c>
      <c r="C103" s="233">
        <v>0</v>
      </c>
      <c r="D103" s="233">
        <v>14397</v>
      </c>
      <c r="E103" s="237" t="s">
        <v>57</v>
      </c>
      <c r="F103" s="238">
        <v>52046157568542</v>
      </c>
      <c r="G103" s="236">
        <v>357.18</v>
      </c>
      <c r="H103" s="79"/>
      <c r="I103" s="79"/>
    </row>
    <row r="104" spans="1:9" ht="28.5" hidden="1" customHeight="1">
      <c r="A104" s="79"/>
      <c r="B104" s="239"/>
      <c r="C104" s="239"/>
      <c r="D104" s="239"/>
      <c r="E104" s="234" t="s">
        <v>700</v>
      </c>
      <c r="F104" s="234"/>
      <c r="G104" s="240"/>
      <c r="H104" s="79"/>
      <c r="I104" s="79"/>
    </row>
    <row r="105" spans="1:9" ht="15.75" hidden="1" customHeight="1">
      <c r="A105" s="79"/>
      <c r="B105" s="232">
        <v>45813</v>
      </c>
      <c r="C105" s="233">
        <v>0</v>
      </c>
      <c r="D105" s="233">
        <v>14397</v>
      </c>
      <c r="E105" s="237" t="s">
        <v>57</v>
      </c>
      <c r="F105" s="238">
        <v>491360814468981</v>
      </c>
      <c r="G105" s="236">
        <v>9381.6299999999992</v>
      </c>
      <c r="H105" s="79"/>
      <c r="I105" s="79"/>
    </row>
    <row r="106" spans="1:9" ht="28.5" hidden="1" customHeight="1">
      <c r="A106" s="79"/>
      <c r="B106" s="239"/>
      <c r="C106" s="239"/>
      <c r="D106" s="239"/>
      <c r="E106" s="234" t="s">
        <v>701</v>
      </c>
      <c r="F106" s="234"/>
      <c r="G106" s="240"/>
      <c r="H106" s="79"/>
      <c r="I106" s="79"/>
    </row>
    <row r="107" spans="1:9" ht="15.75" hidden="1" customHeight="1">
      <c r="A107" s="79"/>
      <c r="B107" s="232">
        <v>45813</v>
      </c>
      <c r="C107" s="233">
        <v>0</v>
      </c>
      <c r="D107" s="233">
        <v>14397</v>
      </c>
      <c r="E107" s="237" t="s">
        <v>57</v>
      </c>
      <c r="F107" s="238">
        <v>491393325404251</v>
      </c>
      <c r="G107" s="236">
        <v>21.48</v>
      </c>
      <c r="H107" s="79"/>
      <c r="I107" s="79"/>
    </row>
    <row r="108" spans="1:9" ht="28.5" hidden="1" customHeight="1">
      <c r="A108" s="79"/>
      <c r="B108" s="239"/>
      <c r="C108" s="239"/>
      <c r="D108" s="239"/>
      <c r="E108" s="234" t="s">
        <v>702</v>
      </c>
      <c r="F108" s="234"/>
      <c r="G108" s="240"/>
      <c r="H108" s="79"/>
      <c r="I108" s="79"/>
    </row>
    <row r="109" spans="1:9" ht="15.75" hidden="1" customHeight="1">
      <c r="A109" s="79"/>
      <c r="B109" s="232">
        <v>45813</v>
      </c>
      <c r="C109" s="233">
        <v>1533</v>
      </c>
      <c r="D109" s="233">
        <v>99008</v>
      </c>
      <c r="E109" s="237" t="s">
        <v>29</v>
      </c>
      <c r="F109" s="238">
        <v>806300</v>
      </c>
      <c r="G109" s="242">
        <v>185.37</v>
      </c>
      <c r="H109" s="79"/>
      <c r="I109" s="79"/>
    </row>
    <row r="110" spans="1:9" ht="28.5" hidden="1" customHeight="1">
      <c r="A110" s="79"/>
      <c r="B110" s="239"/>
      <c r="C110" s="239"/>
      <c r="D110" s="239"/>
      <c r="E110" s="234" t="s">
        <v>703</v>
      </c>
      <c r="F110" s="234"/>
      <c r="G110" s="240"/>
      <c r="H110" s="79"/>
      <c r="I110" s="79"/>
    </row>
    <row r="111" spans="1:9" ht="15.75" hidden="1" customHeight="1">
      <c r="A111" s="79"/>
      <c r="B111" s="232">
        <v>45813</v>
      </c>
      <c r="C111" s="233">
        <v>1533</v>
      </c>
      <c r="D111" s="233">
        <v>99015</v>
      </c>
      <c r="E111" s="237" t="s">
        <v>195</v>
      </c>
      <c r="F111" s="238">
        <v>551845000113366</v>
      </c>
      <c r="G111" s="242">
        <v>3605.31</v>
      </c>
      <c r="H111" s="79"/>
      <c r="I111" s="79"/>
    </row>
    <row r="112" spans="1:9" ht="28.5" hidden="1" customHeight="1">
      <c r="A112" s="79"/>
      <c r="B112" s="239"/>
      <c r="C112" s="239"/>
      <c r="D112" s="239"/>
      <c r="E112" s="234" t="s">
        <v>704</v>
      </c>
      <c r="F112" s="234"/>
      <c r="G112" s="240"/>
      <c r="H112" s="79"/>
      <c r="I112" s="79"/>
    </row>
    <row r="113" spans="1:9" ht="15.75" hidden="1" customHeight="1">
      <c r="A113" s="79"/>
      <c r="B113" s="232">
        <v>45813</v>
      </c>
      <c r="C113" s="233">
        <v>1533</v>
      </c>
      <c r="D113" s="233">
        <v>99015</v>
      </c>
      <c r="E113" s="237" t="s">
        <v>195</v>
      </c>
      <c r="F113" s="238">
        <v>552035000108588</v>
      </c>
      <c r="G113" s="242">
        <v>3687.48</v>
      </c>
      <c r="H113" s="79"/>
      <c r="I113" s="79"/>
    </row>
    <row r="114" spans="1:9" ht="28.5" hidden="1" customHeight="1">
      <c r="A114" s="79"/>
      <c r="B114" s="239"/>
      <c r="C114" s="239"/>
      <c r="D114" s="239"/>
      <c r="E114" s="234" t="s">
        <v>705</v>
      </c>
      <c r="F114" s="234"/>
      <c r="G114" s="240"/>
      <c r="H114" s="79"/>
      <c r="I114" s="79"/>
    </row>
    <row r="115" spans="1:9" ht="15.75" hidden="1" customHeight="1">
      <c r="A115" s="79"/>
      <c r="B115" s="232">
        <v>45813</v>
      </c>
      <c r="C115" s="233">
        <v>0</v>
      </c>
      <c r="D115" s="233">
        <v>13105</v>
      </c>
      <c r="E115" s="237" t="s">
        <v>31</v>
      </c>
      <c r="F115" s="238">
        <v>60501</v>
      </c>
      <c r="G115" s="242">
        <v>274.5</v>
      </c>
      <c r="H115" s="79"/>
      <c r="I115" s="79"/>
    </row>
    <row r="116" spans="1:9" ht="28.5" hidden="1" customHeight="1">
      <c r="A116" s="79"/>
      <c r="B116" s="239"/>
      <c r="C116" s="239"/>
      <c r="D116" s="239"/>
      <c r="E116" s="234" t="s">
        <v>41</v>
      </c>
      <c r="F116" s="234"/>
      <c r="G116" s="240"/>
      <c r="H116" s="79"/>
      <c r="I116" s="79"/>
    </row>
    <row r="117" spans="1:9" ht="15.75" hidden="1" customHeight="1">
      <c r="A117" s="79"/>
      <c r="B117" s="232">
        <v>45813</v>
      </c>
      <c r="C117" s="233">
        <v>0</v>
      </c>
      <c r="D117" s="233">
        <v>13105</v>
      </c>
      <c r="E117" s="237" t="s">
        <v>31</v>
      </c>
      <c r="F117" s="238">
        <v>60502</v>
      </c>
      <c r="G117" s="242">
        <v>2383</v>
      </c>
      <c r="H117" s="79"/>
      <c r="I117" s="79"/>
    </row>
    <row r="118" spans="1:9" ht="28.5" hidden="1" customHeight="1">
      <c r="A118" s="79"/>
      <c r="B118" s="239"/>
      <c r="C118" s="239"/>
      <c r="D118" s="239"/>
      <c r="E118" s="234" t="s">
        <v>615</v>
      </c>
      <c r="F118" s="234"/>
      <c r="G118" s="240"/>
      <c r="H118" s="79"/>
      <c r="I118" s="79"/>
    </row>
    <row r="119" spans="1:9" ht="15.75" hidden="1" customHeight="1">
      <c r="A119" s="79"/>
      <c r="B119" s="232">
        <v>45813</v>
      </c>
      <c r="C119" s="233">
        <v>0</v>
      </c>
      <c r="D119" s="233">
        <v>13105</v>
      </c>
      <c r="E119" s="237" t="s">
        <v>31</v>
      </c>
      <c r="F119" s="238">
        <v>60503</v>
      </c>
      <c r="G119" s="242">
        <v>327.58</v>
      </c>
      <c r="H119" s="79"/>
      <c r="I119" s="79"/>
    </row>
    <row r="120" spans="1:9" ht="15.75" hidden="1" customHeight="1">
      <c r="A120" s="79"/>
      <c r="B120" s="239"/>
      <c r="C120" s="239"/>
      <c r="D120" s="239"/>
      <c r="E120" s="234" t="s">
        <v>507</v>
      </c>
      <c r="F120" s="234"/>
      <c r="G120" s="240"/>
      <c r="H120" s="79"/>
      <c r="I120" s="79"/>
    </row>
    <row r="121" spans="1:9" ht="15.75" hidden="1" customHeight="1">
      <c r="A121" s="79"/>
      <c r="B121" s="232">
        <v>45813</v>
      </c>
      <c r="C121" s="233">
        <v>0</v>
      </c>
      <c r="D121" s="233">
        <v>13105</v>
      </c>
      <c r="E121" s="237" t="s">
        <v>31</v>
      </c>
      <c r="F121" s="238">
        <v>60504</v>
      </c>
      <c r="G121" s="242">
        <v>173.35</v>
      </c>
      <c r="H121" s="79"/>
      <c r="I121" s="79"/>
    </row>
    <row r="122" spans="1:9" ht="15.75" hidden="1" customHeight="1">
      <c r="A122" s="79"/>
      <c r="B122" s="239"/>
      <c r="C122" s="239"/>
      <c r="D122" s="239"/>
      <c r="E122" s="234" t="s">
        <v>216</v>
      </c>
      <c r="F122" s="234"/>
      <c r="G122" s="240"/>
      <c r="H122" s="79"/>
      <c r="I122" s="79"/>
    </row>
    <row r="123" spans="1:9" ht="15.75" hidden="1" customHeight="1">
      <c r="A123" s="79"/>
      <c r="B123" s="232">
        <v>45813</v>
      </c>
      <c r="C123" s="233">
        <v>0</v>
      </c>
      <c r="D123" s="233">
        <v>13105</v>
      </c>
      <c r="E123" s="237" t="s">
        <v>31</v>
      </c>
      <c r="F123" s="238">
        <v>60505</v>
      </c>
      <c r="G123" s="242">
        <v>81.37</v>
      </c>
      <c r="H123" s="79"/>
      <c r="I123" s="79"/>
    </row>
    <row r="124" spans="1:9" ht="15.75" hidden="1" customHeight="1">
      <c r="A124" s="79"/>
      <c r="B124" s="239"/>
      <c r="C124" s="239"/>
      <c r="D124" s="239"/>
      <c r="E124" s="234" t="s">
        <v>46</v>
      </c>
      <c r="F124" s="234"/>
      <c r="G124" s="240"/>
      <c r="H124" s="79"/>
      <c r="I124" s="79"/>
    </row>
    <row r="125" spans="1:9" ht="15.75" hidden="1" customHeight="1">
      <c r="A125" s="79"/>
      <c r="B125" s="232">
        <v>45813</v>
      </c>
      <c r="C125" s="233">
        <v>0</v>
      </c>
      <c r="D125" s="233">
        <v>13105</v>
      </c>
      <c r="E125" s="237" t="s">
        <v>31</v>
      </c>
      <c r="F125" s="238">
        <v>60506</v>
      </c>
      <c r="G125" s="242">
        <v>460.98</v>
      </c>
      <c r="H125" s="79"/>
      <c r="I125" s="79"/>
    </row>
    <row r="126" spans="1:9" ht="15.75" hidden="1" customHeight="1">
      <c r="A126" s="79"/>
      <c r="B126" s="239"/>
      <c r="C126" s="239"/>
      <c r="D126" s="239"/>
      <c r="E126" s="234" t="s">
        <v>46</v>
      </c>
      <c r="F126" s="234"/>
      <c r="G126" s="240"/>
      <c r="H126" s="79"/>
      <c r="I126" s="79"/>
    </row>
    <row r="127" spans="1:9" ht="15.75" hidden="1" customHeight="1">
      <c r="A127" s="79"/>
      <c r="B127" s="232">
        <v>45813</v>
      </c>
      <c r="C127" s="233">
        <v>0</v>
      </c>
      <c r="D127" s="233">
        <v>13105</v>
      </c>
      <c r="E127" s="237" t="s">
        <v>31</v>
      </c>
      <c r="F127" s="238">
        <v>60507</v>
      </c>
      <c r="G127" s="242">
        <v>524.13</v>
      </c>
      <c r="H127" s="79"/>
      <c r="I127" s="79"/>
    </row>
    <row r="128" spans="1:9" ht="15.75" hidden="1" customHeight="1">
      <c r="A128" s="79"/>
      <c r="B128" s="239"/>
      <c r="C128" s="239"/>
      <c r="D128" s="239"/>
      <c r="E128" s="234" t="s">
        <v>46</v>
      </c>
      <c r="F128" s="234"/>
      <c r="G128" s="240"/>
      <c r="H128" s="79"/>
      <c r="I128" s="79"/>
    </row>
    <row r="129" spans="1:19" ht="15.75" hidden="1" customHeight="1">
      <c r="A129" s="79"/>
      <c r="B129" s="232">
        <v>45813</v>
      </c>
      <c r="C129" s="233">
        <v>0</v>
      </c>
      <c r="D129" s="233">
        <v>13105</v>
      </c>
      <c r="E129" s="237" t="s">
        <v>31</v>
      </c>
      <c r="F129" s="238">
        <v>60508</v>
      </c>
      <c r="G129" s="242">
        <v>168.74</v>
      </c>
      <c r="H129" s="79"/>
      <c r="I129" s="79"/>
    </row>
    <row r="130" spans="1:19" ht="15.75" hidden="1" customHeight="1">
      <c r="A130" s="79"/>
      <c r="B130" s="239"/>
      <c r="C130" s="239"/>
      <c r="D130" s="239"/>
      <c r="E130" s="234" t="s">
        <v>111</v>
      </c>
      <c r="F130" s="234"/>
      <c r="G130" s="240"/>
      <c r="H130" s="79"/>
      <c r="I130" s="79"/>
    </row>
    <row r="131" spans="1:19" ht="15.75" hidden="1" customHeight="1">
      <c r="A131" s="79"/>
      <c r="B131" s="232">
        <v>45813</v>
      </c>
      <c r="C131" s="233">
        <v>0</v>
      </c>
      <c r="D131" s="233">
        <v>13105</v>
      </c>
      <c r="E131" s="237" t="s">
        <v>31</v>
      </c>
      <c r="F131" s="238">
        <v>60509</v>
      </c>
      <c r="G131" s="242">
        <v>257.26</v>
      </c>
      <c r="H131" s="79"/>
      <c r="I131" s="79"/>
    </row>
    <row r="132" spans="1:19" ht="15.75" hidden="1" customHeight="1">
      <c r="A132" s="79"/>
      <c r="B132" s="239"/>
      <c r="C132" s="239"/>
      <c r="D132" s="239"/>
      <c r="E132" s="234" t="s">
        <v>111</v>
      </c>
      <c r="F132" s="234"/>
      <c r="G132" s="240"/>
      <c r="H132" s="79"/>
      <c r="I132" s="79"/>
    </row>
    <row r="133" spans="1:19" ht="15.75" hidden="1" customHeight="1">
      <c r="A133" s="79"/>
      <c r="B133" s="232">
        <v>45813</v>
      </c>
      <c r="C133" s="233">
        <v>0</v>
      </c>
      <c r="D133" s="233">
        <v>13105</v>
      </c>
      <c r="E133" s="237" t="s">
        <v>118</v>
      </c>
      <c r="F133" s="238">
        <v>60510</v>
      </c>
      <c r="G133" s="242">
        <v>10050</v>
      </c>
      <c r="H133" s="79"/>
      <c r="I133" s="79"/>
    </row>
    <row r="134" spans="1:19" ht="15.75" hidden="1" customHeight="1">
      <c r="A134" s="79"/>
      <c r="B134" s="239"/>
      <c r="C134" s="239"/>
      <c r="D134" s="239"/>
      <c r="E134" s="234" t="s">
        <v>706</v>
      </c>
      <c r="F134" s="234"/>
      <c r="G134" s="240"/>
      <c r="H134" s="79"/>
      <c r="I134" s="79"/>
    </row>
    <row r="135" spans="1:19" ht="15.75" hidden="1" customHeight="1">
      <c r="A135" s="79"/>
      <c r="B135" s="232">
        <v>45813</v>
      </c>
      <c r="C135" s="233">
        <v>0</v>
      </c>
      <c r="D135" s="233">
        <v>13105</v>
      </c>
      <c r="E135" s="237" t="s">
        <v>118</v>
      </c>
      <c r="F135" s="238">
        <v>60511</v>
      </c>
      <c r="G135" s="242">
        <v>3687.48</v>
      </c>
      <c r="H135" s="79"/>
      <c r="I135" s="79"/>
    </row>
    <row r="136" spans="1:19" ht="15.75" hidden="1" customHeight="1">
      <c r="A136" s="79"/>
      <c r="B136" s="239"/>
      <c r="C136" s="239"/>
      <c r="D136" s="239"/>
      <c r="E136" s="234" t="s">
        <v>707</v>
      </c>
      <c r="F136" s="234"/>
      <c r="G136" s="240"/>
      <c r="H136" s="79"/>
      <c r="I136" s="79"/>
    </row>
    <row r="137" spans="1:19" ht="15.75" hidden="1" customHeight="1">
      <c r="A137" s="79"/>
      <c r="B137" s="232">
        <v>45813</v>
      </c>
      <c r="C137" s="233">
        <v>0</v>
      </c>
      <c r="D137" s="233">
        <v>13113</v>
      </c>
      <c r="E137" s="237" t="s">
        <v>72</v>
      </c>
      <c r="F137" s="238">
        <v>891561200559382</v>
      </c>
      <c r="G137" s="242">
        <v>75.400000000000006</v>
      </c>
      <c r="H137" s="79"/>
      <c r="I137" s="79"/>
    </row>
    <row r="138" spans="1:19" ht="15.75" hidden="1" customHeight="1">
      <c r="A138" s="79"/>
      <c r="B138" s="239"/>
      <c r="C138" s="239"/>
      <c r="D138" s="239"/>
      <c r="E138" s="234" t="s">
        <v>708</v>
      </c>
      <c r="F138" s="234"/>
      <c r="G138" s="240"/>
      <c r="H138" s="79"/>
      <c r="I138" s="79"/>
    </row>
    <row r="139" spans="1:19" ht="15.75" hidden="1" customHeight="1">
      <c r="A139" s="79"/>
      <c r="B139" s="232">
        <v>45813</v>
      </c>
      <c r="C139" s="233">
        <v>0</v>
      </c>
      <c r="D139" s="233">
        <v>0</v>
      </c>
      <c r="E139" s="237" t="s">
        <v>52</v>
      </c>
      <c r="F139" s="238">
        <v>9903</v>
      </c>
      <c r="G139" s="236">
        <v>2757.66</v>
      </c>
      <c r="H139" s="79"/>
      <c r="I139" s="79"/>
    </row>
    <row r="140" spans="1:19" ht="15.75" hidden="1" customHeight="1">
      <c r="A140" s="79"/>
      <c r="B140" s="239"/>
      <c r="C140" s="239"/>
      <c r="D140" s="239"/>
      <c r="E140" s="234" t="s">
        <v>53</v>
      </c>
      <c r="F140" s="234"/>
      <c r="G140" s="240"/>
      <c r="H140" s="79"/>
      <c r="I140" s="79"/>
    </row>
    <row r="141" spans="1:19" ht="15.75" hidden="1" customHeight="1">
      <c r="A141" s="79"/>
      <c r="B141" s="232">
        <v>45814</v>
      </c>
      <c r="C141" s="233">
        <v>0</v>
      </c>
      <c r="D141" s="233">
        <v>14397</v>
      </c>
      <c r="E141" s="237" t="s">
        <v>57</v>
      </c>
      <c r="F141" s="238">
        <v>61550306882412</v>
      </c>
      <c r="G141" s="236">
        <v>460.97</v>
      </c>
      <c r="H141" s="79"/>
      <c r="I141" s="79"/>
    </row>
    <row r="142" spans="1:19" ht="28.5" hidden="1" customHeight="1">
      <c r="A142" s="79"/>
      <c r="B142" s="239"/>
      <c r="C142" s="239"/>
      <c r="D142" s="239"/>
      <c r="E142" s="234" t="s">
        <v>709</v>
      </c>
      <c r="F142" s="234"/>
      <c r="G142" s="240"/>
      <c r="H142" s="79"/>
      <c r="I142" s="79"/>
    </row>
    <row r="143" spans="1:19" ht="15.75" customHeight="1">
      <c r="A143" s="130" t="s">
        <v>140</v>
      </c>
      <c r="B143" s="232">
        <v>45814</v>
      </c>
      <c r="C143" s="233">
        <v>0</v>
      </c>
      <c r="D143" s="233">
        <v>14138</v>
      </c>
      <c r="E143" s="241" t="s">
        <v>141</v>
      </c>
      <c r="F143" s="238">
        <v>202506050000045</v>
      </c>
      <c r="G143" s="236">
        <v>1232.8399999999999</v>
      </c>
      <c r="H143" s="2" t="s">
        <v>710</v>
      </c>
      <c r="I143" s="79" t="s">
        <v>711</v>
      </c>
      <c r="J143" s="79"/>
      <c r="K143" s="79"/>
      <c r="L143" s="79"/>
      <c r="M143" s="79"/>
      <c r="N143" s="79"/>
      <c r="O143" s="79"/>
      <c r="P143" s="79"/>
      <c r="Q143" s="79"/>
      <c r="R143" s="79"/>
      <c r="S143" s="79"/>
    </row>
    <row r="144" spans="1:19" ht="15.75" hidden="1" customHeight="1">
      <c r="A144" s="79"/>
      <c r="B144" s="239"/>
      <c r="C144" s="239"/>
      <c r="D144" s="239"/>
      <c r="E144" s="234" t="s">
        <v>143</v>
      </c>
      <c r="F144" s="234"/>
      <c r="G144" s="240"/>
      <c r="H144" s="79"/>
      <c r="I144" s="79"/>
    </row>
    <row r="145" spans="1:19" ht="15.75" customHeight="1">
      <c r="A145" s="130" t="s">
        <v>140</v>
      </c>
      <c r="B145" s="232">
        <v>45814</v>
      </c>
      <c r="C145" s="233">
        <v>0</v>
      </c>
      <c r="D145" s="233">
        <v>14138</v>
      </c>
      <c r="E145" s="241" t="s">
        <v>141</v>
      </c>
      <c r="F145" s="238">
        <v>202506050003820</v>
      </c>
      <c r="G145" s="236">
        <v>147.56</v>
      </c>
      <c r="H145" s="2">
        <v>3533</v>
      </c>
      <c r="I145" s="79" t="s">
        <v>419</v>
      </c>
      <c r="J145" s="79"/>
      <c r="K145" s="79"/>
      <c r="L145" s="79"/>
      <c r="M145" s="79"/>
      <c r="N145" s="79"/>
      <c r="O145" s="79"/>
      <c r="P145" s="79"/>
      <c r="Q145" s="79"/>
      <c r="R145" s="79"/>
      <c r="S145" s="79"/>
    </row>
    <row r="146" spans="1:19" ht="15.75" hidden="1" customHeight="1">
      <c r="A146" s="79"/>
      <c r="B146" s="239"/>
      <c r="C146" s="239"/>
      <c r="D146" s="239"/>
      <c r="E146" s="234" t="s">
        <v>143</v>
      </c>
      <c r="F146" s="234"/>
      <c r="G146" s="240"/>
      <c r="H146" s="79"/>
      <c r="I146" s="79"/>
    </row>
    <row r="147" spans="1:19" ht="15.75" customHeight="1">
      <c r="A147" s="130" t="s">
        <v>140</v>
      </c>
      <c r="B147" s="232">
        <v>45814</v>
      </c>
      <c r="C147" s="233">
        <v>0</v>
      </c>
      <c r="D147" s="233">
        <v>14138</v>
      </c>
      <c r="E147" s="241" t="s">
        <v>141</v>
      </c>
      <c r="F147" s="238">
        <v>202506050021135</v>
      </c>
      <c r="G147" s="236">
        <v>6477.33</v>
      </c>
      <c r="H147" s="2">
        <v>3618</v>
      </c>
      <c r="I147" s="79" t="s">
        <v>428</v>
      </c>
      <c r="J147" s="79"/>
      <c r="K147" s="79"/>
      <c r="L147" s="79"/>
      <c r="M147" s="79"/>
      <c r="N147" s="79"/>
      <c r="O147" s="79"/>
      <c r="P147" s="79"/>
      <c r="Q147" s="79"/>
      <c r="R147" s="79"/>
      <c r="S147" s="79"/>
    </row>
    <row r="148" spans="1:19" ht="15.75" hidden="1" customHeight="1">
      <c r="A148" s="79"/>
      <c r="B148" s="239"/>
      <c r="C148" s="239"/>
      <c r="D148" s="239"/>
      <c r="E148" s="234" t="s">
        <v>143</v>
      </c>
      <c r="F148" s="234"/>
      <c r="G148" s="240"/>
      <c r="H148" s="79"/>
      <c r="I148" s="79"/>
    </row>
    <row r="149" spans="1:19" ht="15.75" customHeight="1">
      <c r="A149" s="130" t="s">
        <v>140</v>
      </c>
      <c r="B149" s="232">
        <v>45814</v>
      </c>
      <c r="C149" s="233">
        <v>0</v>
      </c>
      <c r="D149" s="233">
        <v>14138</v>
      </c>
      <c r="E149" s="241" t="s">
        <v>141</v>
      </c>
      <c r="F149" s="238">
        <v>202506050021136</v>
      </c>
      <c r="G149" s="236">
        <v>1668.08</v>
      </c>
      <c r="H149" s="2">
        <v>3563</v>
      </c>
      <c r="I149" s="79" t="s">
        <v>428</v>
      </c>
      <c r="J149" s="79"/>
      <c r="K149" s="79"/>
      <c r="L149" s="79"/>
      <c r="M149" s="79"/>
      <c r="N149" s="79"/>
      <c r="O149" s="79"/>
      <c r="P149" s="79"/>
      <c r="Q149" s="79"/>
      <c r="R149" s="79"/>
      <c r="S149" s="79"/>
    </row>
    <row r="150" spans="1:19" ht="15.75" hidden="1" customHeight="1">
      <c r="A150" s="79"/>
      <c r="B150" s="239"/>
      <c r="C150" s="239"/>
      <c r="D150" s="239"/>
      <c r="E150" s="234" t="s">
        <v>143</v>
      </c>
      <c r="F150" s="234"/>
      <c r="G150" s="240"/>
      <c r="H150" s="79"/>
      <c r="I150" s="79"/>
    </row>
    <row r="151" spans="1:19" ht="15.75" customHeight="1">
      <c r="A151" s="130" t="s">
        <v>140</v>
      </c>
      <c r="B151" s="232">
        <v>45814</v>
      </c>
      <c r="C151" s="233">
        <v>0</v>
      </c>
      <c r="D151" s="233">
        <v>14138</v>
      </c>
      <c r="E151" s="241" t="s">
        <v>141</v>
      </c>
      <c r="F151" s="238">
        <v>202506050021139</v>
      </c>
      <c r="G151" s="236">
        <v>1668.08</v>
      </c>
      <c r="H151" s="2">
        <v>3561</v>
      </c>
      <c r="I151" s="79" t="s">
        <v>428</v>
      </c>
      <c r="J151" s="79"/>
      <c r="K151" s="79"/>
      <c r="L151" s="79"/>
      <c r="M151" s="79"/>
      <c r="N151" s="79"/>
      <c r="O151" s="79"/>
      <c r="P151" s="79"/>
      <c r="Q151" s="79"/>
      <c r="R151" s="79"/>
      <c r="S151" s="79"/>
    </row>
    <row r="152" spans="1:19" ht="15.75" hidden="1" customHeight="1">
      <c r="A152" s="79"/>
      <c r="B152" s="239"/>
      <c r="C152" s="239"/>
      <c r="D152" s="239"/>
      <c r="E152" s="234" t="s">
        <v>143</v>
      </c>
      <c r="F152" s="234"/>
      <c r="G152" s="240"/>
      <c r="H152" s="79"/>
      <c r="I152" s="79"/>
    </row>
    <row r="153" spans="1:19" ht="15.75" customHeight="1">
      <c r="A153" s="130" t="s">
        <v>140</v>
      </c>
      <c r="B153" s="232">
        <v>45814</v>
      </c>
      <c r="C153" s="233">
        <v>0</v>
      </c>
      <c r="D153" s="233">
        <v>14138</v>
      </c>
      <c r="E153" s="241" t="s">
        <v>141</v>
      </c>
      <c r="F153" s="238">
        <v>202506050021140</v>
      </c>
      <c r="G153" s="236">
        <v>1869.3</v>
      </c>
      <c r="H153" s="2">
        <v>3709</v>
      </c>
      <c r="I153" s="79" t="s">
        <v>428</v>
      </c>
      <c r="J153" s="79"/>
      <c r="K153" s="79"/>
      <c r="L153" s="79"/>
      <c r="M153" s="79"/>
      <c r="N153" s="79"/>
      <c r="O153" s="79"/>
      <c r="P153" s="79"/>
      <c r="Q153" s="79"/>
      <c r="R153" s="79"/>
      <c r="S153" s="79"/>
    </row>
    <row r="154" spans="1:19" ht="15.75" hidden="1" customHeight="1">
      <c r="A154" s="79"/>
      <c r="B154" s="239"/>
      <c r="C154" s="239"/>
      <c r="D154" s="239"/>
      <c r="E154" s="234" t="s">
        <v>143</v>
      </c>
      <c r="F154" s="234"/>
      <c r="G154" s="240"/>
      <c r="H154" s="79"/>
      <c r="I154" s="79"/>
    </row>
    <row r="155" spans="1:19" ht="15.75" customHeight="1">
      <c r="A155" s="130" t="s">
        <v>140</v>
      </c>
      <c r="B155" s="232">
        <v>45814</v>
      </c>
      <c r="C155" s="233">
        <v>0</v>
      </c>
      <c r="D155" s="233">
        <v>14138</v>
      </c>
      <c r="E155" s="241" t="s">
        <v>141</v>
      </c>
      <c r="F155" s="238">
        <v>202506050021143</v>
      </c>
      <c r="G155" s="236">
        <v>609.28</v>
      </c>
      <c r="H155" s="2">
        <v>3503</v>
      </c>
      <c r="I155" s="79" t="s">
        <v>419</v>
      </c>
      <c r="J155" s="79"/>
      <c r="K155" s="79"/>
      <c r="L155" s="79"/>
      <c r="M155" s="79"/>
      <c r="N155" s="79"/>
      <c r="O155" s="79"/>
      <c r="P155" s="79"/>
      <c r="Q155" s="79"/>
      <c r="R155" s="79"/>
      <c r="S155" s="79"/>
    </row>
    <row r="156" spans="1:19" ht="15.75" hidden="1" customHeight="1">
      <c r="A156" s="79"/>
      <c r="B156" s="239"/>
      <c r="C156" s="239"/>
      <c r="D156" s="239"/>
      <c r="E156" s="234" t="s">
        <v>143</v>
      </c>
      <c r="F156" s="234"/>
      <c r="G156" s="240"/>
      <c r="H156" s="79"/>
      <c r="I156" s="79"/>
    </row>
    <row r="157" spans="1:19" ht="15.75" hidden="1" customHeight="1">
      <c r="A157" s="79"/>
      <c r="B157" s="232">
        <v>45814</v>
      </c>
      <c r="C157" s="233">
        <v>0</v>
      </c>
      <c r="D157" s="233">
        <v>13105</v>
      </c>
      <c r="E157" s="237" t="s">
        <v>31</v>
      </c>
      <c r="F157" s="238">
        <v>60601</v>
      </c>
      <c r="G157" s="242">
        <v>212.2</v>
      </c>
      <c r="H157" s="79"/>
      <c r="I157" s="79"/>
    </row>
    <row r="158" spans="1:19" ht="15.75" hidden="1" customHeight="1">
      <c r="A158" s="79"/>
      <c r="B158" s="239"/>
      <c r="C158" s="239"/>
      <c r="D158" s="239"/>
      <c r="E158" s="234" t="s">
        <v>51</v>
      </c>
      <c r="F158" s="234"/>
      <c r="G158" s="240"/>
      <c r="H158" s="79"/>
      <c r="I158" s="79"/>
    </row>
    <row r="159" spans="1:19" ht="15.75" hidden="1" customHeight="1">
      <c r="A159" s="79"/>
      <c r="B159" s="232">
        <v>45814</v>
      </c>
      <c r="C159" s="233">
        <v>0</v>
      </c>
      <c r="D159" s="233">
        <v>13105</v>
      </c>
      <c r="E159" s="237" t="s">
        <v>31</v>
      </c>
      <c r="F159" s="238">
        <v>60602</v>
      </c>
      <c r="G159" s="242">
        <v>74.569999999999993</v>
      </c>
      <c r="H159" s="79"/>
      <c r="I159" s="79"/>
    </row>
    <row r="160" spans="1:19" ht="15.75" hidden="1" customHeight="1">
      <c r="A160" s="79"/>
      <c r="B160" s="239"/>
      <c r="C160" s="239"/>
      <c r="D160" s="239"/>
      <c r="E160" s="234" t="s">
        <v>46</v>
      </c>
      <c r="F160" s="234"/>
      <c r="G160" s="240"/>
      <c r="H160" s="79"/>
      <c r="I160" s="79"/>
    </row>
    <row r="161" spans="1:9" ht="15.75" hidden="1" customHeight="1">
      <c r="A161" s="79"/>
      <c r="B161" s="232">
        <v>45814</v>
      </c>
      <c r="C161" s="233">
        <v>0</v>
      </c>
      <c r="D161" s="233">
        <v>13105</v>
      </c>
      <c r="E161" s="237" t="s">
        <v>31</v>
      </c>
      <c r="F161" s="238">
        <v>60603</v>
      </c>
      <c r="G161" s="242">
        <v>311.76</v>
      </c>
      <c r="H161" s="79"/>
      <c r="I161" s="79"/>
    </row>
    <row r="162" spans="1:9" ht="28.5" hidden="1" customHeight="1">
      <c r="A162" s="79"/>
      <c r="B162" s="239"/>
      <c r="C162" s="239"/>
      <c r="D162" s="239"/>
      <c r="E162" s="234" t="s">
        <v>396</v>
      </c>
      <c r="F162" s="234"/>
      <c r="G162" s="240"/>
      <c r="H162" s="79"/>
      <c r="I162" s="79"/>
    </row>
    <row r="163" spans="1:9" ht="15.75" hidden="1" customHeight="1">
      <c r="A163" s="79"/>
      <c r="B163" s="232">
        <v>45814</v>
      </c>
      <c r="C163" s="233">
        <v>0</v>
      </c>
      <c r="D163" s="233">
        <v>13105</v>
      </c>
      <c r="E163" s="237" t="s">
        <v>31</v>
      </c>
      <c r="F163" s="238">
        <v>60604</v>
      </c>
      <c r="G163" s="242">
        <v>1662.12</v>
      </c>
      <c r="H163" s="79"/>
      <c r="I163" s="79"/>
    </row>
    <row r="164" spans="1:9" ht="28.5" hidden="1" customHeight="1">
      <c r="A164" s="79"/>
      <c r="B164" s="239"/>
      <c r="C164" s="239"/>
      <c r="D164" s="239"/>
      <c r="E164" s="234" t="s">
        <v>65</v>
      </c>
      <c r="F164" s="234"/>
      <c r="G164" s="240"/>
      <c r="H164" s="79"/>
      <c r="I164" s="79"/>
    </row>
    <row r="165" spans="1:9" ht="15.75" hidden="1" customHeight="1">
      <c r="A165" s="79"/>
      <c r="B165" s="232">
        <v>45814</v>
      </c>
      <c r="C165" s="233">
        <v>0</v>
      </c>
      <c r="D165" s="233">
        <v>13105</v>
      </c>
      <c r="E165" s="237" t="s">
        <v>31</v>
      </c>
      <c r="F165" s="238">
        <v>60605</v>
      </c>
      <c r="G165" s="242">
        <v>676.4</v>
      </c>
      <c r="H165" s="79"/>
      <c r="I165" s="79"/>
    </row>
    <row r="166" spans="1:9" ht="15.75" hidden="1" customHeight="1">
      <c r="A166" s="79"/>
      <c r="B166" s="239"/>
      <c r="C166" s="239"/>
      <c r="D166" s="239"/>
      <c r="E166" s="234" t="s">
        <v>441</v>
      </c>
      <c r="F166" s="234"/>
      <c r="G166" s="240"/>
      <c r="H166" s="79"/>
      <c r="I166" s="79"/>
    </row>
    <row r="167" spans="1:9" ht="15.75" hidden="1" customHeight="1">
      <c r="A167" s="79"/>
      <c r="B167" s="232">
        <v>45814</v>
      </c>
      <c r="C167" s="233">
        <v>0</v>
      </c>
      <c r="D167" s="233">
        <v>13105</v>
      </c>
      <c r="E167" s="237" t="s">
        <v>31</v>
      </c>
      <c r="F167" s="238">
        <v>60606</v>
      </c>
      <c r="G167" s="242">
        <v>568.32000000000005</v>
      </c>
      <c r="H167" s="79"/>
      <c r="I167" s="79"/>
    </row>
    <row r="168" spans="1:9" ht="15.75" hidden="1" customHeight="1">
      <c r="A168" s="79"/>
      <c r="B168" s="239"/>
      <c r="C168" s="239"/>
      <c r="D168" s="239"/>
      <c r="E168" s="234" t="s">
        <v>66</v>
      </c>
      <c r="F168" s="234"/>
      <c r="G168" s="240"/>
      <c r="H168" s="79"/>
      <c r="I168" s="79"/>
    </row>
    <row r="169" spans="1:9" ht="15.75" hidden="1" customHeight="1">
      <c r="A169" s="79"/>
      <c r="B169" s="232">
        <v>45814</v>
      </c>
      <c r="C169" s="233">
        <v>0</v>
      </c>
      <c r="D169" s="233">
        <v>13105</v>
      </c>
      <c r="E169" s="237" t="s">
        <v>31</v>
      </c>
      <c r="F169" s="238">
        <v>60607</v>
      </c>
      <c r="G169" s="242">
        <v>3907.33</v>
      </c>
      <c r="H169" s="79"/>
      <c r="I169" s="79"/>
    </row>
    <row r="170" spans="1:9" ht="28.5" hidden="1" customHeight="1">
      <c r="A170" s="79"/>
      <c r="B170" s="239"/>
      <c r="C170" s="239"/>
      <c r="D170" s="239"/>
      <c r="E170" s="234" t="s">
        <v>32</v>
      </c>
      <c r="F170" s="234"/>
      <c r="G170" s="240"/>
      <c r="H170" s="79"/>
      <c r="I170" s="79"/>
    </row>
    <row r="171" spans="1:9" ht="15.75" hidden="1" customHeight="1">
      <c r="A171" s="79"/>
      <c r="B171" s="232">
        <v>45814</v>
      </c>
      <c r="C171" s="233">
        <v>0</v>
      </c>
      <c r="D171" s="233">
        <v>13105</v>
      </c>
      <c r="E171" s="237" t="s">
        <v>31</v>
      </c>
      <c r="F171" s="238">
        <v>60608</v>
      </c>
      <c r="G171" s="242">
        <v>329.5</v>
      </c>
      <c r="H171" s="79"/>
      <c r="I171" s="79"/>
    </row>
    <row r="172" spans="1:9" ht="28.5" hidden="1" customHeight="1">
      <c r="A172" s="79"/>
      <c r="B172" s="239"/>
      <c r="C172" s="239"/>
      <c r="D172" s="239"/>
      <c r="E172" s="234" t="s">
        <v>41</v>
      </c>
      <c r="F172" s="234"/>
      <c r="G172" s="240"/>
      <c r="H172" s="79"/>
      <c r="I172" s="79"/>
    </row>
    <row r="173" spans="1:9" ht="15.75" hidden="1" customHeight="1">
      <c r="A173" s="79"/>
      <c r="B173" s="232">
        <v>45814</v>
      </c>
      <c r="C173" s="233">
        <v>0</v>
      </c>
      <c r="D173" s="233">
        <v>13105</v>
      </c>
      <c r="E173" s="237" t="s">
        <v>80</v>
      </c>
      <c r="F173" s="238">
        <v>60609</v>
      </c>
      <c r="G173" s="242">
        <v>218.96</v>
      </c>
      <c r="H173" s="79"/>
      <c r="I173" s="79"/>
    </row>
    <row r="174" spans="1:9" ht="15.75" hidden="1" customHeight="1">
      <c r="A174" s="79"/>
      <c r="B174" s="239"/>
      <c r="C174" s="239"/>
      <c r="D174" s="239"/>
      <c r="E174" s="234" t="s">
        <v>81</v>
      </c>
      <c r="F174" s="234"/>
      <c r="G174" s="240"/>
      <c r="H174" s="79"/>
      <c r="I174" s="79"/>
    </row>
    <row r="175" spans="1:9" ht="15.75" hidden="1" customHeight="1">
      <c r="A175" s="79"/>
      <c r="B175" s="232">
        <v>45814</v>
      </c>
      <c r="C175" s="233">
        <v>0</v>
      </c>
      <c r="D175" s="233">
        <v>13105</v>
      </c>
      <c r="E175" s="237" t="s">
        <v>31</v>
      </c>
      <c r="F175" s="238">
        <v>60610</v>
      </c>
      <c r="G175" s="242">
        <v>112.14</v>
      </c>
      <c r="H175" s="79"/>
      <c r="I175" s="79"/>
    </row>
    <row r="176" spans="1:9" ht="15.75" hidden="1" customHeight="1">
      <c r="A176" s="79"/>
      <c r="B176" s="239"/>
      <c r="C176" s="239"/>
      <c r="D176" s="239"/>
      <c r="E176" s="234" t="s">
        <v>56</v>
      </c>
      <c r="F176" s="234"/>
      <c r="G176" s="240"/>
      <c r="H176" s="79"/>
      <c r="I176" s="79"/>
    </row>
    <row r="177" spans="1:19" ht="15.75" hidden="1" customHeight="1">
      <c r="A177" s="79"/>
      <c r="B177" s="232">
        <v>45814</v>
      </c>
      <c r="C177" s="233">
        <v>0</v>
      </c>
      <c r="D177" s="233">
        <v>13105</v>
      </c>
      <c r="E177" s="237" t="s">
        <v>34</v>
      </c>
      <c r="F177" s="238">
        <v>60611</v>
      </c>
      <c r="G177" s="242">
        <v>136.43</v>
      </c>
      <c r="H177" s="79"/>
      <c r="I177" s="79"/>
    </row>
    <row r="178" spans="1:19" ht="15.75" hidden="1" customHeight="1">
      <c r="A178" s="79"/>
      <c r="B178" s="239"/>
      <c r="C178" s="239"/>
      <c r="D178" s="239"/>
      <c r="E178" s="234" t="s">
        <v>35</v>
      </c>
      <c r="F178" s="234"/>
      <c r="G178" s="240"/>
      <c r="H178" s="79"/>
      <c r="I178" s="79"/>
    </row>
    <row r="179" spans="1:19" ht="15.75" hidden="1" customHeight="1">
      <c r="A179" s="79"/>
      <c r="B179" s="232">
        <v>45814</v>
      </c>
      <c r="C179" s="233">
        <v>0</v>
      </c>
      <c r="D179" s="233">
        <v>13105</v>
      </c>
      <c r="E179" s="237" t="s">
        <v>80</v>
      </c>
      <c r="F179" s="238">
        <v>60612</v>
      </c>
      <c r="G179" s="242">
        <v>520.6</v>
      </c>
      <c r="H179" s="79"/>
      <c r="I179" s="79"/>
    </row>
    <row r="180" spans="1:19" ht="15.75" hidden="1" customHeight="1">
      <c r="A180" s="79"/>
      <c r="B180" s="239"/>
      <c r="C180" s="239"/>
      <c r="D180" s="239"/>
      <c r="E180" s="234" t="s">
        <v>84</v>
      </c>
      <c r="F180" s="234"/>
      <c r="G180" s="240"/>
      <c r="H180" s="79"/>
      <c r="I180" s="79"/>
    </row>
    <row r="181" spans="1:19" ht="15.75" hidden="1" customHeight="1">
      <c r="A181" s="79"/>
      <c r="B181" s="232">
        <v>45814</v>
      </c>
      <c r="C181" s="233">
        <v>0</v>
      </c>
      <c r="D181" s="233">
        <v>13105</v>
      </c>
      <c r="E181" s="237" t="s">
        <v>31</v>
      </c>
      <c r="F181" s="238">
        <v>60613</v>
      </c>
      <c r="G181" s="242">
        <v>869.5</v>
      </c>
      <c r="H181" s="79"/>
      <c r="I181" s="79"/>
    </row>
    <row r="182" spans="1:19" ht="15.75" hidden="1" customHeight="1">
      <c r="A182" s="79"/>
      <c r="B182" s="239"/>
      <c r="C182" s="239"/>
      <c r="D182" s="239"/>
      <c r="E182" s="234" t="s">
        <v>235</v>
      </c>
      <c r="F182" s="234"/>
      <c r="G182" s="240"/>
      <c r="H182" s="79"/>
      <c r="I182" s="79"/>
    </row>
    <row r="183" spans="1:19" ht="15.75" hidden="1" customHeight="1">
      <c r="A183" s="79"/>
      <c r="B183" s="232">
        <v>45814</v>
      </c>
      <c r="C183" s="233">
        <v>0</v>
      </c>
      <c r="D183" s="233">
        <v>13105</v>
      </c>
      <c r="E183" s="237" t="s">
        <v>118</v>
      </c>
      <c r="F183" s="238">
        <v>60614</v>
      </c>
      <c r="G183" s="242">
        <v>4240</v>
      </c>
      <c r="H183" s="79"/>
      <c r="I183" s="79"/>
    </row>
    <row r="184" spans="1:19" ht="15.75" hidden="1" customHeight="1">
      <c r="A184" s="79"/>
      <c r="B184" s="239"/>
      <c r="C184" s="239"/>
      <c r="D184" s="239"/>
      <c r="E184" s="234" t="s">
        <v>712</v>
      </c>
      <c r="F184" s="234"/>
      <c r="G184" s="240"/>
      <c r="H184" s="79"/>
      <c r="I184" s="79"/>
    </row>
    <row r="185" spans="1:19" ht="15.75" hidden="1" customHeight="1">
      <c r="A185" s="79"/>
      <c r="B185" s="232">
        <v>45814</v>
      </c>
      <c r="C185" s="233">
        <v>0</v>
      </c>
      <c r="D185" s="233">
        <v>0</v>
      </c>
      <c r="E185" s="237" t="s">
        <v>59</v>
      </c>
      <c r="F185" s="238">
        <v>9903</v>
      </c>
      <c r="G185" s="242">
        <v>293.61</v>
      </c>
      <c r="H185" s="79"/>
      <c r="I185" s="79"/>
    </row>
    <row r="186" spans="1:19" ht="15.75" hidden="1" customHeight="1">
      <c r="A186" s="79"/>
      <c r="B186" s="239"/>
      <c r="C186" s="239"/>
      <c r="D186" s="239"/>
      <c r="E186" s="234" t="s">
        <v>53</v>
      </c>
      <c r="F186" s="234"/>
      <c r="G186" s="240"/>
      <c r="H186" s="79"/>
      <c r="I186" s="79"/>
    </row>
    <row r="187" spans="1:19" ht="15.75" hidden="1" customHeight="1">
      <c r="A187" s="79"/>
      <c r="B187" s="232">
        <v>45817</v>
      </c>
      <c r="C187" s="233">
        <v>3525</v>
      </c>
      <c r="D187" s="233">
        <v>99021</v>
      </c>
      <c r="E187" s="237" t="s">
        <v>27</v>
      </c>
      <c r="F187" s="238">
        <v>613525000032047</v>
      </c>
      <c r="G187" s="236">
        <v>255.93</v>
      </c>
      <c r="H187" s="79"/>
      <c r="I187" s="79"/>
    </row>
    <row r="188" spans="1:19" ht="28.5" hidden="1" customHeight="1">
      <c r="A188" s="79"/>
      <c r="B188" s="239"/>
      <c r="C188" s="239"/>
      <c r="D188" s="239"/>
      <c r="E188" s="234" t="s">
        <v>713</v>
      </c>
      <c r="F188" s="234"/>
      <c r="G188" s="240"/>
      <c r="H188" s="79"/>
      <c r="I188" s="79"/>
    </row>
    <row r="189" spans="1:19" ht="15.75" hidden="1" customHeight="1">
      <c r="A189" s="79"/>
      <c r="B189" s="232">
        <v>45817</v>
      </c>
      <c r="C189" s="233">
        <v>0</v>
      </c>
      <c r="D189" s="233">
        <v>14175</v>
      </c>
      <c r="E189" s="237" t="s">
        <v>62</v>
      </c>
      <c r="F189" s="238">
        <v>384023213</v>
      </c>
      <c r="G189" s="236">
        <v>5900</v>
      </c>
      <c r="H189" s="79"/>
      <c r="I189" s="79"/>
    </row>
    <row r="190" spans="1:19" ht="28.5" hidden="1" customHeight="1">
      <c r="A190" s="79"/>
      <c r="B190" s="239"/>
      <c r="C190" s="239"/>
      <c r="D190" s="239"/>
      <c r="E190" s="234" t="s">
        <v>97</v>
      </c>
      <c r="F190" s="234"/>
      <c r="G190" s="240"/>
      <c r="H190" s="79"/>
      <c r="I190" s="79"/>
    </row>
    <row r="191" spans="1:19" ht="15.75" customHeight="1">
      <c r="A191" s="130" t="s">
        <v>140</v>
      </c>
      <c r="B191" s="232">
        <v>45817</v>
      </c>
      <c r="C191" s="233">
        <v>0</v>
      </c>
      <c r="D191" s="233">
        <v>14138</v>
      </c>
      <c r="E191" s="241" t="s">
        <v>141</v>
      </c>
      <c r="F191" s="238">
        <v>202506060013614</v>
      </c>
      <c r="G191" s="236">
        <v>1279.46</v>
      </c>
      <c r="H191" s="2">
        <v>3571</v>
      </c>
      <c r="I191" s="79" t="s">
        <v>428</v>
      </c>
      <c r="J191" s="79"/>
      <c r="K191" s="79"/>
      <c r="L191" s="79"/>
      <c r="M191" s="79"/>
      <c r="N191" s="79"/>
      <c r="O191" s="79"/>
      <c r="P191" s="79"/>
      <c r="Q191" s="79"/>
      <c r="R191" s="79"/>
      <c r="S191" s="79"/>
    </row>
    <row r="192" spans="1:19" ht="15.75" hidden="1" customHeight="1">
      <c r="A192" s="79"/>
      <c r="B192" s="239"/>
      <c r="C192" s="239"/>
      <c r="D192" s="239"/>
      <c r="E192" s="234" t="s">
        <v>143</v>
      </c>
      <c r="F192" s="234"/>
      <c r="G192" s="240"/>
      <c r="H192" s="79"/>
      <c r="I192" s="79"/>
    </row>
    <row r="193" spans="1:19" ht="15.75" customHeight="1">
      <c r="A193" s="150" t="s">
        <v>423</v>
      </c>
      <c r="B193" s="232">
        <v>45817</v>
      </c>
      <c r="C193" s="233">
        <v>0</v>
      </c>
      <c r="D193" s="233">
        <v>14138</v>
      </c>
      <c r="E193" s="241" t="s">
        <v>141</v>
      </c>
      <c r="F193" s="238">
        <v>202506060013615</v>
      </c>
      <c r="G193" s="236">
        <v>1731.16</v>
      </c>
      <c r="H193" s="151">
        <v>3571</v>
      </c>
      <c r="I193" s="150"/>
      <c r="J193" s="79" t="s">
        <v>714</v>
      </c>
      <c r="K193" s="79"/>
      <c r="L193" s="79"/>
      <c r="M193" s="79"/>
      <c r="N193" s="79"/>
      <c r="O193" s="79"/>
      <c r="P193" s="79"/>
      <c r="Q193" s="79"/>
      <c r="R193" s="79"/>
      <c r="S193" s="79"/>
    </row>
    <row r="194" spans="1:19" ht="15.75" hidden="1" customHeight="1">
      <c r="A194" s="79"/>
      <c r="B194" s="239"/>
      <c r="C194" s="239"/>
      <c r="D194" s="239"/>
      <c r="E194" s="234" t="s">
        <v>143</v>
      </c>
      <c r="F194" s="234"/>
      <c r="G194" s="240"/>
      <c r="H194" s="79"/>
      <c r="I194" s="79"/>
    </row>
    <row r="195" spans="1:19" ht="15.75" customHeight="1">
      <c r="A195" s="130" t="s">
        <v>140</v>
      </c>
      <c r="B195" s="232">
        <v>45817</v>
      </c>
      <c r="C195" s="233">
        <v>0</v>
      </c>
      <c r="D195" s="233">
        <v>14138</v>
      </c>
      <c r="E195" s="241" t="s">
        <v>141</v>
      </c>
      <c r="F195" s="238">
        <v>202506060013616</v>
      </c>
      <c r="G195" s="236">
        <v>1091.1500000000001</v>
      </c>
      <c r="H195" s="2">
        <v>3621</v>
      </c>
      <c r="I195" s="79" t="s">
        <v>428</v>
      </c>
      <c r="J195" s="79"/>
      <c r="K195" s="79"/>
      <c r="L195" s="79"/>
      <c r="M195" s="79"/>
      <c r="N195" s="79"/>
      <c r="O195" s="79"/>
      <c r="P195" s="79"/>
      <c r="Q195" s="79"/>
      <c r="R195" s="79"/>
      <c r="S195" s="79"/>
    </row>
    <row r="196" spans="1:19" ht="15.75" hidden="1" customHeight="1">
      <c r="A196" s="79"/>
      <c r="B196" s="239"/>
      <c r="C196" s="239"/>
      <c r="D196" s="239"/>
      <c r="E196" s="234" t="s">
        <v>143</v>
      </c>
      <c r="F196" s="234"/>
      <c r="G196" s="240"/>
      <c r="H196" s="79"/>
      <c r="I196" s="79"/>
    </row>
    <row r="197" spans="1:19" ht="15.75" customHeight="1">
      <c r="A197" s="130" t="s">
        <v>140</v>
      </c>
      <c r="B197" s="232">
        <v>45817</v>
      </c>
      <c r="C197" s="233">
        <v>0</v>
      </c>
      <c r="D197" s="233">
        <v>14138</v>
      </c>
      <c r="E197" s="241" t="s">
        <v>141</v>
      </c>
      <c r="F197" s="238">
        <v>202506060013617</v>
      </c>
      <c r="G197" s="236">
        <v>1136.79</v>
      </c>
      <c r="H197" s="2">
        <v>3620</v>
      </c>
      <c r="I197" s="79" t="s">
        <v>428</v>
      </c>
      <c r="J197" s="79"/>
      <c r="K197" s="79"/>
      <c r="L197" s="79"/>
      <c r="M197" s="79"/>
      <c r="N197" s="79"/>
      <c r="O197" s="79"/>
      <c r="P197" s="79"/>
      <c r="Q197" s="79"/>
      <c r="R197" s="79"/>
      <c r="S197" s="79"/>
    </row>
    <row r="198" spans="1:19" ht="15.75" hidden="1" customHeight="1">
      <c r="A198" s="79"/>
      <c r="B198" s="239"/>
      <c r="C198" s="239"/>
      <c r="D198" s="239"/>
      <c r="E198" s="234" t="s">
        <v>143</v>
      </c>
      <c r="F198" s="234"/>
      <c r="G198" s="240"/>
      <c r="H198" s="79"/>
      <c r="I198" s="79"/>
    </row>
    <row r="199" spans="1:19" ht="15.75" hidden="1" customHeight="1">
      <c r="A199" s="79"/>
      <c r="B199" s="232">
        <v>45817</v>
      </c>
      <c r="C199" s="233">
        <v>1533</v>
      </c>
      <c r="D199" s="233">
        <v>99008</v>
      </c>
      <c r="E199" s="237" t="s">
        <v>29</v>
      </c>
      <c r="F199" s="238">
        <v>545924</v>
      </c>
      <c r="G199" s="242">
        <v>182.33</v>
      </c>
      <c r="H199" s="79"/>
      <c r="I199" s="79"/>
    </row>
    <row r="200" spans="1:19" ht="28.5" hidden="1" customHeight="1">
      <c r="A200" s="79"/>
      <c r="B200" s="239"/>
      <c r="C200" s="239"/>
      <c r="D200" s="239"/>
      <c r="E200" s="234" t="s">
        <v>715</v>
      </c>
      <c r="F200" s="234"/>
      <c r="G200" s="240"/>
      <c r="H200" s="79"/>
      <c r="I200" s="79"/>
    </row>
    <row r="201" spans="1:19" ht="15.75" hidden="1" customHeight="1">
      <c r="A201" s="79"/>
      <c r="B201" s="232">
        <v>45817</v>
      </c>
      <c r="C201" s="233">
        <v>0</v>
      </c>
      <c r="D201" s="233">
        <v>13105</v>
      </c>
      <c r="E201" s="237" t="s">
        <v>31</v>
      </c>
      <c r="F201" s="238">
        <v>60901</v>
      </c>
      <c r="G201" s="242">
        <v>1794.26</v>
      </c>
      <c r="H201" s="79"/>
      <c r="I201" s="79"/>
    </row>
    <row r="202" spans="1:19" ht="28.5" hidden="1" customHeight="1">
      <c r="A202" s="79"/>
      <c r="B202" s="239"/>
      <c r="C202" s="239"/>
      <c r="D202" s="239"/>
      <c r="E202" s="234" t="s">
        <v>95</v>
      </c>
      <c r="F202" s="234"/>
      <c r="G202" s="240"/>
      <c r="H202" s="79"/>
      <c r="I202" s="79"/>
    </row>
    <row r="203" spans="1:19" ht="15.75" hidden="1" customHeight="1">
      <c r="A203" s="79"/>
      <c r="B203" s="232">
        <v>45817</v>
      </c>
      <c r="C203" s="233">
        <v>0</v>
      </c>
      <c r="D203" s="233">
        <v>13105</v>
      </c>
      <c r="E203" s="237" t="s">
        <v>31</v>
      </c>
      <c r="F203" s="238">
        <v>60902</v>
      </c>
      <c r="G203" s="242">
        <v>1688.38</v>
      </c>
      <c r="H203" s="79"/>
      <c r="I203" s="79"/>
    </row>
    <row r="204" spans="1:19" ht="28.5" hidden="1" customHeight="1">
      <c r="A204" s="79"/>
      <c r="B204" s="239"/>
      <c r="C204" s="239"/>
      <c r="D204" s="239"/>
      <c r="E204" s="234" t="s">
        <v>95</v>
      </c>
      <c r="F204" s="234"/>
      <c r="G204" s="240"/>
      <c r="H204" s="79"/>
      <c r="I204" s="79"/>
    </row>
    <row r="205" spans="1:19" ht="15.75" hidden="1" customHeight="1">
      <c r="A205" s="79"/>
      <c r="B205" s="232">
        <v>45817</v>
      </c>
      <c r="C205" s="233">
        <v>0</v>
      </c>
      <c r="D205" s="233">
        <v>13105</v>
      </c>
      <c r="E205" s="237" t="s">
        <v>31</v>
      </c>
      <c r="F205" s="238">
        <v>60903</v>
      </c>
      <c r="G205" s="242">
        <v>311.68</v>
      </c>
      <c r="H205" s="79"/>
      <c r="I205" s="79"/>
    </row>
    <row r="206" spans="1:19" ht="15.75" hidden="1" customHeight="1">
      <c r="A206" s="79"/>
      <c r="B206" s="239"/>
      <c r="C206" s="239"/>
      <c r="D206" s="239"/>
      <c r="E206" s="234" t="s">
        <v>66</v>
      </c>
      <c r="F206" s="234"/>
      <c r="G206" s="240"/>
      <c r="H206" s="79"/>
      <c r="I206" s="79"/>
    </row>
    <row r="207" spans="1:19" ht="15.75" hidden="1" customHeight="1">
      <c r="A207" s="79"/>
      <c r="B207" s="232">
        <v>45817</v>
      </c>
      <c r="C207" s="233">
        <v>0</v>
      </c>
      <c r="D207" s="233">
        <v>13105</v>
      </c>
      <c r="E207" s="237" t="s">
        <v>31</v>
      </c>
      <c r="F207" s="238">
        <v>60904</v>
      </c>
      <c r="G207" s="242">
        <v>169.99</v>
      </c>
      <c r="H207" s="79"/>
      <c r="I207" s="79"/>
    </row>
    <row r="208" spans="1:19" ht="28.5" hidden="1" customHeight="1">
      <c r="A208" s="79"/>
      <c r="B208" s="239"/>
      <c r="C208" s="239"/>
      <c r="D208" s="239"/>
      <c r="E208" s="234" t="s">
        <v>126</v>
      </c>
      <c r="F208" s="234"/>
      <c r="G208" s="240"/>
      <c r="H208" s="79"/>
      <c r="I208" s="79"/>
    </row>
    <row r="209" spans="1:9" ht="15.75" hidden="1" customHeight="1">
      <c r="A209" s="79"/>
      <c r="B209" s="232">
        <v>45817</v>
      </c>
      <c r="C209" s="233">
        <v>0</v>
      </c>
      <c r="D209" s="233">
        <v>13105</v>
      </c>
      <c r="E209" s="237" t="s">
        <v>31</v>
      </c>
      <c r="F209" s="238">
        <v>60905</v>
      </c>
      <c r="G209" s="242">
        <v>350</v>
      </c>
      <c r="H209" s="79"/>
      <c r="I209" s="79"/>
    </row>
    <row r="210" spans="1:9" ht="28.5" hidden="1" customHeight="1">
      <c r="A210" s="79"/>
      <c r="B210" s="239"/>
      <c r="C210" s="239"/>
      <c r="D210" s="239"/>
      <c r="E210" s="234" t="s">
        <v>41</v>
      </c>
      <c r="F210" s="234"/>
      <c r="G210" s="240"/>
      <c r="H210" s="79"/>
      <c r="I210" s="79"/>
    </row>
    <row r="211" spans="1:9" ht="15.75" hidden="1" customHeight="1">
      <c r="A211" s="79"/>
      <c r="B211" s="232">
        <v>45817</v>
      </c>
      <c r="C211" s="233">
        <v>0</v>
      </c>
      <c r="D211" s="233">
        <v>13105</v>
      </c>
      <c r="E211" s="237" t="s">
        <v>31</v>
      </c>
      <c r="F211" s="238">
        <v>60906</v>
      </c>
      <c r="G211" s="242">
        <v>199</v>
      </c>
      <c r="H211" s="79"/>
      <c r="I211" s="79"/>
    </row>
    <row r="212" spans="1:9" ht="28.5" hidden="1" customHeight="1">
      <c r="A212" s="79"/>
      <c r="B212" s="239"/>
      <c r="C212" s="239"/>
      <c r="D212" s="239"/>
      <c r="E212" s="234" t="s">
        <v>41</v>
      </c>
      <c r="F212" s="234"/>
      <c r="G212" s="240"/>
      <c r="H212" s="79"/>
      <c r="I212" s="79"/>
    </row>
    <row r="213" spans="1:9" ht="15.75" hidden="1" customHeight="1">
      <c r="A213" s="79"/>
      <c r="B213" s="232">
        <v>45817</v>
      </c>
      <c r="C213" s="233">
        <v>0</v>
      </c>
      <c r="D213" s="233">
        <v>13105</v>
      </c>
      <c r="E213" s="237" t="s">
        <v>31</v>
      </c>
      <c r="F213" s="238">
        <v>60907</v>
      </c>
      <c r="G213" s="242">
        <v>170</v>
      </c>
      <c r="H213" s="79"/>
      <c r="I213" s="79"/>
    </row>
    <row r="214" spans="1:9" ht="28.5" hidden="1" customHeight="1">
      <c r="A214" s="79"/>
      <c r="B214" s="239"/>
      <c r="C214" s="239"/>
      <c r="D214" s="239"/>
      <c r="E214" s="234" t="s">
        <v>41</v>
      </c>
      <c r="F214" s="234"/>
      <c r="G214" s="240"/>
      <c r="H214" s="79"/>
      <c r="I214" s="79"/>
    </row>
    <row r="215" spans="1:9" ht="15.75" hidden="1" customHeight="1">
      <c r="A215" s="79"/>
      <c r="B215" s="232">
        <v>45817</v>
      </c>
      <c r="C215" s="233">
        <v>0</v>
      </c>
      <c r="D215" s="233">
        <v>13105</v>
      </c>
      <c r="E215" s="237" t="s">
        <v>31</v>
      </c>
      <c r="F215" s="238">
        <v>60908</v>
      </c>
      <c r="G215" s="242">
        <v>307</v>
      </c>
      <c r="H215" s="79"/>
      <c r="I215" s="79"/>
    </row>
    <row r="216" spans="1:9" ht="28.5" hidden="1" customHeight="1">
      <c r="A216" s="79"/>
      <c r="B216" s="239"/>
      <c r="C216" s="239"/>
      <c r="D216" s="239"/>
      <c r="E216" s="234" t="s">
        <v>41</v>
      </c>
      <c r="F216" s="234"/>
      <c r="G216" s="240"/>
      <c r="H216" s="79"/>
      <c r="I216" s="79"/>
    </row>
    <row r="217" spans="1:9" ht="15.75" hidden="1" customHeight="1">
      <c r="A217" s="79"/>
      <c r="B217" s="232">
        <v>45817</v>
      </c>
      <c r="C217" s="233">
        <v>0</v>
      </c>
      <c r="D217" s="233">
        <v>13105</v>
      </c>
      <c r="E217" s="237" t="s">
        <v>31</v>
      </c>
      <c r="F217" s="238">
        <v>60909</v>
      </c>
      <c r="G217" s="242">
        <v>170</v>
      </c>
      <c r="H217" s="79"/>
      <c r="I217" s="79"/>
    </row>
    <row r="218" spans="1:9" ht="28.5" hidden="1" customHeight="1">
      <c r="A218" s="79"/>
      <c r="B218" s="239"/>
      <c r="C218" s="239"/>
      <c r="D218" s="239"/>
      <c r="E218" s="234" t="s">
        <v>41</v>
      </c>
      <c r="F218" s="234"/>
      <c r="G218" s="240"/>
      <c r="H218" s="79"/>
      <c r="I218" s="79"/>
    </row>
    <row r="219" spans="1:9" ht="15.75" hidden="1" customHeight="1">
      <c r="A219" s="79"/>
      <c r="B219" s="232">
        <v>45817</v>
      </c>
      <c r="C219" s="233">
        <v>0</v>
      </c>
      <c r="D219" s="233">
        <v>13105</v>
      </c>
      <c r="E219" s="237" t="s">
        <v>31</v>
      </c>
      <c r="F219" s="238">
        <v>60910</v>
      </c>
      <c r="G219" s="242">
        <v>295</v>
      </c>
      <c r="H219" s="79"/>
      <c r="I219" s="79"/>
    </row>
    <row r="220" spans="1:9" ht="15.75" hidden="1" customHeight="1">
      <c r="A220" s="79"/>
      <c r="B220" s="239"/>
      <c r="C220" s="239"/>
      <c r="D220" s="239"/>
      <c r="E220" s="234" t="s">
        <v>716</v>
      </c>
      <c r="F220" s="234"/>
      <c r="G220" s="240"/>
      <c r="H220" s="79"/>
      <c r="I220" s="79"/>
    </row>
    <row r="221" spans="1:9" ht="15.75" hidden="1" customHeight="1">
      <c r="A221" s="79"/>
      <c r="B221" s="232">
        <v>45817</v>
      </c>
      <c r="C221" s="233">
        <v>0</v>
      </c>
      <c r="D221" s="233">
        <v>13105</v>
      </c>
      <c r="E221" s="237" t="s">
        <v>31</v>
      </c>
      <c r="F221" s="238">
        <v>60911</v>
      </c>
      <c r="G221" s="242">
        <v>2750</v>
      </c>
      <c r="H221" s="79"/>
      <c r="I221" s="79"/>
    </row>
    <row r="222" spans="1:9" ht="28.5" hidden="1" customHeight="1">
      <c r="A222" s="79"/>
      <c r="B222" s="239"/>
      <c r="C222" s="239"/>
      <c r="D222" s="239"/>
      <c r="E222" s="234" t="s">
        <v>362</v>
      </c>
      <c r="F222" s="234"/>
      <c r="G222" s="240"/>
      <c r="H222" s="79"/>
      <c r="I222" s="79"/>
    </row>
    <row r="223" spans="1:9" ht="15.75" hidden="1" customHeight="1">
      <c r="A223" s="79"/>
      <c r="B223" s="232">
        <v>45817</v>
      </c>
      <c r="C223" s="233">
        <v>0</v>
      </c>
      <c r="D223" s="233">
        <v>13105</v>
      </c>
      <c r="E223" s="237" t="s">
        <v>31</v>
      </c>
      <c r="F223" s="238">
        <v>60912</v>
      </c>
      <c r="G223" s="242">
        <v>114.39</v>
      </c>
      <c r="H223" s="79"/>
      <c r="I223" s="79"/>
    </row>
    <row r="224" spans="1:9" ht="15.75" hidden="1" customHeight="1">
      <c r="A224" s="79"/>
      <c r="B224" s="239"/>
      <c r="C224" s="239"/>
      <c r="D224" s="239"/>
      <c r="E224" s="234" t="s">
        <v>56</v>
      </c>
      <c r="F224" s="234"/>
      <c r="G224" s="240"/>
      <c r="H224" s="79"/>
      <c r="I224" s="79"/>
    </row>
    <row r="225" spans="1:9" ht="15.75" hidden="1" customHeight="1">
      <c r="A225" s="79"/>
      <c r="B225" s="232">
        <v>45817</v>
      </c>
      <c r="C225" s="233">
        <v>0</v>
      </c>
      <c r="D225" s="233">
        <v>13105</v>
      </c>
      <c r="E225" s="237" t="s">
        <v>31</v>
      </c>
      <c r="F225" s="238">
        <v>60913</v>
      </c>
      <c r="G225" s="242">
        <v>350.85</v>
      </c>
      <c r="H225" s="79"/>
      <c r="I225" s="79"/>
    </row>
    <row r="226" spans="1:9" ht="15.75" hidden="1" customHeight="1">
      <c r="A226" s="79"/>
      <c r="B226" s="239"/>
      <c r="C226" s="239"/>
      <c r="D226" s="239"/>
      <c r="E226" s="234" t="s">
        <v>78</v>
      </c>
      <c r="F226" s="234"/>
      <c r="G226" s="240"/>
      <c r="H226" s="79"/>
      <c r="I226" s="79"/>
    </row>
    <row r="227" spans="1:9" ht="15.75" hidden="1" customHeight="1">
      <c r="A227" s="79"/>
      <c r="B227" s="232">
        <v>45817</v>
      </c>
      <c r="C227" s="233">
        <v>0</v>
      </c>
      <c r="D227" s="233">
        <v>13105</v>
      </c>
      <c r="E227" s="237" t="s">
        <v>31</v>
      </c>
      <c r="F227" s="238">
        <v>60914</v>
      </c>
      <c r="G227" s="242">
        <v>37.4</v>
      </c>
      <c r="H227" s="79"/>
      <c r="I227" s="79"/>
    </row>
    <row r="228" spans="1:9" ht="15.75" hidden="1" customHeight="1">
      <c r="A228" s="79"/>
      <c r="B228" s="239"/>
      <c r="C228" s="239"/>
      <c r="D228" s="239"/>
      <c r="E228" s="234" t="s">
        <v>437</v>
      </c>
      <c r="F228" s="234"/>
      <c r="G228" s="240"/>
      <c r="H228" s="79"/>
      <c r="I228" s="79"/>
    </row>
    <row r="229" spans="1:9" ht="15.75" hidden="1" customHeight="1">
      <c r="A229" s="79"/>
      <c r="B229" s="232">
        <v>45817</v>
      </c>
      <c r="C229" s="233">
        <v>0</v>
      </c>
      <c r="D229" s="233">
        <v>13105</v>
      </c>
      <c r="E229" s="237" t="s">
        <v>31</v>
      </c>
      <c r="F229" s="238">
        <v>60915</v>
      </c>
      <c r="G229" s="242">
        <v>447.55</v>
      </c>
      <c r="H229" s="79"/>
      <c r="I229" s="79"/>
    </row>
    <row r="230" spans="1:9" ht="28.5" hidden="1" customHeight="1">
      <c r="A230" s="79"/>
      <c r="B230" s="239"/>
      <c r="C230" s="239"/>
      <c r="D230" s="239"/>
      <c r="E230" s="234" t="s">
        <v>223</v>
      </c>
      <c r="F230" s="234"/>
      <c r="G230" s="240"/>
      <c r="H230" s="79"/>
      <c r="I230" s="79"/>
    </row>
    <row r="231" spans="1:9" ht="15.75" hidden="1" customHeight="1">
      <c r="A231" s="79"/>
      <c r="B231" s="232">
        <v>45817</v>
      </c>
      <c r="C231" s="233">
        <v>0</v>
      </c>
      <c r="D231" s="233">
        <v>13105</v>
      </c>
      <c r="E231" s="237" t="s">
        <v>31</v>
      </c>
      <c r="F231" s="238">
        <v>60916</v>
      </c>
      <c r="G231" s="242">
        <v>88.86</v>
      </c>
      <c r="H231" s="79"/>
      <c r="I231" s="79"/>
    </row>
    <row r="232" spans="1:9" ht="15.75" hidden="1" customHeight="1">
      <c r="A232" s="79"/>
      <c r="B232" s="239"/>
      <c r="C232" s="239"/>
      <c r="D232" s="239"/>
      <c r="E232" s="234" t="s">
        <v>46</v>
      </c>
      <c r="F232" s="234"/>
      <c r="G232" s="240"/>
      <c r="H232" s="79"/>
      <c r="I232" s="79"/>
    </row>
    <row r="233" spans="1:9" ht="15.75" hidden="1" customHeight="1">
      <c r="A233" s="79"/>
      <c r="B233" s="232">
        <v>45817</v>
      </c>
      <c r="C233" s="233">
        <v>0</v>
      </c>
      <c r="D233" s="233">
        <v>13105</v>
      </c>
      <c r="E233" s="237" t="s">
        <v>31</v>
      </c>
      <c r="F233" s="238">
        <v>60917</v>
      </c>
      <c r="G233" s="242">
        <v>422.92</v>
      </c>
      <c r="H233" s="79"/>
      <c r="I233" s="79"/>
    </row>
    <row r="234" spans="1:9" ht="28.5" hidden="1" customHeight="1">
      <c r="A234" s="79"/>
      <c r="B234" s="239"/>
      <c r="C234" s="239"/>
      <c r="D234" s="239"/>
      <c r="E234" s="234" t="s">
        <v>45</v>
      </c>
      <c r="F234" s="234"/>
      <c r="G234" s="240"/>
      <c r="H234" s="79"/>
      <c r="I234" s="79"/>
    </row>
    <row r="235" spans="1:9" ht="15.75" hidden="1" customHeight="1">
      <c r="A235" s="79"/>
      <c r="B235" s="232">
        <v>45817</v>
      </c>
      <c r="C235" s="233">
        <v>0</v>
      </c>
      <c r="D235" s="233">
        <v>13105</v>
      </c>
      <c r="E235" s="237" t="s">
        <v>31</v>
      </c>
      <c r="F235" s="238">
        <v>60918</v>
      </c>
      <c r="G235" s="242">
        <v>387.38</v>
      </c>
      <c r="H235" s="79"/>
      <c r="I235" s="79"/>
    </row>
    <row r="236" spans="1:9" ht="28.5" hidden="1" customHeight="1">
      <c r="A236" s="79"/>
      <c r="B236" s="239"/>
      <c r="C236" s="239"/>
      <c r="D236" s="239"/>
      <c r="E236" s="234" t="s">
        <v>45</v>
      </c>
      <c r="F236" s="234"/>
      <c r="G236" s="240"/>
      <c r="H236" s="79"/>
      <c r="I236" s="79"/>
    </row>
    <row r="237" spans="1:9" ht="15.75" hidden="1" customHeight="1">
      <c r="A237" s="79"/>
      <c r="B237" s="232">
        <v>45817</v>
      </c>
      <c r="C237" s="233">
        <v>0</v>
      </c>
      <c r="D237" s="233">
        <v>13105</v>
      </c>
      <c r="E237" s="237" t="s">
        <v>31</v>
      </c>
      <c r="F237" s="238">
        <v>60919</v>
      </c>
      <c r="G237" s="242">
        <v>534.75</v>
      </c>
      <c r="H237" s="79"/>
      <c r="I237" s="79"/>
    </row>
    <row r="238" spans="1:9" ht="15.75" hidden="1" customHeight="1">
      <c r="A238" s="79"/>
      <c r="B238" s="239"/>
      <c r="C238" s="239"/>
      <c r="D238" s="239"/>
      <c r="E238" s="234" t="s">
        <v>200</v>
      </c>
      <c r="F238" s="234"/>
      <c r="G238" s="240"/>
      <c r="H238" s="79"/>
      <c r="I238" s="79"/>
    </row>
    <row r="239" spans="1:9" ht="15.75" hidden="1" customHeight="1">
      <c r="A239" s="79"/>
      <c r="B239" s="232">
        <v>45817</v>
      </c>
      <c r="C239" s="233">
        <v>0</v>
      </c>
      <c r="D239" s="233">
        <v>13105</v>
      </c>
      <c r="E239" s="237" t="s">
        <v>31</v>
      </c>
      <c r="F239" s="238">
        <v>60920</v>
      </c>
      <c r="G239" s="242">
        <v>677.1</v>
      </c>
      <c r="H239" s="79"/>
      <c r="I239" s="79"/>
    </row>
    <row r="240" spans="1:9" ht="15.75" hidden="1" customHeight="1">
      <c r="A240" s="79"/>
      <c r="B240" s="239"/>
      <c r="C240" s="239"/>
      <c r="D240" s="239"/>
      <c r="E240" s="234" t="s">
        <v>340</v>
      </c>
      <c r="F240" s="234"/>
      <c r="G240" s="240"/>
      <c r="H240" s="79"/>
      <c r="I240" s="79"/>
    </row>
    <row r="241" spans="1:9" ht="15.75" hidden="1" customHeight="1">
      <c r="A241" s="79"/>
      <c r="B241" s="232">
        <v>45817</v>
      </c>
      <c r="C241" s="233">
        <v>0</v>
      </c>
      <c r="D241" s="233">
        <v>13105</v>
      </c>
      <c r="E241" s="237" t="s">
        <v>31</v>
      </c>
      <c r="F241" s="238">
        <v>60921</v>
      </c>
      <c r="G241" s="242">
        <v>149</v>
      </c>
      <c r="H241" s="79"/>
      <c r="I241" s="79"/>
    </row>
    <row r="242" spans="1:9" ht="15.75" hidden="1" customHeight="1">
      <c r="A242" s="79"/>
      <c r="B242" s="239"/>
      <c r="C242" s="239"/>
      <c r="D242" s="239"/>
      <c r="E242" s="234" t="s">
        <v>111</v>
      </c>
      <c r="F242" s="234"/>
      <c r="G242" s="240"/>
      <c r="H242" s="79"/>
      <c r="I242" s="79"/>
    </row>
    <row r="243" spans="1:9" ht="15.75" hidden="1" customHeight="1">
      <c r="A243" s="79"/>
      <c r="B243" s="232">
        <v>45817</v>
      </c>
      <c r="C243" s="233">
        <v>0</v>
      </c>
      <c r="D243" s="233">
        <v>13105</v>
      </c>
      <c r="E243" s="237" t="s">
        <v>31</v>
      </c>
      <c r="F243" s="238">
        <v>60922</v>
      </c>
      <c r="G243" s="242">
        <v>240.44</v>
      </c>
      <c r="H243" s="79"/>
      <c r="I243" s="79"/>
    </row>
    <row r="244" spans="1:9" ht="15.75" hidden="1" customHeight="1">
      <c r="A244" s="79"/>
      <c r="B244" s="239"/>
      <c r="C244" s="239"/>
      <c r="D244" s="239"/>
      <c r="E244" s="234" t="s">
        <v>111</v>
      </c>
      <c r="F244" s="234"/>
      <c r="G244" s="240"/>
      <c r="H244" s="79"/>
      <c r="I244" s="79"/>
    </row>
    <row r="245" spans="1:9" ht="15.75" hidden="1" customHeight="1">
      <c r="A245" s="79"/>
      <c r="B245" s="232">
        <v>45817</v>
      </c>
      <c r="C245" s="233">
        <v>0</v>
      </c>
      <c r="D245" s="233">
        <v>13105</v>
      </c>
      <c r="E245" s="237" t="s">
        <v>31</v>
      </c>
      <c r="F245" s="238">
        <v>60923</v>
      </c>
      <c r="G245" s="242">
        <v>90</v>
      </c>
      <c r="H245" s="79"/>
      <c r="I245" s="79"/>
    </row>
    <row r="246" spans="1:9" ht="15.75" hidden="1" customHeight="1">
      <c r="A246" s="79"/>
      <c r="B246" s="239"/>
      <c r="C246" s="239"/>
      <c r="D246" s="239"/>
      <c r="E246" s="234" t="s">
        <v>42</v>
      </c>
      <c r="F246" s="234"/>
      <c r="G246" s="240"/>
      <c r="H246" s="79"/>
      <c r="I246" s="79"/>
    </row>
    <row r="247" spans="1:9" ht="15.75" hidden="1" customHeight="1">
      <c r="A247" s="79"/>
      <c r="B247" s="232">
        <v>45817</v>
      </c>
      <c r="C247" s="233">
        <v>0</v>
      </c>
      <c r="D247" s="233">
        <v>13105</v>
      </c>
      <c r="E247" s="237" t="s">
        <v>31</v>
      </c>
      <c r="F247" s="238">
        <v>60924</v>
      </c>
      <c r="G247" s="242">
        <v>100</v>
      </c>
      <c r="H247" s="79"/>
      <c r="I247" s="79"/>
    </row>
    <row r="248" spans="1:9" ht="15.75" hidden="1" customHeight="1">
      <c r="A248" s="79"/>
      <c r="B248" s="239"/>
      <c r="C248" s="239"/>
      <c r="D248" s="239"/>
      <c r="E248" s="234" t="s">
        <v>42</v>
      </c>
      <c r="F248" s="234"/>
      <c r="G248" s="240"/>
      <c r="H248" s="79"/>
      <c r="I248" s="79"/>
    </row>
    <row r="249" spans="1:9" ht="15.75" hidden="1" customHeight="1">
      <c r="A249" s="79"/>
      <c r="B249" s="232">
        <v>45817</v>
      </c>
      <c r="C249" s="233">
        <v>0</v>
      </c>
      <c r="D249" s="233">
        <v>0</v>
      </c>
      <c r="E249" s="237" t="s">
        <v>52</v>
      </c>
      <c r="F249" s="238">
        <v>9903</v>
      </c>
      <c r="G249" s="236">
        <v>633.79</v>
      </c>
      <c r="H249" s="79"/>
      <c r="I249" s="79"/>
    </row>
    <row r="250" spans="1:9" ht="15.75" hidden="1" customHeight="1">
      <c r="A250" s="79"/>
      <c r="B250" s="239"/>
      <c r="C250" s="239"/>
      <c r="D250" s="239"/>
      <c r="E250" s="234" t="s">
        <v>53</v>
      </c>
      <c r="F250" s="234"/>
      <c r="G250" s="240"/>
      <c r="H250" s="79"/>
      <c r="I250" s="79"/>
    </row>
    <row r="251" spans="1:9" ht="15.75" hidden="1" customHeight="1">
      <c r="A251" s="79"/>
      <c r="B251" s="232">
        <v>45818</v>
      </c>
      <c r="C251" s="233">
        <v>1344</v>
      </c>
      <c r="D251" s="233">
        <v>99015</v>
      </c>
      <c r="E251" s="237" t="s">
        <v>27</v>
      </c>
      <c r="F251" s="238">
        <v>551344000008185</v>
      </c>
      <c r="G251" s="236">
        <v>988</v>
      </c>
      <c r="H251" s="79"/>
      <c r="I251" s="79"/>
    </row>
    <row r="252" spans="1:9" ht="15.75" hidden="1" customHeight="1">
      <c r="A252" s="79"/>
      <c r="B252" s="239"/>
      <c r="C252" s="239"/>
      <c r="D252" s="239"/>
      <c r="E252" s="234" t="s">
        <v>717</v>
      </c>
      <c r="F252" s="234"/>
      <c r="G252" s="240"/>
      <c r="H252" s="79"/>
      <c r="I252" s="79"/>
    </row>
    <row r="253" spans="1:9" ht="15.75" hidden="1" customHeight="1">
      <c r="A253" s="79"/>
      <c r="B253" s="232">
        <v>45818</v>
      </c>
      <c r="C253" s="233">
        <v>0</v>
      </c>
      <c r="D253" s="233">
        <v>14397</v>
      </c>
      <c r="E253" s="237" t="s">
        <v>57</v>
      </c>
      <c r="F253" s="238">
        <v>101543508356492</v>
      </c>
      <c r="G253" s="236">
        <v>248</v>
      </c>
      <c r="H253" s="79"/>
      <c r="I253" s="79"/>
    </row>
    <row r="254" spans="1:9" ht="28.5" hidden="1" customHeight="1">
      <c r="A254" s="79"/>
      <c r="B254" s="239"/>
      <c r="C254" s="239"/>
      <c r="D254" s="239"/>
      <c r="E254" s="234" t="s">
        <v>718</v>
      </c>
      <c r="F254" s="234"/>
      <c r="G254" s="240"/>
      <c r="H254" s="79"/>
      <c r="I254" s="79"/>
    </row>
    <row r="255" spans="1:9" ht="15.75" hidden="1" customHeight="1">
      <c r="A255" s="79"/>
      <c r="B255" s="232">
        <v>45818</v>
      </c>
      <c r="C255" s="233">
        <v>0</v>
      </c>
      <c r="D255" s="233">
        <v>14397</v>
      </c>
      <c r="E255" s="237" t="s">
        <v>57</v>
      </c>
      <c r="F255" s="238">
        <v>101912292976662</v>
      </c>
      <c r="G255" s="236">
        <v>1808</v>
      </c>
      <c r="H255" s="79"/>
      <c r="I255" s="79"/>
    </row>
    <row r="256" spans="1:9" ht="28.5" hidden="1" customHeight="1">
      <c r="A256" s="79"/>
      <c r="B256" s="239"/>
      <c r="C256" s="239"/>
      <c r="D256" s="239"/>
      <c r="E256" s="234" t="s">
        <v>719</v>
      </c>
      <c r="F256" s="234"/>
      <c r="G256" s="240"/>
      <c r="H256" s="79"/>
      <c r="I256" s="79"/>
    </row>
    <row r="257" spans="1:19" ht="15.75" customHeight="1">
      <c r="A257" s="130" t="s">
        <v>140</v>
      </c>
      <c r="B257" s="232">
        <v>45818</v>
      </c>
      <c r="C257" s="233">
        <v>0</v>
      </c>
      <c r="D257" s="233">
        <v>14138</v>
      </c>
      <c r="E257" s="241" t="s">
        <v>141</v>
      </c>
      <c r="F257" s="238">
        <v>202506090039229</v>
      </c>
      <c r="G257" s="236">
        <v>2156.38</v>
      </c>
      <c r="H257" s="2" t="s">
        <v>720</v>
      </c>
      <c r="I257" s="79" t="s">
        <v>595</v>
      </c>
      <c r="J257" s="79"/>
      <c r="K257" s="79"/>
      <c r="L257" s="79"/>
      <c r="M257" s="79"/>
      <c r="N257" s="79"/>
      <c r="O257" s="79"/>
      <c r="P257" s="79"/>
      <c r="Q257" s="79"/>
      <c r="R257" s="79"/>
      <c r="S257" s="79"/>
    </row>
    <row r="258" spans="1:19" ht="15.75" hidden="1" customHeight="1">
      <c r="A258" s="79"/>
      <c r="B258" s="239"/>
      <c r="C258" s="239"/>
      <c r="D258" s="239"/>
      <c r="E258" s="234" t="s">
        <v>143</v>
      </c>
      <c r="F258" s="234"/>
      <c r="G258" s="240"/>
      <c r="H258" s="79"/>
      <c r="I258" s="79"/>
    </row>
    <row r="259" spans="1:19" ht="15.75" customHeight="1">
      <c r="A259" s="130" t="s">
        <v>140</v>
      </c>
      <c r="B259" s="232">
        <v>45818</v>
      </c>
      <c r="C259" s="233">
        <v>0</v>
      </c>
      <c r="D259" s="233">
        <v>14138</v>
      </c>
      <c r="E259" s="241" t="s">
        <v>141</v>
      </c>
      <c r="F259" s="238">
        <v>202506090039231</v>
      </c>
      <c r="G259" s="236">
        <v>2156.38</v>
      </c>
      <c r="H259" s="2" t="s">
        <v>721</v>
      </c>
      <c r="I259" s="79" t="s">
        <v>595</v>
      </c>
      <c r="J259" s="79"/>
      <c r="K259" s="79"/>
      <c r="L259" s="79"/>
      <c r="M259" s="79"/>
      <c r="N259" s="79"/>
      <c r="O259" s="79"/>
      <c r="P259" s="79"/>
      <c r="Q259" s="79"/>
      <c r="R259" s="79"/>
      <c r="S259" s="79"/>
    </row>
    <row r="260" spans="1:19" ht="15.75" hidden="1" customHeight="1">
      <c r="A260" s="79"/>
      <c r="B260" s="239"/>
      <c r="C260" s="239"/>
      <c r="D260" s="239"/>
      <c r="E260" s="234" t="s">
        <v>143</v>
      </c>
      <c r="F260" s="234"/>
      <c r="G260" s="240"/>
      <c r="H260" s="79"/>
      <c r="I260" s="79"/>
    </row>
    <row r="261" spans="1:19" ht="15.75" customHeight="1">
      <c r="A261" s="130" t="s">
        <v>140</v>
      </c>
      <c r="B261" s="232">
        <v>45818</v>
      </c>
      <c r="C261" s="233">
        <v>0</v>
      </c>
      <c r="D261" s="233">
        <v>14138</v>
      </c>
      <c r="E261" s="241" t="s">
        <v>141</v>
      </c>
      <c r="F261" s="238">
        <v>202506090039235</v>
      </c>
      <c r="G261" s="236">
        <v>2211.02</v>
      </c>
      <c r="H261" s="2" t="s">
        <v>722</v>
      </c>
      <c r="I261" s="79" t="s">
        <v>595</v>
      </c>
      <c r="J261" s="79"/>
      <c r="K261" s="79"/>
      <c r="L261" s="79"/>
      <c r="M261" s="79"/>
      <c r="N261" s="79"/>
      <c r="O261" s="79"/>
      <c r="P261" s="79"/>
      <c r="Q261" s="79"/>
      <c r="R261" s="79"/>
      <c r="S261" s="79"/>
    </row>
    <row r="262" spans="1:19" ht="15.75" hidden="1" customHeight="1">
      <c r="A262" s="79"/>
      <c r="B262" s="239"/>
      <c r="C262" s="239"/>
      <c r="D262" s="239"/>
      <c r="E262" s="234" t="s">
        <v>143</v>
      </c>
      <c r="F262" s="234"/>
      <c r="G262" s="240"/>
      <c r="H262" s="79"/>
      <c r="I262" s="79"/>
    </row>
    <row r="263" spans="1:19" ht="15.75" customHeight="1">
      <c r="A263" s="130" t="s">
        <v>140</v>
      </c>
      <c r="B263" s="232">
        <v>45818</v>
      </c>
      <c r="C263" s="233">
        <v>0</v>
      </c>
      <c r="D263" s="233">
        <v>14138</v>
      </c>
      <c r="E263" s="241" t="s">
        <v>141</v>
      </c>
      <c r="F263" s="238">
        <v>202506090039237</v>
      </c>
      <c r="G263" s="236">
        <v>2156.38</v>
      </c>
      <c r="H263" s="2" t="s">
        <v>723</v>
      </c>
      <c r="I263" s="79" t="s">
        <v>595</v>
      </c>
      <c r="J263" s="79"/>
      <c r="K263" s="79"/>
      <c r="L263" s="79"/>
      <c r="M263" s="79"/>
      <c r="N263" s="79"/>
      <c r="O263" s="79"/>
      <c r="P263" s="79"/>
      <c r="Q263" s="79"/>
      <c r="R263" s="79"/>
      <c r="S263" s="79"/>
    </row>
    <row r="264" spans="1:19" ht="15.75" hidden="1" customHeight="1">
      <c r="A264" s="79"/>
      <c r="B264" s="239"/>
      <c r="C264" s="239"/>
      <c r="D264" s="239"/>
      <c r="E264" s="234" t="s">
        <v>143</v>
      </c>
      <c r="F264" s="234"/>
      <c r="G264" s="240"/>
      <c r="H264" s="79"/>
      <c r="I264" s="79"/>
    </row>
    <row r="265" spans="1:19" ht="15.75" customHeight="1">
      <c r="A265" s="130" t="s">
        <v>140</v>
      </c>
      <c r="B265" s="232">
        <v>45818</v>
      </c>
      <c r="C265" s="233">
        <v>0</v>
      </c>
      <c r="D265" s="233">
        <v>14138</v>
      </c>
      <c r="E265" s="241" t="s">
        <v>141</v>
      </c>
      <c r="F265" s="238">
        <v>202506090039252</v>
      </c>
      <c r="G265" s="236">
        <v>1668.08</v>
      </c>
      <c r="H265" s="2">
        <v>3567</v>
      </c>
      <c r="I265" s="79" t="s">
        <v>428</v>
      </c>
      <c r="J265" s="79"/>
      <c r="K265" s="79"/>
      <c r="L265" s="79"/>
      <c r="M265" s="79"/>
      <c r="N265" s="79"/>
      <c r="O265" s="79"/>
      <c r="P265" s="79"/>
      <c r="Q265" s="79"/>
      <c r="R265" s="79"/>
      <c r="S265" s="79"/>
    </row>
    <row r="266" spans="1:19" ht="15.75" hidden="1" customHeight="1">
      <c r="A266" s="79"/>
      <c r="B266" s="239"/>
      <c r="C266" s="239"/>
      <c r="D266" s="239"/>
      <c r="E266" s="234" t="s">
        <v>143</v>
      </c>
      <c r="F266" s="234"/>
      <c r="G266" s="240"/>
      <c r="H266" s="79"/>
      <c r="I266" s="79"/>
    </row>
    <row r="267" spans="1:19" ht="15.75" customHeight="1">
      <c r="A267" s="130" t="s">
        <v>140</v>
      </c>
      <c r="B267" s="232">
        <v>45818</v>
      </c>
      <c r="C267" s="233">
        <v>0</v>
      </c>
      <c r="D267" s="233">
        <v>14138</v>
      </c>
      <c r="E267" s="241" t="s">
        <v>141</v>
      </c>
      <c r="F267" s="238">
        <v>202506090039253</v>
      </c>
      <c r="G267" s="236">
        <v>2615.91</v>
      </c>
      <c r="H267" s="2">
        <v>3616</v>
      </c>
      <c r="I267" s="79" t="s">
        <v>428</v>
      </c>
      <c r="J267" s="79"/>
      <c r="K267" s="79"/>
      <c r="L267" s="79"/>
      <c r="M267" s="79"/>
      <c r="N267" s="79"/>
      <c r="O267" s="79"/>
      <c r="P267" s="79"/>
      <c r="Q267" s="79"/>
      <c r="R267" s="79"/>
      <c r="S267" s="79"/>
    </row>
    <row r="268" spans="1:19" ht="15.75" hidden="1" customHeight="1">
      <c r="A268" s="79"/>
      <c r="B268" s="239"/>
      <c r="C268" s="239"/>
      <c r="D268" s="239"/>
      <c r="E268" s="234" t="s">
        <v>143</v>
      </c>
      <c r="F268" s="234"/>
      <c r="G268" s="240"/>
      <c r="H268" s="79"/>
      <c r="I268" s="79"/>
    </row>
    <row r="269" spans="1:19" ht="15.75" hidden="1" customHeight="1">
      <c r="A269" s="79"/>
      <c r="B269" s="232">
        <v>45818</v>
      </c>
      <c r="C269" s="233">
        <v>0</v>
      </c>
      <c r="D269" s="233">
        <v>13105</v>
      </c>
      <c r="E269" s="237" t="s">
        <v>80</v>
      </c>
      <c r="F269" s="238">
        <v>61002</v>
      </c>
      <c r="G269" s="242">
        <v>2257.5300000000002</v>
      </c>
      <c r="H269" s="79"/>
      <c r="I269" s="79"/>
    </row>
    <row r="270" spans="1:19" ht="15.75" hidden="1" customHeight="1">
      <c r="A270" s="79"/>
      <c r="B270" s="239"/>
      <c r="C270" s="239"/>
      <c r="D270" s="239"/>
      <c r="E270" s="234" t="s">
        <v>81</v>
      </c>
      <c r="F270" s="234"/>
      <c r="G270" s="240"/>
      <c r="H270" s="79"/>
      <c r="I270" s="79"/>
    </row>
    <row r="271" spans="1:19" ht="15.75" hidden="1" customHeight="1">
      <c r="A271" s="79"/>
      <c r="B271" s="232">
        <v>45818</v>
      </c>
      <c r="C271" s="233">
        <v>0</v>
      </c>
      <c r="D271" s="233">
        <v>13105</v>
      </c>
      <c r="E271" s="237" t="s">
        <v>31</v>
      </c>
      <c r="F271" s="238">
        <v>61003</v>
      </c>
      <c r="G271" s="242">
        <v>1980</v>
      </c>
      <c r="H271" s="79"/>
      <c r="I271" s="79"/>
    </row>
    <row r="272" spans="1:19" ht="15.75" hidden="1" customHeight="1">
      <c r="A272" s="79"/>
      <c r="B272" s="239"/>
      <c r="C272" s="239"/>
      <c r="D272" s="239"/>
      <c r="E272" s="234" t="s">
        <v>587</v>
      </c>
      <c r="F272" s="234"/>
      <c r="G272" s="240"/>
      <c r="H272" s="79"/>
      <c r="I272" s="79"/>
    </row>
    <row r="273" spans="1:9" ht="15.75" hidden="1" customHeight="1">
      <c r="A273" s="79"/>
      <c r="B273" s="232">
        <v>45818</v>
      </c>
      <c r="C273" s="233">
        <v>0</v>
      </c>
      <c r="D273" s="233">
        <v>13105</v>
      </c>
      <c r="E273" s="237" t="s">
        <v>31</v>
      </c>
      <c r="F273" s="238">
        <v>61004</v>
      </c>
      <c r="G273" s="242">
        <v>341.18</v>
      </c>
      <c r="H273" s="79"/>
      <c r="I273" s="79"/>
    </row>
    <row r="274" spans="1:9" ht="28.5" hidden="1" customHeight="1">
      <c r="A274" s="79"/>
      <c r="B274" s="239"/>
      <c r="C274" s="239"/>
      <c r="D274" s="239"/>
      <c r="E274" s="234" t="s">
        <v>675</v>
      </c>
      <c r="F274" s="234"/>
      <c r="G274" s="240"/>
      <c r="H274" s="79"/>
      <c r="I274" s="79"/>
    </row>
    <row r="275" spans="1:9" ht="15.75" hidden="1" customHeight="1">
      <c r="A275" s="79"/>
      <c r="B275" s="232">
        <v>45818</v>
      </c>
      <c r="C275" s="233">
        <v>0</v>
      </c>
      <c r="D275" s="233">
        <v>13105</v>
      </c>
      <c r="E275" s="237" t="s">
        <v>31</v>
      </c>
      <c r="F275" s="238">
        <v>61005</v>
      </c>
      <c r="G275" s="242">
        <v>300</v>
      </c>
      <c r="H275" s="79"/>
      <c r="I275" s="79"/>
    </row>
    <row r="276" spans="1:9" ht="15.75" hidden="1" customHeight="1">
      <c r="A276" s="79"/>
      <c r="B276" s="239"/>
      <c r="C276" s="239"/>
      <c r="D276" s="239"/>
      <c r="E276" s="234" t="s">
        <v>86</v>
      </c>
      <c r="F276" s="234"/>
      <c r="G276" s="240"/>
      <c r="H276" s="79"/>
      <c r="I276" s="79"/>
    </row>
    <row r="277" spans="1:9" ht="15.75" hidden="1" customHeight="1">
      <c r="A277" s="79"/>
      <c r="B277" s="232">
        <v>45818</v>
      </c>
      <c r="C277" s="233">
        <v>0</v>
      </c>
      <c r="D277" s="233">
        <v>13105</v>
      </c>
      <c r="E277" s="237" t="s">
        <v>31</v>
      </c>
      <c r="F277" s="238">
        <v>61006</v>
      </c>
      <c r="G277" s="242">
        <v>2200</v>
      </c>
      <c r="H277" s="79"/>
      <c r="I277" s="79"/>
    </row>
    <row r="278" spans="1:9" ht="15.75" hidden="1" customHeight="1">
      <c r="A278" s="79"/>
      <c r="B278" s="239"/>
      <c r="C278" s="239"/>
      <c r="D278" s="239"/>
      <c r="E278" s="234" t="s">
        <v>173</v>
      </c>
      <c r="F278" s="234"/>
      <c r="G278" s="240"/>
      <c r="H278" s="79"/>
      <c r="I278" s="79"/>
    </row>
    <row r="279" spans="1:9" ht="15.75" hidden="1" customHeight="1">
      <c r="A279" s="79"/>
      <c r="B279" s="232">
        <v>45818</v>
      </c>
      <c r="C279" s="233">
        <v>0</v>
      </c>
      <c r="D279" s="233">
        <v>13105</v>
      </c>
      <c r="E279" s="237" t="s">
        <v>31</v>
      </c>
      <c r="F279" s="238">
        <v>61007</v>
      </c>
      <c r="G279" s="242">
        <v>357.77</v>
      </c>
      <c r="H279" s="79"/>
      <c r="I279" s="79"/>
    </row>
    <row r="280" spans="1:9" ht="28.5" hidden="1" customHeight="1">
      <c r="A280" s="79"/>
      <c r="B280" s="239"/>
      <c r="C280" s="239"/>
      <c r="D280" s="239"/>
      <c r="E280" s="234" t="s">
        <v>45</v>
      </c>
      <c r="F280" s="234"/>
      <c r="G280" s="240"/>
      <c r="H280" s="79"/>
      <c r="I280" s="79"/>
    </row>
    <row r="281" spans="1:9" ht="15.75" hidden="1" customHeight="1">
      <c r="A281" s="79"/>
      <c r="B281" s="232">
        <v>45818</v>
      </c>
      <c r="C281" s="233">
        <v>0</v>
      </c>
      <c r="D281" s="233">
        <v>13105</v>
      </c>
      <c r="E281" s="237" t="s">
        <v>31</v>
      </c>
      <c r="F281" s="238">
        <v>61008</v>
      </c>
      <c r="G281" s="242">
        <v>876.99</v>
      </c>
      <c r="H281" s="79"/>
      <c r="I281" s="79"/>
    </row>
    <row r="282" spans="1:9" ht="15.75" hidden="1" customHeight="1">
      <c r="A282" s="79"/>
      <c r="B282" s="239"/>
      <c r="C282" s="239"/>
      <c r="D282" s="239"/>
      <c r="E282" s="234" t="s">
        <v>46</v>
      </c>
      <c r="F282" s="234"/>
      <c r="G282" s="240"/>
      <c r="H282" s="79"/>
      <c r="I282" s="79"/>
    </row>
    <row r="283" spans="1:9" ht="15.75" hidden="1" customHeight="1">
      <c r="A283" s="79"/>
      <c r="B283" s="232">
        <v>45818</v>
      </c>
      <c r="C283" s="233">
        <v>0</v>
      </c>
      <c r="D283" s="233">
        <v>13105</v>
      </c>
      <c r="E283" s="237" t="s">
        <v>31</v>
      </c>
      <c r="F283" s="238">
        <v>61009</v>
      </c>
      <c r="G283" s="242">
        <v>1206.5</v>
      </c>
      <c r="H283" s="79"/>
      <c r="I283" s="79"/>
    </row>
    <row r="284" spans="1:9" ht="15.75" hidden="1" customHeight="1">
      <c r="A284" s="79"/>
      <c r="B284" s="239"/>
      <c r="C284" s="239"/>
      <c r="D284" s="239"/>
      <c r="E284" s="234" t="s">
        <v>46</v>
      </c>
      <c r="F284" s="234"/>
      <c r="G284" s="240"/>
      <c r="H284" s="79"/>
      <c r="I284" s="79"/>
    </row>
    <row r="285" spans="1:9" ht="15.75" hidden="1" customHeight="1">
      <c r="A285" s="79"/>
      <c r="B285" s="232">
        <v>45818</v>
      </c>
      <c r="C285" s="233">
        <v>0</v>
      </c>
      <c r="D285" s="233">
        <v>13105</v>
      </c>
      <c r="E285" s="237" t="s">
        <v>31</v>
      </c>
      <c r="F285" s="238">
        <v>61010</v>
      </c>
      <c r="G285" s="242">
        <v>386.59</v>
      </c>
      <c r="H285" s="79"/>
      <c r="I285" s="79"/>
    </row>
    <row r="286" spans="1:9" ht="28.5" hidden="1" customHeight="1">
      <c r="A286" s="79"/>
      <c r="B286" s="239"/>
      <c r="C286" s="239"/>
      <c r="D286" s="239"/>
      <c r="E286" s="234" t="s">
        <v>110</v>
      </c>
      <c r="F286" s="234"/>
      <c r="G286" s="240"/>
      <c r="H286" s="79"/>
      <c r="I286" s="79"/>
    </row>
    <row r="287" spans="1:9" ht="15.75" hidden="1" customHeight="1">
      <c r="A287" s="79"/>
      <c r="B287" s="232">
        <v>45818</v>
      </c>
      <c r="C287" s="233">
        <v>0</v>
      </c>
      <c r="D287" s="233">
        <v>13105</v>
      </c>
      <c r="E287" s="237" t="s">
        <v>118</v>
      </c>
      <c r="F287" s="238">
        <v>61011</v>
      </c>
      <c r="G287" s="242">
        <v>3550</v>
      </c>
      <c r="H287" s="79"/>
      <c r="I287" s="79"/>
    </row>
    <row r="288" spans="1:9" ht="15.75" hidden="1" customHeight="1">
      <c r="A288" s="79"/>
      <c r="B288" s="239"/>
      <c r="C288" s="239"/>
      <c r="D288" s="239"/>
      <c r="E288" s="234" t="s">
        <v>724</v>
      </c>
      <c r="F288" s="234"/>
      <c r="G288" s="240"/>
      <c r="H288" s="79"/>
      <c r="I288" s="79"/>
    </row>
    <row r="289" spans="1:19" ht="15.75" hidden="1" customHeight="1">
      <c r="A289" s="79"/>
      <c r="B289" s="232">
        <v>45818</v>
      </c>
      <c r="C289" s="233">
        <v>0</v>
      </c>
      <c r="D289" s="233">
        <v>13113</v>
      </c>
      <c r="E289" s="237" t="s">
        <v>189</v>
      </c>
      <c r="F289" s="238">
        <v>861611200072764</v>
      </c>
      <c r="G289" s="242">
        <v>10</v>
      </c>
      <c r="H289" s="79"/>
      <c r="I289" s="79"/>
    </row>
    <row r="290" spans="1:19" ht="28.5" hidden="1" customHeight="1">
      <c r="A290" s="79"/>
      <c r="B290" s="239"/>
      <c r="C290" s="239"/>
      <c r="D290" s="239"/>
      <c r="E290" s="234" t="s">
        <v>725</v>
      </c>
      <c r="F290" s="234"/>
      <c r="G290" s="240"/>
      <c r="H290" s="79"/>
      <c r="I290" s="79"/>
    </row>
    <row r="291" spans="1:19" ht="15.75" hidden="1" customHeight="1">
      <c r="A291" s="79"/>
      <c r="B291" s="232">
        <v>45818</v>
      </c>
      <c r="C291" s="233">
        <v>0</v>
      </c>
      <c r="D291" s="233">
        <v>13013</v>
      </c>
      <c r="E291" s="237" t="s">
        <v>87</v>
      </c>
      <c r="F291" s="238">
        <v>46301</v>
      </c>
      <c r="G291" s="242">
        <v>54.12</v>
      </c>
      <c r="H291" s="79"/>
      <c r="I291" s="79"/>
    </row>
    <row r="292" spans="1:19" ht="15.75" hidden="1" customHeight="1">
      <c r="A292" s="79"/>
      <c r="B292" s="239"/>
      <c r="C292" s="239"/>
      <c r="D292" s="239"/>
      <c r="E292" s="234" t="s">
        <v>88</v>
      </c>
      <c r="F292" s="234"/>
      <c r="G292" s="240"/>
      <c r="H292" s="79"/>
      <c r="I292" s="79"/>
    </row>
    <row r="293" spans="1:19" ht="15.75" hidden="1" customHeight="1">
      <c r="A293" s="79"/>
      <c r="B293" s="232">
        <v>45818</v>
      </c>
      <c r="C293" s="233">
        <v>0</v>
      </c>
      <c r="D293" s="233">
        <v>0</v>
      </c>
      <c r="E293" s="237" t="s">
        <v>59</v>
      </c>
      <c r="F293" s="238">
        <v>9903</v>
      </c>
      <c r="G293" s="242">
        <v>2487.4699999999998</v>
      </c>
      <c r="H293" s="79"/>
      <c r="I293" s="79"/>
    </row>
    <row r="294" spans="1:19" ht="15.75" hidden="1" customHeight="1">
      <c r="A294" s="79"/>
      <c r="B294" s="239"/>
      <c r="C294" s="239"/>
      <c r="D294" s="239"/>
      <c r="E294" s="234" t="s">
        <v>53</v>
      </c>
      <c r="F294" s="234"/>
      <c r="G294" s="240"/>
      <c r="H294" s="79"/>
      <c r="I294" s="79"/>
    </row>
    <row r="295" spans="1:19" ht="15.75" customHeight="1">
      <c r="A295" s="150" t="s">
        <v>423</v>
      </c>
      <c r="B295" s="232">
        <v>45819</v>
      </c>
      <c r="C295" s="233">
        <v>0</v>
      </c>
      <c r="D295" s="233">
        <v>14056</v>
      </c>
      <c r="E295" s="241" t="s">
        <v>257</v>
      </c>
      <c r="F295" s="238">
        <v>2725169000000</v>
      </c>
      <c r="G295" s="236">
        <v>6153.1</v>
      </c>
      <c r="H295" s="151">
        <v>3466</v>
      </c>
      <c r="I295" s="150" t="s">
        <v>291</v>
      </c>
      <c r="J295" s="79"/>
      <c r="K295" s="79"/>
      <c r="L295" s="79"/>
      <c r="M295" s="79"/>
      <c r="N295" s="79"/>
      <c r="O295" s="79"/>
      <c r="P295" s="79"/>
      <c r="Q295" s="79"/>
      <c r="R295" s="79"/>
      <c r="S295" s="79"/>
    </row>
    <row r="296" spans="1:19" ht="28.5" hidden="1" customHeight="1">
      <c r="A296" s="79"/>
      <c r="B296" s="239"/>
      <c r="C296" s="239"/>
      <c r="D296" s="239"/>
      <c r="E296" s="234" t="s">
        <v>259</v>
      </c>
      <c r="F296" s="234"/>
      <c r="G296" s="240"/>
      <c r="H296" s="79"/>
      <c r="I296" s="79"/>
    </row>
    <row r="297" spans="1:19" ht="15.75" hidden="1" customHeight="1">
      <c r="A297" s="79"/>
      <c r="B297" s="232">
        <v>45819</v>
      </c>
      <c r="C297" s="233">
        <v>0</v>
      </c>
      <c r="D297" s="233">
        <v>14397</v>
      </c>
      <c r="E297" s="237" t="s">
        <v>57</v>
      </c>
      <c r="F297" s="238">
        <v>111026308381322</v>
      </c>
      <c r="G297" s="236">
        <v>3000</v>
      </c>
      <c r="H297" s="79"/>
      <c r="I297" s="79"/>
    </row>
    <row r="298" spans="1:19" ht="28.5" hidden="1" customHeight="1">
      <c r="A298" s="79"/>
      <c r="B298" s="239"/>
      <c r="C298" s="239"/>
      <c r="D298" s="239"/>
      <c r="E298" s="234" t="s">
        <v>726</v>
      </c>
      <c r="F298" s="234"/>
      <c r="G298" s="240"/>
      <c r="H298" s="79"/>
      <c r="I298" s="79"/>
    </row>
    <row r="299" spans="1:19" ht="15.75" hidden="1" customHeight="1">
      <c r="A299" s="79"/>
      <c r="B299" s="232">
        <v>45819</v>
      </c>
      <c r="C299" s="233">
        <v>0</v>
      </c>
      <c r="D299" s="233">
        <v>14397</v>
      </c>
      <c r="E299" s="237" t="s">
        <v>57</v>
      </c>
      <c r="F299" s="238">
        <v>496643301909421</v>
      </c>
      <c r="G299" s="236">
        <v>132.34</v>
      </c>
      <c r="H299" s="79"/>
      <c r="I299" s="79"/>
    </row>
    <row r="300" spans="1:19" ht="28.5" hidden="1" customHeight="1">
      <c r="A300" s="79"/>
      <c r="B300" s="239"/>
      <c r="C300" s="239"/>
      <c r="D300" s="239"/>
      <c r="E300" s="234" t="s">
        <v>727</v>
      </c>
      <c r="F300" s="234"/>
      <c r="G300" s="240"/>
      <c r="H300" s="79"/>
      <c r="I300" s="79"/>
    </row>
    <row r="301" spans="1:19" ht="15.75" hidden="1" customHeight="1">
      <c r="A301" s="79"/>
      <c r="B301" s="232">
        <v>45819</v>
      </c>
      <c r="C301" s="233">
        <v>0</v>
      </c>
      <c r="D301" s="233">
        <v>13105</v>
      </c>
      <c r="E301" s="237" t="s">
        <v>123</v>
      </c>
      <c r="F301" s="238">
        <v>61101</v>
      </c>
      <c r="G301" s="242">
        <v>161.76</v>
      </c>
      <c r="H301" s="79"/>
      <c r="I301" s="79"/>
    </row>
    <row r="302" spans="1:19" ht="15.75" hidden="1" customHeight="1">
      <c r="A302" s="79"/>
      <c r="B302" s="239"/>
      <c r="C302" s="239"/>
      <c r="D302" s="239"/>
      <c r="E302" s="234" t="s">
        <v>124</v>
      </c>
      <c r="F302" s="234"/>
      <c r="G302" s="240"/>
      <c r="H302" s="79"/>
      <c r="I302" s="79"/>
    </row>
    <row r="303" spans="1:19" ht="15.75" hidden="1" customHeight="1">
      <c r="A303" s="79"/>
      <c r="B303" s="232">
        <v>45819</v>
      </c>
      <c r="C303" s="233">
        <v>0</v>
      </c>
      <c r="D303" s="233">
        <v>13105</v>
      </c>
      <c r="E303" s="237" t="s">
        <v>31</v>
      </c>
      <c r="F303" s="238">
        <v>61102</v>
      </c>
      <c r="G303" s="242">
        <v>1573.33</v>
      </c>
      <c r="H303" s="79"/>
      <c r="I303" s="79"/>
    </row>
    <row r="304" spans="1:19" ht="15.75" hidden="1" customHeight="1">
      <c r="A304" s="79"/>
      <c r="B304" s="239"/>
      <c r="C304" s="239"/>
      <c r="D304" s="239"/>
      <c r="E304" s="234" t="s">
        <v>71</v>
      </c>
      <c r="F304" s="234"/>
      <c r="G304" s="240"/>
      <c r="H304" s="79"/>
      <c r="I304" s="79"/>
    </row>
    <row r="305" spans="1:9" ht="15.75" hidden="1" customHeight="1">
      <c r="A305" s="79"/>
      <c r="B305" s="232">
        <v>45819</v>
      </c>
      <c r="C305" s="233">
        <v>0</v>
      </c>
      <c r="D305" s="233">
        <v>13105</v>
      </c>
      <c r="E305" s="237" t="s">
        <v>31</v>
      </c>
      <c r="F305" s="238">
        <v>61103</v>
      </c>
      <c r="G305" s="242">
        <v>602.69000000000005</v>
      </c>
      <c r="H305" s="79"/>
      <c r="I305" s="79"/>
    </row>
    <row r="306" spans="1:9" ht="28.5" hidden="1" customHeight="1">
      <c r="A306" s="79"/>
      <c r="B306" s="239"/>
      <c r="C306" s="239"/>
      <c r="D306" s="239"/>
      <c r="E306" s="234" t="s">
        <v>464</v>
      </c>
      <c r="F306" s="234"/>
      <c r="G306" s="240"/>
      <c r="H306" s="79"/>
      <c r="I306" s="79"/>
    </row>
    <row r="307" spans="1:9" ht="15.75" hidden="1" customHeight="1">
      <c r="A307" s="79"/>
      <c r="B307" s="232">
        <v>45819</v>
      </c>
      <c r="C307" s="233">
        <v>0</v>
      </c>
      <c r="D307" s="233">
        <v>13105</v>
      </c>
      <c r="E307" s="237" t="s">
        <v>31</v>
      </c>
      <c r="F307" s="238">
        <v>61104</v>
      </c>
      <c r="G307" s="242">
        <v>1448.57</v>
      </c>
      <c r="H307" s="79"/>
      <c r="I307" s="79"/>
    </row>
    <row r="308" spans="1:9" ht="28.5" hidden="1" customHeight="1">
      <c r="A308" s="79"/>
      <c r="B308" s="239"/>
      <c r="C308" s="239"/>
      <c r="D308" s="239"/>
      <c r="E308" s="234" t="s">
        <v>455</v>
      </c>
      <c r="F308" s="234"/>
      <c r="G308" s="240"/>
      <c r="H308" s="79"/>
      <c r="I308" s="79"/>
    </row>
    <row r="309" spans="1:9" ht="15.75" hidden="1" customHeight="1">
      <c r="A309" s="79"/>
      <c r="B309" s="232">
        <v>45819</v>
      </c>
      <c r="C309" s="233">
        <v>0</v>
      </c>
      <c r="D309" s="233">
        <v>13105</v>
      </c>
      <c r="E309" s="237" t="s">
        <v>31</v>
      </c>
      <c r="F309" s="238">
        <v>61105</v>
      </c>
      <c r="G309" s="242">
        <v>643.34</v>
      </c>
      <c r="H309" s="79"/>
      <c r="I309" s="79"/>
    </row>
    <row r="310" spans="1:9" ht="28.5" hidden="1" customHeight="1">
      <c r="A310" s="79"/>
      <c r="B310" s="239"/>
      <c r="C310" s="239"/>
      <c r="D310" s="239"/>
      <c r="E310" s="234" t="s">
        <v>32</v>
      </c>
      <c r="F310" s="234"/>
      <c r="G310" s="240"/>
      <c r="H310" s="79"/>
      <c r="I310" s="79"/>
    </row>
    <row r="311" spans="1:9" ht="15.75" hidden="1" customHeight="1">
      <c r="A311" s="79"/>
      <c r="B311" s="232">
        <v>45819</v>
      </c>
      <c r="C311" s="233">
        <v>0</v>
      </c>
      <c r="D311" s="233">
        <v>13105</v>
      </c>
      <c r="E311" s="237" t="s">
        <v>31</v>
      </c>
      <c r="F311" s="238">
        <v>61106</v>
      </c>
      <c r="G311" s="242">
        <v>354.3</v>
      </c>
      <c r="H311" s="79"/>
      <c r="I311" s="79"/>
    </row>
    <row r="312" spans="1:9" ht="15.75" hidden="1" customHeight="1">
      <c r="A312" s="79"/>
      <c r="B312" s="239"/>
      <c r="C312" s="239"/>
      <c r="D312" s="239"/>
      <c r="E312" s="234" t="s">
        <v>51</v>
      </c>
      <c r="F312" s="234"/>
      <c r="G312" s="240"/>
      <c r="H312" s="79"/>
      <c r="I312" s="79"/>
    </row>
    <row r="313" spans="1:9" ht="15.75" hidden="1" customHeight="1">
      <c r="A313" s="79"/>
      <c r="B313" s="232">
        <v>45819</v>
      </c>
      <c r="C313" s="233">
        <v>0</v>
      </c>
      <c r="D313" s="233">
        <v>13105</v>
      </c>
      <c r="E313" s="237" t="s">
        <v>31</v>
      </c>
      <c r="F313" s="238">
        <v>61107</v>
      </c>
      <c r="G313" s="242">
        <v>468.19</v>
      </c>
      <c r="H313" s="79"/>
      <c r="I313" s="79"/>
    </row>
    <row r="314" spans="1:9" ht="28.5" hidden="1" customHeight="1">
      <c r="A314" s="79"/>
      <c r="B314" s="239"/>
      <c r="C314" s="239"/>
      <c r="D314" s="239"/>
      <c r="E314" s="234" t="s">
        <v>45</v>
      </c>
      <c r="F314" s="234"/>
      <c r="G314" s="240"/>
      <c r="H314" s="79"/>
      <c r="I314" s="79"/>
    </row>
    <row r="315" spans="1:9" ht="15.75" hidden="1" customHeight="1">
      <c r="A315" s="79"/>
      <c r="B315" s="232">
        <v>45819</v>
      </c>
      <c r="C315" s="233">
        <v>0</v>
      </c>
      <c r="D315" s="233">
        <v>13105</v>
      </c>
      <c r="E315" s="237" t="s">
        <v>31</v>
      </c>
      <c r="F315" s="238">
        <v>61108</v>
      </c>
      <c r="G315" s="242">
        <v>637.78</v>
      </c>
      <c r="H315" s="79"/>
      <c r="I315" s="79"/>
    </row>
    <row r="316" spans="1:9" ht="15.75" hidden="1" customHeight="1">
      <c r="A316" s="79"/>
      <c r="B316" s="239"/>
      <c r="C316" s="239"/>
      <c r="D316" s="239"/>
      <c r="E316" s="234" t="s">
        <v>46</v>
      </c>
      <c r="F316" s="234"/>
      <c r="G316" s="240"/>
      <c r="H316" s="79"/>
      <c r="I316" s="79"/>
    </row>
    <row r="317" spans="1:9" ht="15.75" hidden="1" customHeight="1">
      <c r="A317" s="79"/>
      <c r="B317" s="232">
        <v>45819</v>
      </c>
      <c r="C317" s="233">
        <v>0</v>
      </c>
      <c r="D317" s="233">
        <v>13105</v>
      </c>
      <c r="E317" s="237" t="s">
        <v>31</v>
      </c>
      <c r="F317" s="238">
        <v>61109</v>
      </c>
      <c r="G317" s="242">
        <v>419.79</v>
      </c>
      <c r="H317" s="79"/>
      <c r="I317" s="79"/>
    </row>
    <row r="318" spans="1:9" ht="15.75" hidden="1" customHeight="1">
      <c r="A318" s="79"/>
      <c r="B318" s="239"/>
      <c r="C318" s="239"/>
      <c r="D318" s="239"/>
      <c r="E318" s="234" t="s">
        <v>46</v>
      </c>
      <c r="F318" s="234"/>
      <c r="G318" s="240"/>
      <c r="H318" s="79"/>
      <c r="I318" s="79"/>
    </row>
    <row r="319" spans="1:9" ht="15.75" hidden="1" customHeight="1">
      <c r="A319" s="79"/>
      <c r="B319" s="232">
        <v>45819</v>
      </c>
      <c r="C319" s="233">
        <v>0</v>
      </c>
      <c r="D319" s="233">
        <v>13105</v>
      </c>
      <c r="E319" s="237" t="s">
        <v>31</v>
      </c>
      <c r="F319" s="238">
        <v>61110</v>
      </c>
      <c r="G319" s="242">
        <v>266.24</v>
      </c>
      <c r="H319" s="79"/>
      <c r="I319" s="79"/>
    </row>
    <row r="320" spans="1:9" ht="15.75" hidden="1" customHeight="1">
      <c r="A320" s="79"/>
      <c r="B320" s="239"/>
      <c r="C320" s="239"/>
      <c r="D320" s="239"/>
      <c r="E320" s="234" t="s">
        <v>340</v>
      </c>
      <c r="F320" s="234"/>
      <c r="G320" s="240"/>
      <c r="H320" s="79"/>
      <c r="I320" s="79"/>
    </row>
    <row r="321" spans="1:9" ht="15.75" hidden="1" customHeight="1">
      <c r="A321" s="79"/>
      <c r="B321" s="232">
        <v>45819</v>
      </c>
      <c r="C321" s="233">
        <v>0</v>
      </c>
      <c r="D321" s="233">
        <v>13105</v>
      </c>
      <c r="E321" s="237" t="s">
        <v>31</v>
      </c>
      <c r="F321" s="238">
        <v>61111</v>
      </c>
      <c r="G321" s="242">
        <v>583.05999999999995</v>
      </c>
      <c r="H321" s="79"/>
      <c r="I321" s="79"/>
    </row>
    <row r="322" spans="1:9" ht="15.75" hidden="1" customHeight="1">
      <c r="A322" s="79"/>
      <c r="B322" s="239"/>
      <c r="C322" s="239"/>
      <c r="D322" s="239"/>
      <c r="E322" s="234" t="s">
        <v>498</v>
      </c>
      <c r="F322" s="234"/>
      <c r="G322" s="240"/>
      <c r="H322" s="79"/>
      <c r="I322" s="79"/>
    </row>
    <row r="323" spans="1:9" ht="15.75" hidden="1" customHeight="1">
      <c r="A323" s="79"/>
      <c r="B323" s="232">
        <v>45819</v>
      </c>
      <c r="C323" s="233">
        <v>0</v>
      </c>
      <c r="D323" s="233">
        <v>13105</v>
      </c>
      <c r="E323" s="237" t="s">
        <v>31</v>
      </c>
      <c r="F323" s="238">
        <v>61112</v>
      </c>
      <c r="G323" s="242">
        <v>3813.39</v>
      </c>
      <c r="H323" s="79"/>
      <c r="I323" s="79"/>
    </row>
    <row r="324" spans="1:9" ht="28.5" hidden="1" customHeight="1">
      <c r="A324" s="79"/>
      <c r="B324" s="239"/>
      <c r="C324" s="239"/>
      <c r="D324" s="239"/>
      <c r="E324" s="234" t="s">
        <v>32</v>
      </c>
      <c r="F324" s="234"/>
      <c r="G324" s="240"/>
      <c r="H324" s="79"/>
      <c r="I324" s="79"/>
    </row>
    <row r="325" spans="1:9" ht="15.75" hidden="1" customHeight="1">
      <c r="A325" s="79"/>
      <c r="B325" s="232">
        <v>45819</v>
      </c>
      <c r="C325" s="233">
        <v>0</v>
      </c>
      <c r="D325" s="233">
        <v>0</v>
      </c>
      <c r="E325" s="237" t="s">
        <v>52</v>
      </c>
      <c r="F325" s="238">
        <v>9903</v>
      </c>
      <c r="G325" s="236">
        <v>1687</v>
      </c>
      <c r="H325" s="79"/>
      <c r="I325" s="79"/>
    </row>
    <row r="326" spans="1:9" ht="15.75" hidden="1" customHeight="1">
      <c r="A326" s="79"/>
      <c r="B326" s="239"/>
      <c r="C326" s="239"/>
      <c r="D326" s="239"/>
      <c r="E326" s="234" t="s">
        <v>53</v>
      </c>
      <c r="F326" s="234"/>
      <c r="G326" s="240"/>
      <c r="H326" s="79"/>
      <c r="I326" s="79"/>
    </row>
    <row r="327" spans="1:9" ht="15.75" hidden="1" customHeight="1">
      <c r="A327" s="79"/>
      <c r="B327" s="232">
        <v>45820</v>
      </c>
      <c r="C327" s="233">
        <v>0</v>
      </c>
      <c r="D327" s="233">
        <v>14175</v>
      </c>
      <c r="E327" s="237" t="s">
        <v>62</v>
      </c>
      <c r="F327" s="238">
        <v>33952478</v>
      </c>
      <c r="G327" s="236">
        <v>469.3</v>
      </c>
      <c r="H327" s="79"/>
      <c r="I327" s="79"/>
    </row>
    <row r="328" spans="1:9" ht="28.5" hidden="1" customHeight="1">
      <c r="A328" s="79"/>
      <c r="B328" s="239"/>
      <c r="C328" s="239"/>
      <c r="D328" s="239"/>
      <c r="E328" s="234" t="s">
        <v>728</v>
      </c>
      <c r="F328" s="234"/>
      <c r="G328" s="240"/>
      <c r="H328" s="79"/>
      <c r="I328" s="79"/>
    </row>
    <row r="329" spans="1:9" ht="15.75" hidden="1" customHeight="1">
      <c r="A329" s="79"/>
      <c r="B329" s="232">
        <v>45820</v>
      </c>
      <c r="C329" s="233">
        <v>0</v>
      </c>
      <c r="D329" s="233">
        <v>14175</v>
      </c>
      <c r="E329" s="237" t="s">
        <v>62</v>
      </c>
      <c r="F329" s="238">
        <v>33952770</v>
      </c>
      <c r="G329" s="236">
        <v>5270.29</v>
      </c>
      <c r="H329" s="79"/>
      <c r="I329" s="79"/>
    </row>
    <row r="330" spans="1:9" ht="28.5" hidden="1" customHeight="1">
      <c r="A330" s="79"/>
      <c r="B330" s="239"/>
      <c r="C330" s="239"/>
      <c r="D330" s="239"/>
      <c r="E330" s="234" t="s">
        <v>728</v>
      </c>
      <c r="F330" s="234"/>
      <c r="G330" s="240"/>
      <c r="H330" s="79"/>
      <c r="I330" s="79"/>
    </row>
    <row r="331" spans="1:9" ht="15.75" hidden="1" customHeight="1">
      <c r="A331" s="79"/>
      <c r="B331" s="232">
        <v>45820</v>
      </c>
      <c r="C331" s="233">
        <v>0</v>
      </c>
      <c r="D331" s="233">
        <v>14397</v>
      </c>
      <c r="E331" s="237" t="s">
        <v>57</v>
      </c>
      <c r="F331" s="238">
        <v>121101287381372</v>
      </c>
      <c r="G331" s="236">
        <v>6500</v>
      </c>
      <c r="H331" s="79"/>
      <c r="I331" s="79"/>
    </row>
    <row r="332" spans="1:9" ht="28.5" hidden="1" customHeight="1">
      <c r="A332" s="79"/>
      <c r="B332" s="239"/>
      <c r="C332" s="239"/>
      <c r="D332" s="239"/>
      <c r="E332" s="234" t="s">
        <v>729</v>
      </c>
      <c r="F332" s="234"/>
      <c r="G332" s="240"/>
      <c r="H332" s="79"/>
      <c r="I332" s="79"/>
    </row>
    <row r="333" spans="1:9" ht="15.75" hidden="1" customHeight="1">
      <c r="A333" s="79"/>
      <c r="B333" s="232">
        <v>45820</v>
      </c>
      <c r="C333" s="233">
        <v>0</v>
      </c>
      <c r="D333" s="233">
        <v>14397</v>
      </c>
      <c r="E333" s="237" t="s">
        <v>57</v>
      </c>
      <c r="F333" s="238">
        <v>497697287870411</v>
      </c>
      <c r="G333" s="236">
        <v>119.99</v>
      </c>
      <c r="H333" s="79"/>
      <c r="I333" s="79"/>
    </row>
    <row r="334" spans="1:9" ht="28.5" hidden="1" customHeight="1">
      <c r="A334" s="79"/>
      <c r="B334" s="239"/>
      <c r="C334" s="239"/>
      <c r="D334" s="239"/>
      <c r="E334" s="234" t="s">
        <v>730</v>
      </c>
      <c r="F334" s="234"/>
      <c r="G334" s="240"/>
      <c r="H334" s="79"/>
      <c r="I334" s="79"/>
    </row>
    <row r="335" spans="1:9" ht="15.75" hidden="1" customHeight="1">
      <c r="A335" s="79"/>
      <c r="B335" s="232">
        <v>45820</v>
      </c>
      <c r="C335" s="233">
        <v>1533</v>
      </c>
      <c r="D335" s="233">
        <v>99008</v>
      </c>
      <c r="E335" s="237" t="s">
        <v>29</v>
      </c>
      <c r="F335" s="238">
        <v>612902</v>
      </c>
      <c r="G335" s="242">
        <v>212.55</v>
      </c>
      <c r="H335" s="79"/>
      <c r="I335" s="79"/>
    </row>
    <row r="336" spans="1:9" ht="15.75" hidden="1" customHeight="1">
      <c r="A336" s="79"/>
      <c r="B336" s="239"/>
      <c r="C336" s="239"/>
      <c r="D336" s="239"/>
      <c r="E336" s="234" t="s">
        <v>731</v>
      </c>
      <c r="F336" s="234"/>
      <c r="G336" s="240"/>
      <c r="H336" s="79"/>
      <c r="I336" s="79"/>
    </row>
    <row r="337" spans="1:19" ht="15.75" hidden="1" customHeight="1">
      <c r="A337" s="79"/>
      <c r="B337" s="232">
        <v>45820</v>
      </c>
      <c r="C337" s="233">
        <v>0</v>
      </c>
      <c r="D337" s="233">
        <v>0</v>
      </c>
      <c r="E337" s="237" t="s">
        <v>59</v>
      </c>
      <c r="F337" s="238">
        <v>9903</v>
      </c>
      <c r="G337" s="242">
        <v>12147.03</v>
      </c>
      <c r="H337" s="79"/>
      <c r="I337" s="79"/>
    </row>
    <row r="338" spans="1:19" ht="15.75" hidden="1" customHeight="1">
      <c r="A338" s="79"/>
      <c r="B338" s="239"/>
      <c r="C338" s="239"/>
      <c r="D338" s="239"/>
      <c r="E338" s="234" t="s">
        <v>53</v>
      </c>
      <c r="F338" s="234"/>
      <c r="G338" s="240"/>
      <c r="H338" s="79"/>
      <c r="I338" s="79"/>
    </row>
    <row r="339" spans="1:19" ht="15.75" hidden="1" customHeight="1">
      <c r="A339" s="79"/>
      <c r="B339" s="232">
        <v>45821</v>
      </c>
      <c r="C339" s="233">
        <v>0</v>
      </c>
      <c r="D339" s="233">
        <v>14175</v>
      </c>
      <c r="E339" s="237" t="s">
        <v>62</v>
      </c>
      <c r="F339" s="238">
        <v>384498810</v>
      </c>
      <c r="G339" s="236">
        <v>1000</v>
      </c>
      <c r="H339" s="79"/>
      <c r="I339" s="79"/>
    </row>
    <row r="340" spans="1:19" ht="28.5" hidden="1" customHeight="1">
      <c r="A340" s="79"/>
      <c r="B340" s="239"/>
      <c r="C340" s="239"/>
      <c r="D340" s="239"/>
      <c r="E340" s="234" t="s">
        <v>97</v>
      </c>
      <c r="F340" s="234"/>
      <c r="G340" s="240"/>
      <c r="H340" s="79"/>
      <c r="I340" s="79"/>
    </row>
    <row r="341" spans="1:19" ht="15.75" customHeight="1">
      <c r="A341" s="150" t="s">
        <v>423</v>
      </c>
      <c r="B341" s="232">
        <v>45821</v>
      </c>
      <c r="C341" s="233">
        <v>0</v>
      </c>
      <c r="D341" s="233">
        <v>14138</v>
      </c>
      <c r="E341" s="241" t="s">
        <v>141</v>
      </c>
      <c r="F341" s="238">
        <v>202506120000014</v>
      </c>
      <c r="G341" s="236">
        <v>3362.94</v>
      </c>
      <c r="H341" s="151" t="s">
        <v>732</v>
      </c>
      <c r="I341" s="150" t="s">
        <v>711</v>
      </c>
      <c r="J341" s="79"/>
      <c r="K341" s="79"/>
      <c r="L341" s="79"/>
      <c r="M341" s="79"/>
      <c r="N341" s="79"/>
      <c r="O341" s="79"/>
      <c r="P341" s="79"/>
      <c r="Q341" s="79"/>
      <c r="R341" s="79"/>
      <c r="S341" s="79"/>
    </row>
    <row r="342" spans="1:19" ht="15.75" hidden="1" customHeight="1">
      <c r="A342" s="79"/>
      <c r="B342" s="239"/>
      <c r="C342" s="239"/>
      <c r="D342" s="239"/>
      <c r="E342" s="234" t="s">
        <v>143</v>
      </c>
      <c r="F342" s="234"/>
      <c r="G342" s="240"/>
      <c r="H342" s="79"/>
      <c r="I342" s="79"/>
    </row>
    <row r="343" spans="1:19" ht="15.75" customHeight="1">
      <c r="A343" s="130" t="s">
        <v>140</v>
      </c>
      <c r="B343" s="232">
        <v>45821</v>
      </c>
      <c r="C343" s="233">
        <v>0</v>
      </c>
      <c r="D343" s="233">
        <v>14138</v>
      </c>
      <c r="E343" s="241" t="s">
        <v>141</v>
      </c>
      <c r="F343" s="238">
        <v>202506120020527</v>
      </c>
      <c r="G343" s="236">
        <v>4660.99</v>
      </c>
      <c r="H343" s="2" t="s">
        <v>733</v>
      </c>
      <c r="I343" s="79" t="s">
        <v>595</v>
      </c>
      <c r="J343" s="79"/>
      <c r="K343" s="79"/>
      <c r="L343" s="79"/>
      <c r="M343" s="79"/>
      <c r="N343" s="79"/>
      <c r="O343" s="79"/>
      <c r="P343" s="79"/>
      <c r="Q343" s="79"/>
      <c r="R343" s="79"/>
      <c r="S343" s="79"/>
    </row>
    <row r="344" spans="1:19" ht="15.75" hidden="1" customHeight="1">
      <c r="A344" s="79"/>
      <c r="B344" s="239"/>
      <c r="C344" s="239"/>
      <c r="D344" s="239"/>
      <c r="E344" s="234" t="s">
        <v>143</v>
      </c>
      <c r="F344" s="234"/>
      <c r="G344" s="240"/>
      <c r="H344" s="79"/>
      <c r="I344" s="79"/>
    </row>
    <row r="345" spans="1:19" ht="15.75" customHeight="1">
      <c r="A345" s="130" t="s">
        <v>140</v>
      </c>
      <c r="B345" s="232">
        <v>45821</v>
      </c>
      <c r="C345" s="233">
        <v>0</v>
      </c>
      <c r="D345" s="233">
        <v>14138</v>
      </c>
      <c r="E345" s="241" t="s">
        <v>141</v>
      </c>
      <c r="F345" s="238">
        <v>202506120020529</v>
      </c>
      <c r="G345" s="236">
        <v>6129.95</v>
      </c>
      <c r="H345" s="2" t="s">
        <v>734</v>
      </c>
      <c r="I345" s="79" t="s">
        <v>595</v>
      </c>
      <c r="J345" s="79"/>
      <c r="K345" s="79"/>
      <c r="L345" s="79"/>
      <c r="M345" s="79"/>
      <c r="N345" s="79"/>
      <c r="O345" s="79"/>
      <c r="P345" s="79"/>
      <c r="Q345" s="79"/>
      <c r="R345" s="79"/>
      <c r="S345" s="79"/>
    </row>
    <row r="346" spans="1:19" ht="15.75" hidden="1" customHeight="1">
      <c r="A346" s="79"/>
      <c r="B346" s="239"/>
      <c r="C346" s="239"/>
      <c r="D346" s="239"/>
      <c r="E346" s="234" t="s">
        <v>143</v>
      </c>
      <c r="F346" s="234"/>
      <c r="G346" s="240"/>
      <c r="H346" s="79"/>
      <c r="I346" s="79"/>
    </row>
    <row r="347" spans="1:19" ht="15.75" customHeight="1">
      <c r="A347" s="130" t="s">
        <v>140</v>
      </c>
      <c r="B347" s="232">
        <v>45821</v>
      </c>
      <c r="C347" s="233">
        <v>0</v>
      </c>
      <c r="D347" s="233">
        <v>14138</v>
      </c>
      <c r="E347" s="241" t="s">
        <v>141</v>
      </c>
      <c r="F347" s="238">
        <v>202506120020537</v>
      </c>
      <c r="G347" s="236">
        <v>5437.82</v>
      </c>
      <c r="H347" s="2" t="s">
        <v>735</v>
      </c>
      <c r="I347" s="79" t="s">
        <v>595</v>
      </c>
      <c r="J347" s="79"/>
      <c r="K347" s="79"/>
      <c r="L347" s="79"/>
      <c r="M347" s="79"/>
      <c r="N347" s="79"/>
      <c r="O347" s="79"/>
      <c r="P347" s="79"/>
      <c r="Q347" s="79"/>
      <c r="R347" s="79"/>
      <c r="S347" s="79"/>
    </row>
    <row r="348" spans="1:19" ht="15.75" hidden="1" customHeight="1">
      <c r="A348" s="79"/>
      <c r="B348" s="239"/>
      <c r="C348" s="239"/>
      <c r="D348" s="239"/>
      <c r="E348" s="234" t="s">
        <v>143</v>
      </c>
      <c r="F348" s="234"/>
      <c r="G348" s="240"/>
      <c r="H348" s="79"/>
      <c r="I348" s="79"/>
    </row>
    <row r="349" spans="1:19" ht="15.75" customHeight="1">
      <c r="A349" s="150" t="s">
        <v>423</v>
      </c>
      <c r="B349" s="232">
        <v>45821</v>
      </c>
      <c r="C349" s="233">
        <v>0</v>
      </c>
      <c r="D349" s="233">
        <v>14138</v>
      </c>
      <c r="E349" s="241" t="s">
        <v>141</v>
      </c>
      <c r="F349" s="238">
        <v>202506120020543</v>
      </c>
      <c r="G349" s="236">
        <v>5906.59</v>
      </c>
      <c r="H349" s="151" t="s">
        <v>735</v>
      </c>
      <c r="I349" s="150"/>
      <c r="J349" s="79"/>
      <c r="K349" s="79"/>
      <c r="L349" s="79"/>
      <c r="M349" s="79"/>
      <c r="N349" s="79"/>
      <c r="O349" s="79"/>
      <c r="P349" s="79"/>
      <c r="Q349" s="79"/>
      <c r="R349" s="79"/>
      <c r="S349" s="79"/>
    </row>
    <row r="350" spans="1:19" ht="15.75" hidden="1" customHeight="1">
      <c r="A350" s="79"/>
      <c r="B350" s="239"/>
      <c r="C350" s="239"/>
      <c r="D350" s="239"/>
      <c r="E350" s="234" t="s">
        <v>143</v>
      </c>
      <c r="F350" s="234"/>
      <c r="G350" s="240"/>
      <c r="H350" s="79"/>
      <c r="I350" s="79"/>
    </row>
    <row r="351" spans="1:19" ht="15.75" hidden="1" customHeight="1">
      <c r="A351" s="79"/>
      <c r="B351" s="232">
        <v>45821</v>
      </c>
      <c r="C351" s="233">
        <v>0</v>
      </c>
      <c r="D351" s="233">
        <v>13105</v>
      </c>
      <c r="E351" s="237" t="s">
        <v>80</v>
      </c>
      <c r="F351" s="238">
        <v>61301</v>
      </c>
      <c r="G351" s="242">
        <v>407.98</v>
      </c>
      <c r="H351" s="79"/>
      <c r="I351" s="79"/>
    </row>
    <row r="352" spans="1:19" ht="15.75" hidden="1" customHeight="1">
      <c r="A352" s="79"/>
      <c r="B352" s="239"/>
      <c r="C352" s="239"/>
      <c r="D352" s="239"/>
      <c r="E352" s="234" t="s">
        <v>81</v>
      </c>
      <c r="F352" s="234"/>
      <c r="G352" s="240"/>
      <c r="H352" s="79"/>
      <c r="I352" s="79"/>
    </row>
    <row r="353" spans="1:9" ht="15.75" hidden="1" customHeight="1">
      <c r="A353" s="79"/>
      <c r="B353" s="232">
        <v>45821</v>
      </c>
      <c r="C353" s="233">
        <v>0</v>
      </c>
      <c r="D353" s="233">
        <v>13105</v>
      </c>
      <c r="E353" s="237" t="s">
        <v>80</v>
      </c>
      <c r="F353" s="238">
        <v>61302</v>
      </c>
      <c r="G353" s="242">
        <v>242.57</v>
      </c>
      <c r="H353" s="79"/>
      <c r="I353" s="79"/>
    </row>
    <row r="354" spans="1:9" ht="15.75" hidden="1" customHeight="1">
      <c r="A354" s="79"/>
      <c r="B354" s="239"/>
      <c r="C354" s="239"/>
      <c r="D354" s="239"/>
      <c r="E354" s="234" t="s">
        <v>81</v>
      </c>
      <c r="F354" s="234"/>
      <c r="G354" s="240"/>
      <c r="H354" s="79"/>
      <c r="I354" s="79"/>
    </row>
    <row r="355" spans="1:9" ht="15.75" hidden="1" customHeight="1">
      <c r="A355" s="79"/>
      <c r="B355" s="232">
        <v>45821</v>
      </c>
      <c r="C355" s="233">
        <v>0</v>
      </c>
      <c r="D355" s="233">
        <v>13105</v>
      </c>
      <c r="E355" s="237" t="s">
        <v>31</v>
      </c>
      <c r="F355" s="238">
        <v>61303</v>
      </c>
      <c r="G355" s="242">
        <v>3433.87</v>
      </c>
      <c r="H355" s="79"/>
      <c r="I355" s="79"/>
    </row>
    <row r="356" spans="1:9" ht="28.5" hidden="1" customHeight="1">
      <c r="A356" s="79"/>
      <c r="B356" s="239"/>
      <c r="C356" s="239"/>
      <c r="D356" s="239"/>
      <c r="E356" s="234" t="s">
        <v>65</v>
      </c>
      <c r="F356" s="234"/>
      <c r="G356" s="240"/>
      <c r="H356" s="79"/>
      <c r="I356" s="79"/>
    </row>
    <row r="357" spans="1:9" ht="15.75" hidden="1" customHeight="1">
      <c r="A357" s="79"/>
      <c r="B357" s="232">
        <v>45821</v>
      </c>
      <c r="C357" s="233">
        <v>0</v>
      </c>
      <c r="D357" s="233">
        <v>13105</v>
      </c>
      <c r="E357" s="237" t="s">
        <v>31</v>
      </c>
      <c r="F357" s="238">
        <v>61304</v>
      </c>
      <c r="G357" s="242">
        <v>4891.63</v>
      </c>
      <c r="H357" s="79"/>
      <c r="I357" s="79"/>
    </row>
    <row r="358" spans="1:9" ht="28.5" hidden="1" customHeight="1">
      <c r="A358" s="79"/>
      <c r="B358" s="239"/>
      <c r="C358" s="239"/>
      <c r="D358" s="239"/>
      <c r="E358" s="234" t="s">
        <v>32</v>
      </c>
      <c r="F358" s="234"/>
      <c r="G358" s="240"/>
      <c r="H358" s="79"/>
      <c r="I358" s="79"/>
    </row>
    <row r="359" spans="1:9" ht="15.75" hidden="1" customHeight="1">
      <c r="A359" s="79"/>
      <c r="B359" s="232">
        <v>45821</v>
      </c>
      <c r="C359" s="233">
        <v>0</v>
      </c>
      <c r="D359" s="233">
        <v>13105</v>
      </c>
      <c r="E359" s="237" t="s">
        <v>31</v>
      </c>
      <c r="F359" s="238">
        <v>61305</v>
      </c>
      <c r="G359" s="242">
        <v>315.87</v>
      </c>
      <c r="H359" s="79"/>
      <c r="I359" s="79"/>
    </row>
    <row r="360" spans="1:9" ht="15.75" hidden="1" customHeight="1">
      <c r="A360" s="79"/>
      <c r="B360" s="239"/>
      <c r="C360" s="239"/>
      <c r="D360" s="239"/>
      <c r="E360" s="234" t="s">
        <v>78</v>
      </c>
      <c r="F360" s="234"/>
      <c r="G360" s="240"/>
      <c r="H360" s="79"/>
      <c r="I360" s="79"/>
    </row>
    <row r="361" spans="1:9" ht="15.75" hidden="1" customHeight="1">
      <c r="A361" s="79"/>
      <c r="B361" s="232">
        <v>45821</v>
      </c>
      <c r="C361" s="233">
        <v>0</v>
      </c>
      <c r="D361" s="233">
        <v>13105</v>
      </c>
      <c r="E361" s="237" t="s">
        <v>31</v>
      </c>
      <c r="F361" s="238">
        <v>61306</v>
      </c>
      <c r="G361" s="242">
        <v>334.4</v>
      </c>
      <c r="H361" s="79"/>
      <c r="I361" s="79"/>
    </row>
    <row r="362" spans="1:9" ht="15.75" hidden="1" customHeight="1">
      <c r="A362" s="79"/>
      <c r="B362" s="239"/>
      <c r="C362" s="239"/>
      <c r="D362" s="239"/>
      <c r="E362" s="234" t="s">
        <v>231</v>
      </c>
      <c r="F362" s="234"/>
      <c r="G362" s="240"/>
      <c r="H362" s="79"/>
      <c r="I362" s="79"/>
    </row>
    <row r="363" spans="1:9" ht="15.75" hidden="1" customHeight="1">
      <c r="A363" s="79"/>
      <c r="B363" s="232">
        <v>45821</v>
      </c>
      <c r="C363" s="233">
        <v>0</v>
      </c>
      <c r="D363" s="233">
        <v>13105</v>
      </c>
      <c r="E363" s="237" t="s">
        <v>31</v>
      </c>
      <c r="F363" s="238">
        <v>61307</v>
      </c>
      <c r="G363" s="242">
        <v>61.36</v>
      </c>
      <c r="H363" s="79"/>
      <c r="I363" s="79"/>
    </row>
    <row r="364" spans="1:9" ht="15.75" hidden="1" customHeight="1">
      <c r="A364" s="79"/>
      <c r="B364" s="239"/>
      <c r="C364" s="239"/>
      <c r="D364" s="239"/>
      <c r="E364" s="234" t="s">
        <v>46</v>
      </c>
      <c r="F364" s="234"/>
      <c r="G364" s="240"/>
      <c r="H364" s="79"/>
      <c r="I364" s="79"/>
    </row>
    <row r="365" spans="1:9" ht="15.75" hidden="1" customHeight="1">
      <c r="A365" s="79"/>
      <c r="B365" s="232">
        <v>45821</v>
      </c>
      <c r="C365" s="233">
        <v>0</v>
      </c>
      <c r="D365" s="233">
        <v>13105</v>
      </c>
      <c r="E365" s="237" t="s">
        <v>31</v>
      </c>
      <c r="F365" s="238">
        <v>61308</v>
      </c>
      <c r="G365" s="242">
        <v>500.87</v>
      </c>
      <c r="H365" s="79"/>
      <c r="I365" s="79"/>
    </row>
    <row r="366" spans="1:9" ht="15.75" hidden="1" customHeight="1">
      <c r="A366" s="79"/>
      <c r="B366" s="239"/>
      <c r="C366" s="239"/>
      <c r="D366" s="239"/>
      <c r="E366" s="234" t="s">
        <v>46</v>
      </c>
      <c r="F366" s="234"/>
      <c r="G366" s="240"/>
      <c r="H366" s="79"/>
      <c r="I366" s="79"/>
    </row>
    <row r="367" spans="1:9" ht="15.75" hidden="1" customHeight="1">
      <c r="A367" s="79"/>
      <c r="B367" s="232">
        <v>45821</v>
      </c>
      <c r="C367" s="233">
        <v>0</v>
      </c>
      <c r="D367" s="233">
        <v>13105</v>
      </c>
      <c r="E367" s="237" t="s">
        <v>31</v>
      </c>
      <c r="F367" s="238">
        <v>61309</v>
      </c>
      <c r="G367" s="242">
        <v>811.11</v>
      </c>
      <c r="H367" s="79"/>
      <c r="I367" s="79"/>
    </row>
    <row r="368" spans="1:9" ht="15.75" hidden="1" customHeight="1">
      <c r="A368" s="79"/>
      <c r="B368" s="239"/>
      <c r="C368" s="239"/>
      <c r="D368" s="239"/>
      <c r="E368" s="234" t="s">
        <v>46</v>
      </c>
      <c r="F368" s="234"/>
      <c r="G368" s="240"/>
      <c r="H368" s="79"/>
      <c r="I368" s="79"/>
    </row>
    <row r="369" spans="1:9" ht="15.75" hidden="1" customHeight="1">
      <c r="A369" s="79"/>
      <c r="B369" s="232">
        <v>45821</v>
      </c>
      <c r="C369" s="233">
        <v>0</v>
      </c>
      <c r="D369" s="233">
        <v>13105</v>
      </c>
      <c r="E369" s="237" t="s">
        <v>31</v>
      </c>
      <c r="F369" s="238">
        <v>61310</v>
      </c>
      <c r="G369" s="242">
        <v>195.77</v>
      </c>
      <c r="H369" s="79"/>
      <c r="I369" s="79"/>
    </row>
    <row r="370" spans="1:9" ht="15.75" hidden="1" customHeight="1">
      <c r="A370" s="79"/>
      <c r="B370" s="239"/>
      <c r="C370" s="239"/>
      <c r="D370" s="239"/>
      <c r="E370" s="234" t="s">
        <v>46</v>
      </c>
      <c r="F370" s="234"/>
      <c r="G370" s="240"/>
      <c r="H370" s="79"/>
      <c r="I370" s="79"/>
    </row>
    <row r="371" spans="1:9" ht="15.75" hidden="1" customHeight="1">
      <c r="A371" s="79"/>
      <c r="B371" s="232">
        <v>45821</v>
      </c>
      <c r="C371" s="233">
        <v>0</v>
      </c>
      <c r="D371" s="233">
        <v>13105</v>
      </c>
      <c r="E371" s="237" t="s">
        <v>31</v>
      </c>
      <c r="F371" s="238">
        <v>61311</v>
      </c>
      <c r="G371" s="242">
        <v>348.46</v>
      </c>
      <c r="H371" s="79"/>
      <c r="I371" s="79"/>
    </row>
    <row r="372" spans="1:9" ht="15.75" hidden="1" customHeight="1">
      <c r="A372" s="79"/>
      <c r="B372" s="239"/>
      <c r="C372" s="239"/>
      <c r="D372" s="239"/>
      <c r="E372" s="234" t="s">
        <v>46</v>
      </c>
      <c r="F372" s="234"/>
      <c r="G372" s="240"/>
      <c r="H372" s="79"/>
      <c r="I372" s="79"/>
    </row>
    <row r="373" spans="1:9" ht="15.75" hidden="1" customHeight="1">
      <c r="A373" s="79"/>
      <c r="B373" s="232">
        <v>45821</v>
      </c>
      <c r="C373" s="233">
        <v>0</v>
      </c>
      <c r="D373" s="233">
        <v>13105</v>
      </c>
      <c r="E373" s="237" t="s">
        <v>31</v>
      </c>
      <c r="F373" s="238">
        <v>61312</v>
      </c>
      <c r="G373" s="242">
        <v>1717.39</v>
      </c>
      <c r="H373" s="79"/>
      <c r="I373" s="79"/>
    </row>
    <row r="374" spans="1:9" ht="15.75" hidden="1" customHeight="1">
      <c r="A374" s="79"/>
      <c r="B374" s="239"/>
      <c r="C374" s="239"/>
      <c r="D374" s="239"/>
      <c r="E374" s="234" t="s">
        <v>46</v>
      </c>
      <c r="F374" s="234"/>
      <c r="G374" s="240"/>
      <c r="H374" s="79"/>
      <c r="I374" s="79"/>
    </row>
    <row r="375" spans="1:9" ht="15.75" hidden="1" customHeight="1">
      <c r="A375" s="79"/>
      <c r="B375" s="232">
        <v>45821</v>
      </c>
      <c r="C375" s="233">
        <v>0</v>
      </c>
      <c r="D375" s="233">
        <v>13105</v>
      </c>
      <c r="E375" s="237" t="s">
        <v>31</v>
      </c>
      <c r="F375" s="238">
        <v>61313</v>
      </c>
      <c r="G375" s="242">
        <v>268.52</v>
      </c>
      <c r="H375" s="79"/>
      <c r="I375" s="79"/>
    </row>
    <row r="376" spans="1:9" ht="28.5" hidden="1" customHeight="1">
      <c r="A376" s="79"/>
      <c r="B376" s="239"/>
      <c r="C376" s="239"/>
      <c r="D376" s="239"/>
      <c r="E376" s="234" t="s">
        <v>45</v>
      </c>
      <c r="F376" s="234"/>
      <c r="G376" s="240"/>
      <c r="H376" s="79"/>
      <c r="I376" s="79"/>
    </row>
    <row r="377" spans="1:9" ht="15.75" hidden="1" customHeight="1">
      <c r="A377" s="79"/>
      <c r="B377" s="232">
        <v>45821</v>
      </c>
      <c r="C377" s="233">
        <v>0</v>
      </c>
      <c r="D377" s="233">
        <v>13105</v>
      </c>
      <c r="E377" s="237" t="s">
        <v>31</v>
      </c>
      <c r="F377" s="238">
        <v>61314</v>
      </c>
      <c r="G377" s="242">
        <v>391.47</v>
      </c>
      <c r="H377" s="79"/>
      <c r="I377" s="79"/>
    </row>
    <row r="378" spans="1:9" ht="28.5" hidden="1" customHeight="1">
      <c r="A378" s="79"/>
      <c r="B378" s="239"/>
      <c r="C378" s="239"/>
      <c r="D378" s="239"/>
      <c r="E378" s="234" t="s">
        <v>45</v>
      </c>
      <c r="F378" s="234"/>
      <c r="G378" s="240"/>
      <c r="H378" s="79"/>
      <c r="I378" s="79"/>
    </row>
    <row r="379" spans="1:9" ht="15.75" hidden="1" customHeight="1">
      <c r="A379" s="79"/>
      <c r="B379" s="232">
        <v>45821</v>
      </c>
      <c r="C379" s="233">
        <v>0</v>
      </c>
      <c r="D379" s="233">
        <v>13105</v>
      </c>
      <c r="E379" s="237" t="s">
        <v>31</v>
      </c>
      <c r="F379" s="238">
        <v>61315</v>
      </c>
      <c r="G379" s="242">
        <v>256.79000000000002</v>
      </c>
      <c r="H379" s="79"/>
      <c r="I379" s="79"/>
    </row>
    <row r="380" spans="1:9" ht="15.75" hidden="1" customHeight="1">
      <c r="A380" s="79"/>
      <c r="B380" s="239"/>
      <c r="C380" s="239"/>
      <c r="D380" s="239"/>
      <c r="E380" s="234" t="s">
        <v>111</v>
      </c>
      <c r="F380" s="234"/>
      <c r="G380" s="240"/>
      <c r="H380" s="79"/>
      <c r="I380" s="79"/>
    </row>
    <row r="381" spans="1:9" ht="15.75" hidden="1" customHeight="1">
      <c r="A381" s="79"/>
      <c r="B381" s="232">
        <v>45821</v>
      </c>
      <c r="C381" s="233">
        <v>0</v>
      </c>
      <c r="D381" s="233">
        <v>13105</v>
      </c>
      <c r="E381" s="237" t="s">
        <v>31</v>
      </c>
      <c r="F381" s="238">
        <v>61316</v>
      </c>
      <c r="G381" s="242">
        <v>205.67</v>
      </c>
      <c r="H381" s="79"/>
      <c r="I381" s="79"/>
    </row>
    <row r="382" spans="1:9" ht="15.75" hidden="1" customHeight="1">
      <c r="A382" s="79"/>
      <c r="B382" s="239"/>
      <c r="C382" s="239"/>
      <c r="D382" s="239"/>
      <c r="E382" s="234" t="s">
        <v>111</v>
      </c>
      <c r="F382" s="234"/>
      <c r="G382" s="240"/>
      <c r="H382" s="79"/>
      <c r="I382" s="79"/>
    </row>
    <row r="383" spans="1:9" ht="15.75" hidden="1" customHeight="1">
      <c r="A383" s="79"/>
      <c r="B383" s="232">
        <v>45821</v>
      </c>
      <c r="C383" s="233">
        <v>0</v>
      </c>
      <c r="D383" s="233">
        <v>13105</v>
      </c>
      <c r="E383" s="237" t="s">
        <v>31</v>
      </c>
      <c r="F383" s="238">
        <v>61317</v>
      </c>
      <c r="G383" s="242">
        <v>393.9</v>
      </c>
      <c r="H383" s="79"/>
      <c r="I383" s="79"/>
    </row>
    <row r="384" spans="1:9" ht="15.75" hidden="1" customHeight="1">
      <c r="A384" s="79"/>
      <c r="B384" s="239"/>
      <c r="C384" s="239"/>
      <c r="D384" s="239"/>
      <c r="E384" s="234" t="s">
        <v>340</v>
      </c>
      <c r="F384" s="234"/>
      <c r="G384" s="240"/>
      <c r="H384" s="79"/>
      <c r="I384" s="79"/>
    </row>
    <row r="385" spans="1:9" ht="15.75" hidden="1" customHeight="1">
      <c r="A385" s="79"/>
      <c r="B385" s="232">
        <v>45821</v>
      </c>
      <c r="C385" s="233">
        <v>0</v>
      </c>
      <c r="D385" s="233">
        <v>13105</v>
      </c>
      <c r="E385" s="237" t="s">
        <v>31</v>
      </c>
      <c r="F385" s="238">
        <v>61318</v>
      </c>
      <c r="G385" s="242">
        <v>238.45</v>
      </c>
      <c r="H385" s="79"/>
      <c r="I385" s="79"/>
    </row>
    <row r="386" spans="1:9" ht="15.75" hidden="1" customHeight="1">
      <c r="A386" s="79"/>
      <c r="B386" s="239"/>
      <c r="C386" s="239"/>
      <c r="D386" s="239"/>
      <c r="E386" s="234" t="s">
        <v>47</v>
      </c>
      <c r="F386" s="234"/>
      <c r="G386" s="240"/>
      <c r="H386" s="79"/>
      <c r="I386" s="79"/>
    </row>
    <row r="387" spans="1:9" ht="15.75" hidden="1" customHeight="1">
      <c r="A387" s="79"/>
      <c r="B387" s="232">
        <v>45821</v>
      </c>
      <c r="C387" s="233">
        <v>0</v>
      </c>
      <c r="D387" s="233">
        <v>13105</v>
      </c>
      <c r="E387" s="237" t="s">
        <v>31</v>
      </c>
      <c r="F387" s="238">
        <v>61319</v>
      </c>
      <c r="G387" s="242">
        <v>107.48</v>
      </c>
      <c r="H387" s="79"/>
      <c r="I387" s="79"/>
    </row>
    <row r="388" spans="1:9" ht="28.5" hidden="1" customHeight="1">
      <c r="A388" s="79"/>
      <c r="B388" s="239"/>
      <c r="C388" s="239"/>
      <c r="D388" s="239"/>
      <c r="E388" s="234" t="s">
        <v>126</v>
      </c>
      <c r="F388" s="234"/>
      <c r="G388" s="240"/>
      <c r="H388" s="79"/>
      <c r="I388" s="79"/>
    </row>
    <row r="389" spans="1:9" ht="15.75" hidden="1" customHeight="1">
      <c r="A389" s="79"/>
      <c r="B389" s="232">
        <v>45821</v>
      </c>
      <c r="C389" s="233">
        <v>0</v>
      </c>
      <c r="D389" s="233">
        <v>13105</v>
      </c>
      <c r="E389" s="237" t="s">
        <v>31</v>
      </c>
      <c r="F389" s="238">
        <v>61320</v>
      </c>
      <c r="G389" s="242">
        <v>115.64</v>
      </c>
      <c r="H389" s="79"/>
      <c r="I389" s="79"/>
    </row>
    <row r="390" spans="1:9" ht="28.5" hidden="1" customHeight="1">
      <c r="A390" s="79"/>
      <c r="B390" s="239"/>
      <c r="C390" s="239"/>
      <c r="D390" s="239"/>
      <c r="E390" s="234" t="s">
        <v>126</v>
      </c>
      <c r="F390" s="234"/>
      <c r="G390" s="240"/>
      <c r="H390" s="79"/>
      <c r="I390" s="79"/>
    </row>
    <row r="391" spans="1:9" ht="15.75" hidden="1" customHeight="1">
      <c r="A391" s="79"/>
      <c r="B391" s="232">
        <v>45821</v>
      </c>
      <c r="C391" s="233">
        <v>0</v>
      </c>
      <c r="D391" s="233">
        <v>13105</v>
      </c>
      <c r="E391" s="237" t="s">
        <v>80</v>
      </c>
      <c r="F391" s="238">
        <v>61321</v>
      </c>
      <c r="G391" s="242">
        <v>24108.49</v>
      </c>
      <c r="H391" s="79"/>
      <c r="I391" s="79"/>
    </row>
    <row r="392" spans="1:9" ht="15.75" hidden="1" customHeight="1">
      <c r="A392" s="79"/>
      <c r="B392" s="239"/>
      <c r="C392" s="239"/>
      <c r="D392" s="239"/>
      <c r="E392" s="234" t="s">
        <v>81</v>
      </c>
      <c r="F392" s="234"/>
      <c r="G392" s="240"/>
      <c r="H392" s="79"/>
      <c r="I392" s="79"/>
    </row>
    <row r="393" spans="1:9" ht="15.75" hidden="1" customHeight="1">
      <c r="A393" s="79"/>
      <c r="B393" s="232">
        <v>45821</v>
      </c>
      <c r="C393" s="233">
        <v>0</v>
      </c>
      <c r="D393" s="233">
        <v>0</v>
      </c>
      <c r="E393" s="237" t="s">
        <v>52</v>
      </c>
      <c r="F393" s="238">
        <v>9903</v>
      </c>
      <c r="G393" s="236">
        <v>12849.4</v>
      </c>
      <c r="H393" s="79"/>
      <c r="I393" s="79"/>
    </row>
    <row r="394" spans="1:9" ht="15.75" hidden="1" customHeight="1">
      <c r="A394" s="79"/>
      <c r="B394" s="239"/>
      <c r="C394" s="239"/>
      <c r="D394" s="239"/>
      <c r="E394" s="234" t="s">
        <v>53</v>
      </c>
      <c r="F394" s="234"/>
      <c r="G394" s="240"/>
      <c r="H394" s="79"/>
      <c r="I394" s="79"/>
    </row>
    <row r="395" spans="1:9" ht="15.75" hidden="1" customHeight="1">
      <c r="A395" s="79"/>
      <c r="B395" s="232">
        <v>45824</v>
      </c>
      <c r="C395" s="233">
        <v>0</v>
      </c>
      <c r="D395" s="233">
        <v>14175</v>
      </c>
      <c r="E395" s="237" t="s">
        <v>62</v>
      </c>
      <c r="F395" s="238">
        <v>384656078</v>
      </c>
      <c r="G395" s="236">
        <v>4500</v>
      </c>
      <c r="H395" s="79"/>
      <c r="I395" s="79"/>
    </row>
    <row r="396" spans="1:9" ht="28.5" hidden="1" customHeight="1">
      <c r="A396" s="79"/>
      <c r="B396" s="239"/>
      <c r="C396" s="239"/>
      <c r="D396" s="239"/>
      <c r="E396" s="234" t="s">
        <v>97</v>
      </c>
      <c r="F396" s="234"/>
      <c r="G396" s="240"/>
      <c r="H396" s="79"/>
      <c r="I396" s="79"/>
    </row>
    <row r="397" spans="1:9" ht="15.75" hidden="1" customHeight="1">
      <c r="A397" s="79"/>
      <c r="B397" s="232">
        <v>45824</v>
      </c>
      <c r="C397" s="233">
        <v>0</v>
      </c>
      <c r="D397" s="233">
        <v>14175</v>
      </c>
      <c r="E397" s="237" t="s">
        <v>62</v>
      </c>
      <c r="F397" s="238">
        <v>384663557</v>
      </c>
      <c r="G397" s="236">
        <v>4000</v>
      </c>
      <c r="H397" s="79"/>
      <c r="I397" s="79"/>
    </row>
    <row r="398" spans="1:9" ht="28.5" hidden="1" customHeight="1">
      <c r="A398" s="79"/>
      <c r="B398" s="239"/>
      <c r="C398" s="239"/>
      <c r="D398" s="239"/>
      <c r="E398" s="234" t="s">
        <v>97</v>
      </c>
      <c r="F398" s="234"/>
      <c r="G398" s="240"/>
      <c r="H398" s="79"/>
      <c r="I398" s="79"/>
    </row>
    <row r="399" spans="1:9" ht="15.75" hidden="1" customHeight="1">
      <c r="A399" s="79"/>
      <c r="B399" s="232">
        <v>45824</v>
      </c>
      <c r="C399" s="233">
        <v>0</v>
      </c>
      <c r="D399" s="233">
        <v>14397</v>
      </c>
      <c r="E399" s="237" t="s">
        <v>57</v>
      </c>
      <c r="F399" s="238">
        <v>500935381953821</v>
      </c>
      <c r="G399" s="236">
        <v>36.549999999999997</v>
      </c>
      <c r="H399" s="79"/>
      <c r="I399" s="79"/>
    </row>
    <row r="400" spans="1:9" ht="28.5" hidden="1" customHeight="1">
      <c r="A400" s="79"/>
      <c r="B400" s="239"/>
      <c r="C400" s="239"/>
      <c r="D400" s="239"/>
      <c r="E400" s="234" t="s">
        <v>736</v>
      </c>
      <c r="F400" s="234"/>
      <c r="G400" s="240"/>
      <c r="H400" s="79"/>
      <c r="I400" s="79"/>
    </row>
    <row r="401" spans="1:9" ht="15.75" hidden="1" customHeight="1">
      <c r="A401" s="79"/>
      <c r="B401" s="232">
        <v>45824</v>
      </c>
      <c r="C401" s="233">
        <v>0</v>
      </c>
      <c r="D401" s="233">
        <v>14397</v>
      </c>
      <c r="E401" s="237" t="s">
        <v>57</v>
      </c>
      <c r="F401" s="238">
        <v>500984755915241</v>
      </c>
      <c r="G401" s="236">
        <v>12781.21</v>
      </c>
      <c r="H401" s="79"/>
      <c r="I401" s="79"/>
    </row>
    <row r="402" spans="1:9" ht="28.5" hidden="1" customHeight="1">
      <c r="A402" s="79"/>
      <c r="B402" s="239"/>
      <c r="C402" s="239"/>
      <c r="D402" s="239"/>
      <c r="E402" s="234" t="s">
        <v>737</v>
      </c>
      <c r="F402" s="234"/>
      <c r="G402" s="240"/>
      <c r="H402" s="79"/>
      <c r="I402" s="79"/>
    </row>
    <row r="403" spans="1:9" ht="15.75" hidden="1" customHeight="1">
      <c r="A403" s="79"/>
      <c r="B403" s="232">
        <v>45824</v>
      </c>
      <c r="C403" s="233">
        <v>0</v>
      </c>
      <c r="D403" s="233">
        <v>13105</v>
      </c>
      <c r="E403" s="237" t="s">
        <v>80</v>
      </c>
      <c r="F403" s="238">
        <v>61601</v>
      </c>
      <c r="G403" s="242">
        <v>1018.15</v>
      </c>
      <c r="H403" s="79"/>
      <c r="I403" s="79"/>
    </row>
    <row r="404" spans="1:9" ht="15.75" hidden="1" customHeight="1">
      <c r="A404" s="79"/>
      <c r="B404" s="239"/>
      <c r="C404" s="239"/>
      <c r="D404" s="239"/>
      <c r="E404" s="234" t="s">
        <v>81</v>
      </c>
      <c r="F404" s="234"/>
      <c r="G404" s="240"/>
      <c r="H404" s="79"/>
      <c r="I404" s="79"/>
    </row>
    <row r="405" spans="1:9" ht="15.75" hidden="1" customHeight="1">
      <c r="A405" s="79"/>
      <c r="B405" s="232">
        <v>45824</v>
      </c>
      <c r="C405" s="233">
        <v>0</v>
      </c>
      <c r="D405" s="233">
        <v>13105</v>
      </c>
      <c r="E405" s="237" t="s">
        <v>31</v>
      </c>
      <c r="F405" s="238">
        <v>61602</v>
      </c>
      <c r="G405" s="242">
        <v>111.24</v>
      </c>
      <c r="H405" s="79"/>
      <c r="I405" s="79"/>
    </row>
    <row r="406" spans="1:9" ht="15.75" hidden="1" customHeight="1">
      <c r="A406" s="79"/>
      <c r="B406" s="239"/>
      <c r="C406" s="239"/>
      <c r="D406" s="239"/>
      <c r="E406" s="234" t="s">
        <v>441</v>
      </c>
      <c r="F406" s="234"/>
      <c r="G406" s="240"/>
      <c r="H406" s="79"/>
      <c r="I406" s="79"/>
    </row>
    <row r="407" spans="1:9" ht="15.75" hidden="1" customHeight="1">
      <c r="A407" s="79"/>
      <c r="B407" s="232">
        <v>45824</v>
      </c>
      <c r="C407" s="233">
        <v>0</v>
      </c>
      <c r="D407" s="233">
        <v>13105</v>
      </c>
      <c r="E407" s="237" t="s">
        <v>31</v>
      </c>
      <c r="F407" s="238">
        <v>61603</v>
      </c>
      <c r="G407" s="242">
        <v>888.96</v>
      </c>
      <c r="H407" s="79"/>
      <c r="I407" s="79"/>
    </row>
    <row r="408" spans="1:9" ht="15.75" hidden="1" customHeight="1">
      <c r="A408" s="79"/>
      <c r="B408" s="239"/>
      <c r="C408" s="239"/>
      <c r="D408" s="239"/>
      <c r="E408" s="234" t="s">
        <v>440</v>
      </c>
      <c r="F408" s="234"/>
      <c r="G408" s="240"/>
      <c r="H408" s="79"/>
      <c r="I408" s="79"/>
    </row>
    <row r="409" spans="1:9" ht="15.75" hidden="1" customHeight="1">
      <c r="A409" s="79"/>
      <c r="B409" s="232">
        <v>45824</v>
      </c>
      <c r="C409" s="233">
        <v>0</v>
      </c>
      <c r="D409" s="233">
        <v>13105</v>
      </c>
      <c r="E409" s="237" t="s">
        <v>31</v>
      </c>
      <c r="F409" s="238">
        <v>61604</v>
      </c>
      <c r="G409" s="242">
        <v>1666.66</v>
      </c>
      <c r="H409" s="79"/>
      <c r="I409" s="79"/>
    </row>
    <row r="410" spans="1:9" ht="28.5" hidden="1" customHeight="1">
      <c r="A410" s="79"/>
      <c r="B410" s="239"/>
      <c r="C410" s="239"/>
      <c r="D410" s="239"/>
      <c r="E410" s="234" t="s">
        <v>32</v>
      </c>
      <c r="F410" s="234"/>
      <c r="G410" s="240"/>
      <c r="H410" s="79"/>
      <c r="I410" s="79"/>
    </row>
    <row r="411" spans="1:9" ht="15.75" hidden="1" customHeight="1">
      <c r="A411" s="79"/>
      <c r="B411" s="232">
        <v>45824</v>
      </c>
      <c r="C411" s="233">
        <v>0</v>
      </c>
      <c r="D411" s="233">
        <v>13105</v>
      </c>
      <c r="E411" s="237" t="s">
        <v>123</v>
      </c>
      <c r="F411" s="238">
        <v>61605</v>
      </c>
      <c r="G411" s="242">
        <v>123.45</v>
      </c>
      <c r="H411" s="79"/>
      <c r="I411" s="79"/>
    </row>
    <row r="412" spans="1:9" ht="15.75" hidden="1" customHeight="1">
      <c r="A412" s="79"/>
      <c r="B412" s="239"/>
      <c r="C412" s="239"/>
      <c r="D412" s="239"/>
      <c r="E412" s="234" t="s">
        <v>124</v>
      </c>
      <c r="F412" s="234"/>
      <c r="G412" s="240"/>
      <c r="H412" s="79"/>
      <c r="I412" s="79"/>
    </row>
    <row r="413" spans="1:9" ht="15.75" hidden="1" customHeight="1">
      <c r="A413" s="79"/>
      <c r="B413" s="232">
        <v>45824</v>
      </c>
      <c r="C413" s="233">
        <v>0</v>
      </c>
      <c r="D413" s="233">
        <v>13105</v>
      </c>
      <c r="E413" s="237" t="s">
        <v>31</v>
      </c>
      <c r="F413" s="238">
        <v>61606</v>
      </c>
      <c r="G413" s="242">
        <v>280.8</v>
      </c>
      <c r="H413" s="79"/>
      <c r="I413" s="79"/>
    </row>
    <row r="414" spans="1:9" ht="15.75" hidden="1" customHeight="1">
      <c r="A414" s="79"/>
      <c r="B414" s="239"/>
      <c r="C414" s="239"/>
      <c r="D414" s="239"/>
      <c r="E414" s="234" t="s">
        <v>51</v>
      </c>
      <c r="F414" s="234"/>
      <c r="G414" s="240"/>
      <c r="H414" s="79"/>
      <c r="I414" s="79"/>
    </row>
    <row r="415" spans="1:9" ht="15.75" hidden="1" customHeight="1">
      <c r="A415" s="79"/>
      <c r="B415" s="232">
        <v>45824</v>
      </c>
      <c r="C415" s="233">
        <v>0</v>
      </c>
      <c r="D415" s="233">
        <v>13105</v>
      </c>
      <c r="E415" s="237" t="s">
        <v>31</v>
      </c>
      <c r="F415" s="238">
        <v>61607</v>
      </c>
      <c r="G415" s="242">
        <v>339.37</v>
      </c>
      <c r="H415" s="79"/>
      <c r="I415" s="79"/>
    </row>
    <row r="416" spans="1:9" ht="28.5" hidden="1" customHeight="1">
      <c r="A416" s="79"/>
      <c r="B416" s="239"/>
      <c r="C416" s="239"/>
      <c r="D416" s="239"/>
      <c r="E416" s="234" t="s">
        <v>396</v>
      </c>
      <c r="F416" s="234"/>
      <c r="G416" s="240"/>
      <c r="H416" s="79"/>
      <c r="I416" s="79"/>
    </row>
    <row r="417" spans="1:9" ht="15.75" hidden="1" customHeight="1">
      <c r="A417" s="79"/>
      <c r="B417" s="232">
        <v>45824</v>
      </c>
      <c r="C417" s="233">
        <v>0</v>
      </c>
      <c r="D417" s="233">
        <v>13105</v>
      </c>
      <c r="E417" s="237" t="s">
        <v>31</v>
      </c>
      <c r="F417" s="238">
        <v>61608</v>
      </c>
      <c r="G417" s="242">
        <v>240.44</v>
      </c>
      <c r="H417" s="79"/>
      <c r="I417" s="79"/>
    </row>
    <row r="418" spans="1:9" ht="15.75" hidden="1" customHeight="1">
      <c r="A418" s="79"/>
      <c r="B418" s="239"/>
      <c r="C418" s="239"/>
      <c r="D418" s="239"/>
      <c r="E418" s="234" t="s">
        <v>111</v>
      </c>
      <c r="F418" s="234"/>
      <c r="G418" s="240"/>
      <c r="H418" s="79"/>
      <c r="I418" s="79"/>
    </row>
    <row r="419" spans="1:9" ht="15.75" hidden="1" customHeight="1">
      <c r="A419" s="79"/>
      <c r="B419" s="232">
        <v>45824</v>
      </c>
      <c r="C419" s="233">
        <v>0</v>
      </c>
      <c r="D419" s="233">
        <v>13105</v>
      </c>
      <c r="E419" s="237" t="s">
        <v>31</v>
      </c>
      <c r="F419" s="238">
        <v>61609</v>
      </c>
      <c r="G419" s="242">
        <v>149</v>
      </c>
      <c r="H419" s="79"/>
      <c r="I419" s="79"/>
    </row>
    <row r="420" spans="1:9" ht="15.75" hidden="1" customHeight="1">
      <c r="A420" s="79"/>
      <c r="B420" s="239"/>
      <c r="C420" s="239"/>
      <c r="D420" s="239"/>
      <c r="E420" s="234" t="s">
        <v>111</v>
      </c>
      <c r="F420" s="234"/>
      <c r="G420" s="240"/>
      <c r="H420" s="79"/>
      <c r="I420" s="79"/>
    </row>
    <row r="421" spans="1:9" ht="15.75" hidden="1" customHeight="1">
      <c r="A421" s="79"/>
      <c r="B421" s="232">
        <v>45824</v>
      </c>
      <c r="C421" s="233">
        <v>0</v>
      </c>
      <c r="D421" s="233">
        <v>13105</v>
      </c>
      <c r="E421" s="237" t="s">
        <v>31</v>
      </c>
      <c r="F421" s="238">
        <v>61610</v>
      </c>
      <c r="G421" s="242">
        <v>3850</v>
      </c>
      <c r="H421" s="79"/>
      <c r="I421" s="79"/>
    </row>
    <row r="422" spans="1:9" ht="15.75" hidden="1" customHeight="1">
      <c r="A422" s="79"/>
      <c r="B422" s="239"/>
      <c r="C422" s="239"/>
      <c r="D422" s="239"/>
      <c r="E422" s="234" t="s">
        <v>173</v>
      </c>
      <c r="F422" s="234"/>
      <c r="G422" s="240"/>
      <c r="H422" s="79"/>
      <c r="I422" s="79"/>
    </row>
    <row r="423" spans="1:9" ht="15.75" hidden="1" customHeight="1">
      <c r="A423" s="79"/>
      <c r="B423" s="232">
        <v>45824</v>
      </c>
      <c r="C423" s="233">
        <v>0</v>
      </c>
      <c r="D423" s="233">
        <v>13105</v>
      </c>
      <c r="E423" s="237" t="s">
        <v>31</v>
      </c>
      <c r="F423" s="238">
        <v>61611</v>
      </c>
      <c r="G423" s="242">
        <v>5752.29</v>
      </c>
      <c r="H423" s="79"/>
      <c r="I423" s="79"/>
    </row>
    <row r="424" spans="1:9" ht="28.5" hidden="1" customHeight="1">
      <c r="A424" s="79"/>
      <c r="B424" s="239"/>
      <c r="C424" s="239"/>
      <c r="D424" s="239"/>
      <c r="E424" s="234" t="s">
        <v>32</v>
      </c>
      <c r="F424" s="234"/>
      <c r="G424" s="240"/>
      <c r="H424" s="79"/>
      <c r="I424" s="79"/>
    </row>
    <row r="425" spans="1:9" ht="15.75" hidden="1" customHeight="1">
      <c r="A425" s="79"/>
      <c r="B425" s="232">
        <v>45824</v>
      </c>
      <c r="C425" s="233">
        <v>0</v>
      </c>
      <c r="D425" s="233">
        <v>13105</v>
      </c>
      <c r="E425" s="237" t="s">
        <v>31</v>
      </c>
      <c r="F425" s="238">
        <v>61612</v>
      </c>
      <c r="G425" s="242">
        <v>5020.3999999999996</v>
      </c>
      <c r="H425" s="79"/>
      <c r="I425" s="79"/>
    </row>
    <row r="426" spans="1:9" ht="28.5" hidden="1" customHeight="1">
      <c r="A426" s="79"/>
      <c r="B426" s="239"/>
      <c r="C426" s="239"/>
      <c r="D426" s="239"/>
      <c r="E426" s="234" t="s">
        <v>32</v>
      </c>
      <c r="F426" s="234"/>
      <c r="G426" s="240"/>
      <c r="H426" s="79"/>
      <c r="I426" s="79"/>
    </row>
    <row r="427" spans="1:9" ht="15.75" hidden="1" customHeight="1">
      <c r="A427" s="79"/>
      <c r="B427" s="232">
        <v>45824</v>
      </c>
      <c r="C427" s="233">
        <v>0</v>
      </c>
      <c r="D427" s="233">
        <v>13105</v>
      </c>
      <c r="E427" s="237" t="s">
        <v>31</v>
      </c>
      <c r="F427" s="238">
        <v>61613</v>
      </c>
      <c r="G427" s="242">
        <v>1479.73</v>
      </c>
      <c r="H427" s="79"/>
      <c r="I427" s="79"/>
    </row>
    <row r="428" spans="1:9" ht="15.75" hidden="1" customHeight="1">
      <c r="A428" s="79"/>
      <c r="B428" s="239"/>
      <c r="C428" s="239"/>
      <c r="D428" s="239"/>
      <c r="E428" s="234" t="s">
        <v>66</v>
      </c>
      <c r="F428" s="234"/>
      <c r="G428" s="240"/>
      <c r="H428" s="79"/>
      <c r="I428" s="79"/>
    </row>
    <row r="429" spans="1:9" ht="15.75" hidden="1" customHeight="1">
      <c r="A429" s="79"/>
      <c r="B429" s="232">
        <v>45824</v>
      </c>
      <c r="C429" s="233">
        <v>0</v>
      </c>
      <c r="D429" s="233">
        <v>0</v>
      </c>
      <c r="E429" s="237" t="s">
        <v>59</v>
      </c>
      <c r="F429" s="238">
        <v>9903</v>
      </c>
      <c r="G429" s="242">
        <v>397.27</v>
      </c>
      <c r="H429" s="79"/>
      <c r="I429" s="79"/>
    </row>
    <row r="430" spans="1:9" ht="15.75" hidden="1" customHeight="1">
      <c r="A430" s="79"/>
      <c r="B430" s="239"/>
      <c r="C430" s="239"/>
      <c r="D430" s="239"/>
      <c r="E430" s="234" t="s">
        <v>53</v>
      </c>
      <c r="F430" s="234"/>
      <c r="G430" s="240"/>
      <c r="H430" s="79"/>
      <c r="I430" s="79"/>
    </row>
    <row r="431" spans="1:9" ht="15.75" hidden="1" customHeight="1">
      <c r="A431" s="79"/>
      <c r="B431" s="232">
        <v>45825</v>
      </c>
      <c r="C431" s="233">
        <v>0</v>
      </c>
      <c r="D431" s="233">
        <v>14397</v>
      </c>
      <c r="E431" s="237" t="s">
        <v>57</v>
      </c>
      <c r="F431" s="238">
        <v>171011407673362</v>
      </c>
      <c r="G431" s="236">
        <v>16.78</v>
      </c>
      <c r="H431" s="79"/>
      <c r="I431" s="79"/>
    </row>
    <row r="432" spans="1:9" ht="28.5" hidden="1" customHeight="1">
      <c r="A432" s="79"/>
      <c r="B432" s="239"/>
      <c r="C432" s="239"/>
      <c r="D432" s="239"/>
      <c r="E432" s="234" t="s">
        <v>738</v>
      </c>
      <c r="F432" s="234"/>
      <c r="G432" s="240"/>
      <c r="H432" s="79"/>
      <c r="I432" s="79"/>
    </row>
    <row r="433" spans="1:19" ht="15.75" customHeight="1">
      <c r="A433" s="130" t="s">
        <v>140</v>
      </c>
      <c r="B433" s="232">
        <v>45825</v>
      </c>
      <c r="C433" s="233">
        <v>0</v>
      </c>
      <c r="D433" s="233">
        <v>14138</v>
      </c>
      <c r="E433" s="241" t="s">
        <v>141</v>
      </c>
      <c r="F433" s="238">
        <v>202506160000143</v>
      </c>
      <c r="G433" s="236">
        <v>9693.83</v>
      </c>
      <c r="H433" s="2" t="s">
        <v>739</v>
      </c>
      <c r="I433" s="79" t="s">
        <v>428</v>
      </c>
      <c r="J433" s="79"/>
      <c r="K433" s="79"/>
      <c r="L433" s="79"/>
      <c r="M433" s="79"/>
      <c r="N433" s="79"/>
      <c r="O433" s="79"/>
      <c r="P433" s="79"/>
      <c r="Q433" s="79"/>
      <c r="R433" s="79"/>
      <c r="S433" s="79"/>
    </row>
    <row r="434" spans="1:19" ht="15.75" hidden="1" customHeight="1">
      <c r="A434" s="79"/>
      <c r="B434" s="239"/>
      <c r="C434" s="239"/>
      <c r="D434" s="239"/>
      <c r="E434" s="234" t="s">
        <v>143</v>
      </c>
      <c r="F434" s="234"/>
      <c r="G434" s="240"/>
      <c r="H434" s="79"/>
      <c r="I434" s="79"/>
    </row>
    <row r="435" spans="1:19" ht="15.75" customHeight="1">
      <c r="A435" s="130" t="s">
        <v>140</v>
      </c>
      <c r="B435" s="232">
        <v>45825</v>
      </c>
      <c r="C435" s="233">
        <v>0</v>
      </c>
      <c r="D435" s="233">
        <v>14138</v>
      </c>
      <c r="E435" s="241" t="s">
        <v>141</v>
      </c>
      <c r="F435" s="238">
        <v>202506160000144</v>
      </c>
      <c r="G435" s="236">
        <v>1232.8399999999999</v>
      </c>
      <c r="H435" s="2">
        <v>3401</v>
      </c>
      <c r="I435" s="79" t="s">
        <v>428</v>
      </c>
      <c r="J435" s="79"/>
      <c r="K435" s="79"/>
      <c r="L435" s="79"/>
      <c r="M435" s="79"/>
      <c r="N435" s="79"/>
      <c r="O435" s="79"/>
      <c r="P435" s="79"/>
      <c r="Q435" s="79"/>
      <c r="R435" s="79"/>
      <c r="S435" s="79"/>
    </row>
    <row r="436" spans="1:19" ht="15.75" hidden="1" customHeight="1">
      <c r="A436" s="79"/>
      <c r="B436" s="239"/>
      <c r="C436" s="239"/>
      <c r="D436" s="239"/>
      <c r="E436" s="234" t="s">
        <v>143</v>
      </c>
      <c r="F436" s="234"/>
      <c r="G436" s="240"/>
      <c r="H436" s="79"/>
      <c r="I436" s="79"/>
    </row>
    <row r="437" spans="1:19" ht="15.75" customHeight="1">
      <c r="A437" s="130" t="s">
        <v>140</v>
      </c>
      <c r="B437" s="232">
        <v>45825</v>
      </c>
      <c r="C437" s="233">
        <v>0</v>
      </c>
      <c r="D437" s="233">
        <v>14138</v>
      </c>
      <c r="E437" s="241" t="s">
        <v>141</v>
      </c>
      <c r="F437" s="238">
        <v>202506160000201</v>
      </c>
      <c r="G437" s="236">
        <v>716.28</v>
      </c>
      <c r="H437" s="2">
        <v>3440</v>
      </c>
      <c r="I437" s="79" t="s">
        <v>428</v>
      </c>
      <c r="J437" s="79"/>
      <c r="K437" s="79"/>
      <c r="L437" s="79"/>
      <c r="M437" s="79"/>
      <c r="N437" s="79"/>
      <c r="O437" s="79"/>
      <c r="P437" s="79"/>
      <c r="Q437" s="79"/>
      <c r="R437" s="79"/>
      <c r="S437" s="79"/>
    </row>
    <row r="438" spans="1:19" ht="15.75" hidden="1" customHeight="1">
      <c r="A438" s="79"/>
      <c r="B438" s="239"/>
      <c r="C438" s="239"/>
      <c r="D438" s="239"/>
      <c r="E438" s="234" t="s">
        <v>143</v>
      </c>
      <c r="F438" s="234"/>
      <c r="G438" s="240"/>
      <c r="H438" s="79"/>
      <c r="I438" s="79"/>
    </row>
    <row r="439" spans="1:19" ht="15.75" customHeight="1">
      <c r="A439" s="130" t="s">
        <v>140</v>
      </c>
      <c r="B439" s="232">
        <v>45825</v>
      </c>
      <c r="C439" s="233">
        <v>0</v>
      </c>
      <c r="D439" s="233">
        <v>14138</v>
      </c>
      <c r="E439" s="241" t="s">
        <v>141</v>
      </c>
      <c r="F439" s="238">
        <v>202506160000202</v>
      </c>
      <c r="G439" s="236">
        <v>1688.89</v>
      </c>
      <c r="H439" s="2">
        <v>3441</v>
      </c>
      <c r="I439" s="79" t="s">
        <v>428</v>
      </c>
      <c r="J439" s="79"/>
      <c r="K439" s="79"/>
      <c r="L439" s="79"/>
      <c r="M439" s="79"/>
      <c r="N439" s="79"/>
      <c r="O439" s="79"/>
      <c r="P439" s="79"/>
      <c r="Q439" s="79"/>
      <c r="R439" s="79"/>
      <c r="S439" s="79"/>
    </row>
    <row r="440" spans="1:19" ht="15.75" hidden="1" customHeight="1">
      <c r="A440" s="79"/>
      <c r="B440" s="239"/>
      <c r="C440" s="239"/>
      <c r="D440" s="239"/>
      <c r="E440" s="234" t="s">
        <v>143</v>
      </c>
      <c r="F440" s="234"/>
      <c r="G440" s="240"/>
      <c r="H440" s="79"/>
      <c r="I440" s="79"/>
    </row>
    <row r="441" spans="1:19" ht="15.75" hidden="1" customHeight="1">
      <c r="A441" s="79"/>
      <c r="B441" s="232">
        <v>45825</v>
      </c>
      <c r="C441" s="233">
        <v>1533</v>
      </c>
      <c r="D441" s="233">
        <v>99008</v>
      </c>
      <c r="E441" s="237" t="s">
        <v>29</v>
      </c>
      <c r="F441" s="238">
        <v>393074</v>
      </c>
      <c r="G441" s="242">
        <v>187.72</v>
      </c>
      <c r="H441" s="79"/>
      <c r="I441" s="79"/>
    </row>
    <row r="442" spans="1:19" ht="15.75" hidden="1" customHeight="1">
      <c r="A442" s="79"/>
      <c r="B442" s="239"/>
      <c r="C442" s="239"/>
      <c r="D442" s="239"/>
      <c r="E442" s="234" t="s">
        <v>740</v>
      </c>
      <c r="F442" s="234"/>
      <c r="G442" s="240"/>
      <c r="H442" s="79"/>
      <c r="I442" s="79"/>
    </row>
    <row r="443" spans="1:19" ht="15.75" hidden="1" customHeight="1">
      <c r="A443" s="79"/>
      <c r="B443" s="232">
        <v>45825</v>
      </c>
      <c r="C443" s="233">
        <v>0</v>
      </c>
      <c r="D443" s="233">
        <v>13105</v>
      </c>
      <c r="E443" s="237" t="s">
        <v>80</v>
      </c>
      <c r="F443" s="238">
        <v>61701</v>
      </c>
      <c r="G443" s="242">
        <v>513.77</v>
      </c>
      <c r="H443" s="79"/>
      <c r="I443" s="79"/>
    </row>
    <row r="444" spans="1:19" ht="15.75" hidden="1" customHeight="1">
      <c r="A444" s="79"/>
      <c r="B444" s="239"/>
      <c r="C444" s="239"/>
      <c r="D444" s="239"/>
      <c r="E444" s="234" t="s">
        <v>81</v>
      </c>
      <c r="F444" s="234"/>
      <c r="G444" s="240"/>
      <c r="H444" s="79"/>
      <c r="I444" s="79"/>
    </row>
    <row r="445" spans="1:19" ht="15.75" hidden="1" customHeight="1">
      <c r="A445" s="79"/>
      <c r="B445" s="232">
        <v>45825</v>
      </c>
      <c r="C445" s="233">
        <v>0</v>
      </c>
      <c r="D445" s="233">
        <v>13105</v>
      </c>
      <c r="E445" s="237" t="s">
        <v>31</v>
      </c>
      <c r="F445" s="238">
        <v>61702</v>
      </c>
      <c r="G445" s="242">
        <v>4890</v>
      </c>
      <c r="H445" s="79"/>
      <c r="I445" s="79"/>
    </row>
    <row r="446" spans="1:19" ht="28.5" hidden="1" customHeight="1">
      <c r="A446" s="79"/>
      <c r="B446" s="239"/>
      <c r="C446" s="239"/>
      <c r="D446" s="239"/>
      <c r="E446" s="234" t="s">
        <v>32</v>
      </c>
      <c r="F446" s="234"/>
      <c r="G446" s="240"/>
      <c r="H446" s="79"/>
      <c r="I446" s="79"/>
    </row>
    <row r="447" spans="1:19" ht="15.75" hidden="1" customHeight="1">
      <c r="A447" s="79"/>
      <c r="B447" s="232">
        <v>45825</v>
      </c>
      <c r="C447" s="233">
        <v>0</v>
      </c>
      <c r="D447" s="233">
        <v>13105</v>
      </c>
      <c r="E447" s="237" t="s">
        <v>31</v>
      </c>
      <c r="F447" s="238">
        <v>61703</v>
      </c>
      <c r="G447" s="242">
        <v>1129.77</v>
      </c>
      <c r="H447" s="79"/>
      <c r="I447" s="79"/>
    </row>
    <row r="448" spans="1:19" ht="15.75" hidden="1" customHeight="1">
      <c r="A448" s="79"/>
      <c r="B448" s="239"/>
      <c r="C448" s="239"/>
      <c r="D448" s="239"/>
      <c r="E448" s="234" t="s">
        <v>441</v>
      </c>
      <c r="F448" s="234"/>
      <c r="G448" s="240"/>
      <c r="H448" s="79"/>
      <c r="I448" s="79"/>
    </row>
    <row r="449" spans="1:9" ht="15.75" hidden="1" customHeight="1">
      <c r="A449" s="79"/>
      <c r="B449" s="232">
        <v>45825</v>
      </c>
      <c r="C449" s="233">
        <v>0</v>
      </c>
      <c r="D449" s="233">
        <v>13105</v>
      </c>
      <c r="E449" s="237" t="s">
        <v>31</v>
      </c>
      <c r="F449" s="238">
        <v>61704</v>
      </c>
      <c r="G449" s="242">
        <v>206.71</v>
      </c>
      <c r="H449" s="79"/>
      <c r="I449" s="79"/>
    </row>
    <row r="450" spans="1:9" ht="15.75" hidden="1" customHeight="1">
      <c r="A450" s="79"/>
      <c r="B450" s="239"/>
      <c r="C450" s="239"/>
      <c r="D450" s="239"/>
      <c r="E450" s="234" t="s">
        <v>96</v>
      </c>
      <c r="F450" s="234"/>
      <c r="G450" s="240"/>
      <c r="H450" s="79"/>
      <c r="I450" s="79"/>
    </row>
    <row r="451" spans="1:9" ht="15.75" hidden="1" customHeight="1">
      <c r="A451" s="79"/>
      <c r="B451" s="232">
        <v>45825</v>
      </c>
      <c r="C451" s="233">
        <v>0</v>
      </c>
      <c r="D451" s="233">
        <v>13105</v>
      </c>
      <c r="E451" s="237" t="s">
        <v>31</v>
      </c>
      <c r="F451" s="238">
        <v>61705</v>
      </c>
      <c r="G451" s="242">
        <v>465.56</v>
      </c>
      <c r="H451" s="79"/>
      <c r="I451" s="79"/>
    </row>
    <row r="452" spans="1:9" ht="28.5" hidden="1" customHeight="1">
      <c r="A452" s="79"/>
      <c r="B452" s="239"/>
      <c r="C452" s="239"/>
      <c r="D452" s="239"/>
      <c r="E452" s="234" t="s">
        <v>41</v>
      </c>
      <c r="F452" s="234"/>
      <c r="G452" s="240"/>
      <c r="H452" s="79"/>
      <c r="I452" s="79"/>
    </row>
    <row r="453" spans="1:9" ht="15.75" hidden="1" customHeight="1">
      <c r="A453" s="79"/>
      <c r="B453" s="232">
        <v>45825</v>
      </c>
      <c r="C453" s="233">
        <v>0</v>
      </c>
      <c r="D453" s="233">
        <v>13105</v>
      </c>
      <c r="E453" s="237" t="s">
        <v>31</v>
      </c>
      <c r="F453" s="238">
        <v>61706</v>
      </c>
      <c r="G453" s="242">
        <v>591</v>
      </c>
      <c r="H453" s="79"/>
      <c r="I453" s="79"/>
    </row>
    <row r="454" spans="1:9" ht="28.5" hidden="1" customHeight="1">
      <c r="A454" s="79"/>
      <c r="B454" s="239"/>
      <c r="C454" s="239"/>
      <c r="D454" s="239"/>
      <c r="E454" s="234" t="s">
        <v>41</v>
      </c>
      <c r="F454" s="234"/>
      <c r="G454" s="240"/>
      <c r="H454" s="79"/>
      <c r="I454" s="79"/>
    </row>
    <row r="455" spans="1:9" ht="15.75" hidden="1" customHeight="1">
      <c r="A455" s="79"/>
      <c r="B455" s="232">
        <v>45825</v>
      </c>
      <c r="C455" s="233">
        <v>0</v>
      </c>
      <c r="D455" s="233">
        <v>13105</v>
      </c>
      <c r="E455" s="237" t="s">
        <v>31</v>
      </c>
      <c r="F455" s="238">
        <v>61707</v>
      </c>
      <c r="G455" s="242">
        <v>189.9</v>
      </c>
      <c r="H455" s="79"/>
      <c r="I455" s="79"/>
    </row>
    <row r="456" spans="1:9" ht="15.75" hidden="1" customHeight="1">
      <c r="A456" s="79"/>
      <c r="B456" s="239"/>
      <c r="C456" s="239"/>
      <c r="D456" s="239"/>
      <c r="E456" s="234" t="s">
        <v>266</v>
      </c>
      <c r="F456" s="234"/>
      <c r="G456" s="240"/>
      <c r="H456" s="79"/>
      <c r="I456" s="79"/>
    </row>
    <row r="457" spans="1:9" ht="15.75" hidden="1" customHeight="1">
      <c r="A457" s="79"/>
      <c r="B457" s="232">
        <v>45825</v>
      </c>
      <c r="C457" s="233">
        <v>0</v>
      </c>
      <c r="D457" s="233">
        <v>13105</v>
      </c>
      <c r="E457" s="237" t="s">
        <v>31</v>
      </c>
      <c r="F457" s="238">
        <v>61708</v>
      </c>
      <c r="G457" s="242">
        <v>623.24</v>
      </c>
      <c r="H457" s="79"/>
      <c r="I457" s="79"/>
    </row>
    <row r="458" spans="1:9" ht="15.75" hidden="1" customHeight="1">
      <c r="A458" s="79"/>
      <c r="B458" s="239"/>
      <c r="C458" s="239"/>
      <c r="D458" s="239"/>
      <c r="E458" s="234" t="s">
        <v>46</v>
      </c>
      <c r="F458" s="234"/>
      <c r="G458" s="240"/>
      <c r="H458" s="79"/>
      <c r="I458" s="79"/>
    </row>
    <row r="459" spans="1:9" ht="15.75" hidden="1" customHeight="1">
      <c r="A459" s="79"/>
      <c r="B459" s="232">
        <v>45825</v>
      </c>
      <c r="C459" s="233">
        <v>0</v>
      </c>
      <c r="D459" s="233">
        <v>13105</v>
      </c>
      <c r="E459" s="237" t="s">
        <v>31</v>
      </c>
      <c r="F459" s="238">
        <v>61709</v>
      </c>
      <c r="G459" s="242">
        <v>91.97</v>
      </c>
      <c r="H459" s="79"/>
      <c r="I459" s="79"/>
    </row>
    <row r="460" spans="1:9" ht="15.75" hidden="1" customHeight="1">
      <c r="A460" s="79"/>
      <c r="B460" s="239"/>
      <c r="C460" s="239"/>
      <c r="D460" s="239"/>
      <c r="E460" s="234" t="s">
        <v>46</v>
      </c>
      <c r="F460" s="234"/>
      <c r="G460" s="240"/>
      <c r="H460" s="79"/>
      <c r="I460" s="79"/>
    </row>
    <row r="461" spans="1:9" ht="15.75" hidden="1" customHeight="1">
      <c r="A461" s="79"/>
      <c r="B461" s="232">
        <v>45825</v>
      </c>
      <c r="C461" s="233">
        <v>0</v>
      </c>
      <c r="D461" s="233">
        <v>13105</v>
      </c>
      <c r="E461" s="237" t="s">
        <v>31</v>
      </c>
      <c r="F461" s="238">
        <v>61710</v>
      </c>
      <c r="G461" s="242">
        <v>432.77</v>
      </c>
      <c r="H461" s="79"/>
      <c r="I461" s="79"/>
    </row>
    <row r="462" spans="1:9" ht="28.5" hidden="1" customHeight="1">
      <c r="A462" s="79"/>
      <c r="B462" s="239"/>
      <c r="C462" s="239"/>
      <c r="D462" s="239"/>
      <c r="E462" s="234" t="s">
        <v>45</v>
      </c>
      <c r="F462" s="234"/>
      <c r="G462" s="240"/>
      <c r="H462" s="79"/>
      <c r="I462" s="79"/>
    </row>
    <row r="463" spans="1:9" ht="15.75" hidden="1" customHeight="1">
      <c r="A463" s="79"/>
      <c r="B463" s="232">
        <v>45825</v>
      </c>
      <c r="C463" s="233">
        <v>0</v>
      </c>
      <c r="D463" s="233">
        <v>13105</v>
      </c>
      <c r="E463" s="237" t="s">
        <v>31</v>
      </c>
      <c r="F463" s="238">
        <v>61711</v>
      </c>
      <c r="G463" s="242">
        <v>396.4</v>
      </c>
      <c r="H463" s="79"/>
      <c r="I463" s="79"/>
    </row>
    <row r="464" spans="1:9" ht="28.5" hidden="1" customHeight="1">
      <c r="A464" s="79"/>
      <c r="B464" s="239"/>
      <c r="C464" s="239"/>
      <c r="D464" s="239"/>
      <c r="E464" s="234" t="s">
        <v>45</v>
      </c>
      <c r="F464" s="234"/>
      <c r="G464" s="240"/>
      <c r="H464" s="79"/>
      <c r="I464" s="79"/>
    </row>
    <row r="465" spans="1:9" ht="15.75" hidden="1" customHeight="1">
      <c r="A465" s="79"/>
      <c r="B465" s="232">
        <v>45825</v>
      </c>
      <c r="C465" s="233">
        <v>0</v>
      </c>
      <c r="D465" s="233">
        <v>13105</v>
      </c>
      <c r="E465" s="237" t="s">
        <v>31</v>
      </c>
      <c r="F465" s="238">
        <v>61712</v>
      </c>
      <c r="G465" s="242">
        <v>337.17</v>
      </c>
      <c r="H465" s="79"/>
      <c r="I465" s="79"/>
    </row>
    <row r="466" spans="1:9" ht="28.5" hidden="1" customHeight="1">
      <c r="A466" s="79"/>
      <c r="B466" s="239"/>
      <c r="C466" s="239"/>
      <c r="D466" s="239"/>
      <c r="E466" s="234" t="s">
        <v>45</v>
      </c>
      <c r="F466" s="234"/>
      <c r="G466" s="240"/>
      <c r="H466" s="79"/>
      <c r="I466" s="79"/>
    </row>
    <row r="467" spans="1:9" ht="15.75" hidden="1" customHeight="1">
      <c r="A467" s="79"/>
      <c r="B467" s="232">
        <v>45825</v>
      </c>
      <c r="C467" s="233">
        <v>0</v>
      </c>
      <c r="D467" s="233">
        <v>13105</v>
      </c>
      <c r="E467" s="237" t="s">
        <v>31</v>
      </c>
      <c r="F467" s="238">
        <v>61713</v>
      </c>
      <c r="G467" s="242">
        <v>477.47</v>
      </c>
      <c r="H467" s="79"/>
      <c r="I467" s="79"/>
    </row>
    <row r="468" spans="1:9" ht="15.75" hidden="1" customHeight="1">
      <c r="A468" s="79"/>
      <c r="B468" s="239"/>
      <c r="C468" s="239"/>
      <c r="D468" s="239"/>
      <c r="E468" s="234" t="s">
        <v>247</v>
      </c>
      <c r="F468" s="234"/>
      <c r="G468" s="240"/>
      <c r="H468" s="79"/>
      <c r="I468" s="79"/>
    </row>
    <row r="469" spans="1:9" ht="15.75" hidden="1" customHeight="1">
      <c r="A469" s="79"/>
      <c r="B469" s="232">
        <v>45825</v>
      </c>
      <c r="C469" s="233">
        <v>0</v>
      </c>
      <c r="D469" s="233">
        <v>13105</v>
      </c>
      <c r="E469" s="237" t="s">
        <v>31</v>
      </c>
      <c r="F469" s="238">
        <v>61714</v>
      </c>
      <c r="G469" s="242">
        <v>198.6</v>
      </c>
      <c r="H469" s="79"/>
      <c r="I469" s="79"/>
    </row>
    <row r="470" spans="1:9" ht="15.75" hidden="1" customHeight="1">
      <c r="A470" s="79"/>
      <c r="B470" s="239"/>
      <c r="C470" s="239"/>
      <c r="D470" s="239"/>
      <c r="E470" s="234" t="s">
        <v>47</v>
      </c>
      <c r="F470" s="234"/>
      <c r="G470" s="240"/>
      <c r="H470" s="79"/>
      <c r="I470" s="79"/>
    </row>
    <row r="471" spans="1:9" ht="15.75" hidden="1" customHeight="1">
      <c r="A471" s="79"/>
      <c r="B471" s="232">
        <v>45825</v>
      </c>
      <c r="C471" s="233">
        <v>0</v>
      </c>
      <c r="D471" s="233">
        <v>13105</v>
      </c>
      <c r="E471" s="237" t="s">
        <v>31</v>
      </c>
      <c r="F471" s="238">
        <v>61715</v>
      </c>
      <c r="G471" s="242">
        <v>3058.41</v>
      </c>
      <c r="H471" s="79"/>
      <c r="I471" s="79"/>
    </row>
    <row r="472" spans="1:9" ht="15.75" hidden="1" customHeight="1">
      <c r="A472" s="79"/>
      <c r="B472" s="239"/>
      <c r="C472" s="239"/>
      <c r="D472" s="239"/>
      <c r="E472" s="234" t="s">
        <v>55</v>
      </c>
      <c r="F472" s="234"/>
      <c r="G472" s="240"/>
      <c r="H472" s="79"/>
      <c r="I472" s="79"/>
    </row>
    <row r="473" spans="1:9" ht="15.75" hidden="1" customHeight="1">
      <c r="A473" s="79"/>
      <c r="B473" s="232">
        <v>45825</v>
      </c>
      <c r="C473" s="233">
        <v>0</v>
      </c>
      <c r="D473" s="233">
        <v>0</v>
      </c>
      <c r="E473" s="237" t="s">
        <v>52</v>
      </c>
      <c r="F473" s="238">
        <v>9903</v>
      </c>
      <c r="G473" s="236">
        <v>441.84</v>
      </c>
      <c r="H473" s="79"/>
      <c r="I473" s="79"/>
    </row>
    <row r="474" spans="1:9" ht="15.75" hidden="1" customHeight="1">
      <c r="A474" s="79"/>
      <c r="B474" s="239"/>
      <c r="C474" s="239"/>
      <c r="D474" s="239"/>
      <c r="E474" s="234" t="s">
        <v>53</v>
      </c>
      <c r="F474" s="234"/>
      <c r="G474" s="240"/>
      <c r="H474" s="79"/>
      <c r="I474" s="79"/>
    </row>
    <row r="475" spans="1:9" ht="15.75" hidden="1" customHeight="1">
      <c r="A475" s="79"/>
      <c r="B475" s="232">
        <v>45826</v>
      </c>
      <c r="C475" s="233">
        <v>2878</v>
      </c>
      <c r="D475" s="233">
        <v>99020</v>
      </c>
      <c r="E475" s="237" t="s">
        <v>27</v>
      </c>
      <c r="F475" s="238">
        <v>602878000021801</v>
      </c>
      <c r="G475" s="236">
        <v>14610</v>
      </c>
      <c r="H475" s="79"/>
      <c r="I475" s="79"/>
    </row>
    <row r="476" spans="1:9" ht="28.5" hidden="1" customHeight="1">
      <c r="A476" s="79"/>
      <c r="B476" s="239"/>
      <c r="C476" s="239"/>
      <c r="D476" s="239"/>
      <c r="E476" s="234" t="s">
        <v>741</v>
      </c>
      <c r="F476" s="234"/>
      <c r="G476" s="240"/>
      <c r="H476" s="79"/>
      <c r="I476" s="79"/>
    </row>
    <row r="477" spans="1:9" ht="15.75" hidden="1" customHeight="1">
      <c r="A477" s="79"/>
      <c r="B477" s="232">
        <v>45826</v>
      </c>
      <c r="C477" s="233">
        <v>0</v>
      </c>
      <c r="D477" s="233">
        <v>14175</v>
      </c>
      <c r="E477" s="237" t="s">
        <v>62</v>
      </c>
      <c r="F477" s="238">
        <v>384835418</v>
      </c>
      <c r="G477" s="236">
        <v>3000</v>
      </c>
      <c r="H477" s="79"/>
      <c r="I477" s="79"/>
    </row>
    <row r="478" spans="1:9" ht="28.5" hidden="1" customHeight="1">
      <c r="A478" s="79"/>
      <c r="B478" s="239"/>
      <c r="C478" s="239"/>
      <c r="D478" s="239"/>
      <c r="E478" s="234" t="s">
        <v>97</v>
      </c>
      <c r="F478" s="234"/>
      <c r="G478" s="240"/>
      <c r="H478" s="79"/>
      <c r="I478" s="79"/>
    </row>
    <row r="479" spans="1:9" ht="15.75" hidden="1" customHeight="1">
      <c r="A479" s="79"/>
      <c r="B479" s="232">
        <v>45826</v>
      </c>
      <c r="C479" s="233">
        <v>0</v>
      </c>
      <c r="D479" s="233">
        <v>14397</v>
      </c>
      <c r="E479" s="237" t="s">
        <v>57</v>
      </c>
      <c r="F479" s="238">
        <v>180816314385002</v>
      </c>
      <c r="G479" s="236">
        <v>3257.71</v>
      </c>
      <c r="H479" s="79"/>
      <c r="I479" s="79"/>
    </row>
    <row r="480" spans="1:9" ht="28.5" hidden="1" customHeight="1">
      <c r="A480" s="79"/>
      <c r="B480" s="239"/>
      <c r="C480" s="239"/>
      <c r="D480" s="239"/>
      <c r="E480" s="234" t="s">
        <v>742</v>
      </c>
      <c r="F480" s="234"/>
      <c r="G480" s="240"/>
      <c r="H480" s="79"/>
      <c r="I480" s="79"/>
    </row>
    <row r="481" spans="1:19" ht="15.75" customHeight="1">
      <c r="A481" s="130" t="s">
        <v>140</v>
      </c>
      <c r="B481" s="232">
        <v>45826</v>
      </c>
      <c r="C481" s="233">
        <v>0</v>
      </c>
      <c r="D481" s="233">
        <v>14138</v>
      </c>
      <c r="E481" s="241" t="s">
        <v>141</v>
      </c>
      <c r="F481" s="238">
        <v>202506170013165</v>
      </c>
      <c r="G481" s="236">
        <v>3418.73</v>
      </c>
      <c r="H481" s="2" t="s">
        <v>743</v>
      </c>
      <c r="I481" s="79" t="s">
        <v>595</v>
      </c>
      <c r="J481" s="79"/>
      <c r="K481" s="79"/>
      <c r="L481" s="79"/>
      <c r="M481" s="79"/>
      <c r="N481" s="79"/>
      <c r="O481" s="79"/>
      <c r="P481" s="79"/>
      <c r="Q481" s="79"/>
      <c r="R481" s="79"/>
      <c r="S481" s="79"/>
    </row>
    <row r="482" spans="1:19" ht="15.75" hidden="1" customHeight="1">
      <c r="A482" s="79"/>
      <c r="B482" s="239"/>
      <c r="C482" s="239"/>
      <c r="D482" s="239"/>
      <c r="E482" s="234" t="s">
        <v>143</v>
      </c>
      <c r="F482" s="234"/>
      <c r="G482" s="240"/>
      <c r="H482" s="79"/>
      <c r="I482" s="79"/>
    </row>
    <row r="483" spans="1:19" ht="15.75" customHeight="1">
      <c r="A483" s="130" t="s">
        <v>140</v>
      </c>
      <c r="B483" s="232">
        <v>45826</v>
      </c>
      <c r="C483" s="233">
        <v>0</v>
      </c>
      <c r="D483" s="233">
        <v>14138</v>
      </c>
      <c r="E483" s="241" t="s">
        <v>141</v>
      </c>
      <c r="F483" s="238">
        <v>202506170013166</v>
      </c>
      <c r="G483" s="236">
        <v>3418.73</v>
      </c>
      <c r="H483" s="2" t="s">
        <v>744</v>
      </c>
      <c r="I483" s="79" t="s">
        <v>595</v>
      </c>
      <c r="J483" s="79"/>
      <c r="K483" s="79"/>
      <c r="L483" s="79"/>
      <c r="M483" s="79"/>
      <c r="N483" s="79"/>
      <c r="O483" s="79"/>
      <c r="P483" s="79"/>
      <c r="Q483" s="79"/>
      <c r="R483" s="79"/>
      <c r="S483" s="79"/>
    </row>
    <row r="484" spans="1:19" ht="15.75" hidden="1" customHeight="1">
      <c r="A484" s="79"/>
      <c r="B484" s="239"/>
      <c r="C484" s="239"/>
      <c r="D484" s="239"/>
      <c r="E484" s="234" t="s">
        <v>143</v>
      </c>
      <c r="F484" s="234"/>
      <c r="G484" s="240"/>
      <c r="H484" s="79"/>
      <c r="I484" s="79"/>
    </row>
    <row r="485" spans="1:19" ht="15.75" customHeight="1">
      <c r="A485" s="130" t="s">
        <v>140</v>
      </c>
      <c r="B485" s="232">
        <v>45826</v>
      </c>
      <c r="C485" s="233">
        <v>0</v>
      </c>
      <c r="D485" s="233">
        <v>14138</v>
      </c>
      <c r="E485" s="241" t="s">
        <v>141</v>
      </c>
      <c r="F485" s="238">
        <v>202506170013167</v>
      </c>
      <c r="G485" s="236">
        <v>3418.73</v>
      </c>
      <c r="H485" s="2" t="s">
        <v>745</v>
      </c>
      <c r="I485" s="79" t="s">
        <v>595</v>
      </c>
      <c r="J485" s="79"/>
      <c r="K485" s="79"/>
      <c r="L485" s="79"/>
      <c r="M485" s="79"/>
      <c r="N485" s="79"/>
      <c r="O485" s="79"/>
      <c r="P485" s="79"/>
      <c r="Q485" s="79"/>
      <c r="R485" s="79"/>
      <c r="S485" s="79"/>
    </row>
    <row r="486" spans="1:19" ht="15.75" hidden="1" customHeight="1">
      <c r="A486" s="79"/>
      <c r="B486" s="239"/>
      <c r="C486" s="239"/>
      <c r="D486" s="239"/>
      <c r="E486" s="234" t="s">
        <v>143</v>
      </c>
      <c r="F486" s="234"/>
      <c r="G486" s="240"/>
      <c r="H486" s="79"/>
      <c r="I486" s="79"/>
    </row>
    <row r="487" spans="1:19" ht="15.75" customHeight="1">
      <c r="A487" s="130" t="s">
        <v>140</v>
      </c>
      <c r="B487" s="232">
        <v>45826</v>
      </c>
      <c r="C487" s="233">
        <v>0</v>
      </c>
      <c r="D487" s="233">
        <v>14138</v>
      </c>
      <c r="E487" s="241" t="s">
        <v>141</v>
      </c>
      <c r="F487" s="238">
        <v>202506170013168</v>
      </c>
      <c r="G487" s="236">
        <v>3418.73</v>
      </c>
      <c r="H487" s="2" t="s">
        <v>746</v>
      </c>
      <c r="I487" s="79" t="s">
        <v>595</v>
      </c>
      <c r="J487" s="79"/>
      <c r="K487" s="79"/>
      <c r="L487" s="79"/>
      <c r="M487" s="79"/>
      <c r="N487" s="79"/>
      <c r="O487" s="79"/>
      <c r="P487" s="79"/>
      <c r="Q487" s="79"/>
      <c r="R487" s="79"/>
      <c r="S487" s="79"/>
    </row>
    <row r="488" spans="1:19" ht="15.75" hidden="1" customHeight="1">
      <c r="A488" s="79"/>
      <c r="B488" s="239"/>
      <c r="C488" s="239"/>
      <c r="D488" s="239"/>
      <c r="E488" s="234" t="s">
        <v>143</v>
      </c>
      <c r="F488" s="234"/>
      <c r="G488" s="240"/>
      <c r="H488" s="79"/>
      <c r="I488" s="79"/>
    </row>
    <row r="489" spans="1:19" ht="15.75" hidden="1" customHeight="1">
      <c r="A489" s="79"/>
      <c r="B489" s="232">
        <v>45826</v>
      </c>
      <c r="C489" s="233">
        <v>0</v>
      </c>
      <c r="D489" s="233">
        <v>14397</v>
      </c>
      <c r="E489" s="237" t="s">
        <v>57</v>
      </c>
      <c r="F489" s="238">
        <v>502649296366021</v>
      </c>
      <c r="G489" s="236">
        <v>1677</v>
      </c>
      <c r="H489" s="79"/>
      <c r="I489" s="79"/>
    </row>
    <row r="490" spans="1:19" ht="28.5" hidden="1" customHeight="1">
      <c r="A490" s="79"/>
      <c r="B490" s="239"/>
      <c r="C490" s="239"/>
      <c r="D490" s="239"/>
      <c r="E490" s="234" t="s">
        <v>747</v>
      </c>
      <c r="F490" s="234"/>
      <c r="G490" s="240"/>
      <c r="H490" s="79"/>
      <c r="I490" s="79"/>
    </row>
    <row r="491" spans="1:19" ht="15.75" hidden="1" customHeight="1">
      <c r="A491" s="79"/>
      <c r="B491" s="232">
        <v>45826</v>
      </c>
      <c r="C491" s="233">
        <v>0</v>
      </c>
      <c r="D491" s="233">
        <v>13105</v>
      </c>
      <c r="E491" s="237" t="s">
        <v>80</v>
      </c>
      <c r="F491" s="238">
        <v>61801</v>
      </c>
      <c r="G491" s="242">
        <v>9317.11</v>
      </c>
      <c r="H491" s="79"/>
      <c r="I491" s="79"/>
    </row>
    <row r="492" spans="1:19" ht="15.75" hidden="1" customHeight="1">
      <c r="A492" s="79"/>
      <c r="B492" s="239"/>
      <c r="C492" s="239"/>
      <c r="D492" s="239"/>
      <c r="E492" s="234" t="s">
        <v>154</v>
      </c>
      <c r="F492" s="234"/>
      <c r="G492" s="240"/>
      <c r="H492" s="79"/>
      <c r="I492" s="79"/>
    </row>
    <row r="493" spans="1:19" ht="15.75" hidden="1" customHeight="1">
      <c r="A493" s="79"/>
      <c r="B493" s="232">
        <v>45826</v>
      </c>
      <c r="C493" s="233">
        <v>0</v>
      </c>
      <c r="D493" s="233">
        <v>13105</v>
      </c>
      <c r="E493" s="237" t="s">
        <v>31</v>
      </c>
      <c r="F493" s="238">
        <v>61802</v>
      </c>
      <c r="G493" s="242">
        <v>1448.56</v>
      </c>
      <c r="H493" s="79"/>
      <c r="I493" s="79"/>
    </row>
    <row r="494" spans="1:19" ht="28.5" hidden="1" customHeight="1">
      <c r="A494" s="79"/>
      <c r="B494" s="239"/>
      <c r="C494" s="239"/>
      <c r="D494" s="239"/>
      <c r="E494" s="234" t="s">
        <v>455</v>
      </c>
      <c r="F494" s="234"/>
      <c r="G494" s="240"/>
      <c r="H494" s="79"/>
      <c r="I494" s="79"/>
    </row>
    <row r="495" spans="1:19" ht="15.75" hidden="1" customHeight="1">
      <c r="A495" s="79"/>
      <c r="B495" s="232">
        <v>45826</v>
      </c>
      <c r="C495" s="233">
        <v>0</v>
      </c>
      <c r="D495" s="233">
        <v>13105</v>
      </c>
      <c r="E495" s="237" t="s">
        <v>31</v>
      </c>
      <c r="F495" s="238">
        <v>61803</v>
      </c>
      <c r="G495" s="242">
        <v>5099.49</v>
      </c>
      <c r="H495" s="79"/>
      <c r="I495" s="79"/>
    </row>
    <row r="496" spans="1:19" ht="28.5" hidden="1" customHeight="1">
      <c r="A496" s="79"/>
      <c r="B496" s="239"/>
      <c r="C496" s="239"/>
      <c r="D496" s="239"/>
      <c r="E496" s="234" t="s">
        <v>362</v>
      </c>
      <c r="F496" s="234"/>
      <c r="G496" s="240"/>
      <c r="H496" s="79"/>
      <c r="I496" s="79"/>
    </row>
    <row r="497" spans="1:9" ht="15.75" hidden="1" customHeight="1">
      <c r="A497" s="79"/>
      <c r="B497" s="232">
        <v>45826</v>
      </c>
      <c r="C497" s="233">
        <v>0</v>
      </c>
      <c r="D497" s="233">
        <v>13105</v>
      </c>
      <c r="E497" s="237" t="s">
        <v>31</v>
      </c>
      <c r="F497" s="238">
        <v>61804</v>
      </c>
      <c r="G497" s="242">
        <v>272.62</v>
      </c>
      <c r="H497" s="79"/>
      <c r="I497" s="79"/>
    </row>
    <row r="498" spans="1:9" ht="28.5" hidden="1" customHeight="1">
      <c r="A498" s="79"/>
      <c r="B498" s="239"/>
      <c r="C498" s="239"/>
      <c r="D498" s="239"/>
      <c r="E498" s="234" t="s">
        <v>45</v>
      </c>
      <c r="F498" s="234"/>
      <c r="G498" s="240"/>
      <c r="H498" s="79"/>
      <c r="I498" s="79"/>
    </row>
    <row r="499" spans="1:9" ht="15.75" hidden="1" customHeight="1">
      <c r="A499" s="79"/>
      <c r="B499" s="232">
        <v>45826</v>
      </c>
      <c r="C499" s="233">
        <v>0</v>
      </c>
      <c r="D499" s="233">
        <v>13105</v>
      </c>
      <c r="E499" s="237" t="s">
        <v>31</v>
      </c>
      <c r="F499" s="238">
        <v>61805</v>
      </c>
      <c r="G499" s="242">
        <v>212.4</v>
      </c>
      <c r="H499" s="79"/>
      <c r="I499" s="79"/>
    </row>
    <row r="500" spans="1:9" ht="28.5" hidden="1" customHeight="1">
      <c r="A500" s="79"/>
      <c r="B500" s="239"/>
      <c r="C500" s="239"/>
      <c r="D500" s="239"/>
      <c r="E500" s="234" t="s">
        <v>45</v>
      </c>
      <c r="F500" s="234"/>
      <c r="G500" s="240"/>
      <c r="H500" s="79"/>
      <c r="I500" s="79"/>
    </row>
    <row r="501" spans="1:9" ht="15.75" hidden="1" customHeight="1">
      <c r="A501" s="79"/>
      <c r="B501" s="232">
        <v>45826</v>
      </c>
      <c r="C501" s="233">
        <v>0</v>
      </c>
      <c r="D501" s="233">
        <v>13105</v>
      </c>
      <c r="E501" s="237" t="s">
        <v>31</v>
      </c>
      <c r="F501" s="238">
        <v>61806</v>
      </c>
      <c r="G501" s="242">
        <v>364.78</v>
      </c>
      <c r="H501" s="79"/>
      <c r="I501" s="79"/>
    </row>
    <row r="502" spans="1:9" ht="28.5" hidden="1" customHeight="1">
      <c r="A502" s="79"/>
      <c r="B502" s="239"/>
      <c r="C502" s="239"/>
      <c r="D502" s="239"/>
      <c r="E502" s="234" t="s">
        <v>45</v>
      </c>
      <c r="F502" s="234"/>
      <c r="G502" s="240"/>
      <c r="H502" s="79"/>
      <c r="I502" s="79"/>
    </row>
    <row r="503" spans="1:9" ht="15.75" hidden="1" customHeight="1">
      <c r="A503" s="79"/>
      <c r="B503" s="232">
        <v>45826</v>
      </c>
      <c r="C503" s="233">
        <v>0</v>
      </c>
      <c r="D503" s="233">
        <v>13105</v>
      </c>
      <c r="E503" s="237" t="s">
        <v>31</v>
      </c>
      <c r="F503" s="238">
        <v>61807</v>
      </c>
      <c r="G503" s="242">
        <v>677.1</v>
      </c>
      <c r="H503" s="79"/>
      <c r="I503" s="79"/>
    </row>
    <row r="504" spans="1:9" ht="15.75" hidden="1" customHeight="1">
      <c r="A504" s="79"/>
      <c r="B504" s="239"/>
      <c r="C504" s="239"/>
      <c r="D504" s="239"/>
      <c r="E504" s="234" t="s">
        <v>340</v>
      </c>
      <c r="F504" s="234"/>
      <c r="G504" s="240"/>
      <c r="H504" s="79"/>
      <c r="I504" s="79"/>
    </row>
    <row r="505" spans="1:9" ht="15.75" hidden="1" customHeight="1">
      <c r="A505" s="79"/>
      <c r="B505" s="232">
        <v>45826</v>
      </c>
      <c r="C505" s="233">
        <v>0</v>
      </c>
      <c r="D505" s="233">
        <v>13105</v>
      </c>
      <c r="E505" s="237" t="s">
        <v>31</v>
      </c>
      <c r="F505" s="238">
        <v>61808</v>
      </c>
      <c r="G505" s="242">
        <v>520.30999999999995</v>
      </c>
      <c r="H505" s="79"/>
      <c r="I505" s="79"/>
    </row>
    <row r="506" spans="1:9" ht="15.75" hidden="1" customHeight="1">
      <c r="A506" s="79"/>
      <c r="B506" s="239"/>
      <c r="C506" s="239"/>
      <c r="D506" s="239"/>
      <c r="E506" s="234" t="s">
        <v>46</v>
      </c>
      <c r="F506" s="234"/>
      <c r="G506" s="240"/>
      <c r="H506" s="79"/>
      <c r="I506" s="79"/>
    </row>
    <row r="507" spans="1:9" ht="15.75" hidden="1" customHeight="1">
      <c r="A507" s="79"/>
      <c r="B507" s="232">
        <v>45826</v>
      </c>
      <c r="C507" s="233">
        <v>0</v>
      </c>
      <c r="D507" s="233">
        <v>13105</v>
      </c>
      <c r="E507" s="237" t="s">
        <v>31</v>
      </c>
      <c r="F507" s="238">
        <v>61809</v>
      </c>
      <c r="G507" s="242">
        <v>888.48</v>
      </c>
      <c r="H507" s="79"/>
      <c r="I507" s="79"/>
    </row>
    <row r="508" spans="1:9" ht="15.75" hidden="1" customHeight="1">
      <c r="A508" s="79"/>
      <c r="B508" s="239"/>
      <c r="C508" s="239"/>
      <c r="D508" s="239"/>
      <c r="E508" s="234" t="s">
        <v>46</v>
      </c>
      <c r="F508" s="234"/>
      <c r="G508" s="240"/>
      <c r="H508" s="79"/>
      <c r="I508" s="79"/>
    </row>
    <row r="509" spans="1:9" ht="15.75" hidden="1" customHeight="1">
      <c r="A509" s="79"/>
      <c r="B509" s="232">
        <v>45826</v>
      </c>
      <c r="C509" s="233">
        <v>0</v>
      </c>
      <c r="D509" s="233">
        <v>13105</v>
      </c>
      <c r="E509" s="237" t="s">
        <v>31</v>
      </c>
      <c r="F509" s="238">
        <v>61810</v>
      </c>
      <c r="G509" s="242">
        <v>287.70999999999998</v>
      </c>
      <c r="H509" s="79"/>
      <c r="I509" s="79"/>
    </row>
    <row r="510" spans="1:9" ht="15.75" hidden="1" customHeight="1">
      <c r="A510" s="79"/>
      <c r="B510" s="239"/>
      <c r="C510" s="239"/>
      <c r="D510" s="239"/>
      <c r="E510" s="234" t="s">
        <v>111</v>
      </c>
      <c r="F510" s="234"/>
      <c r="G510" s="240"/>
      <c r="H510" s="79"/>
      <c r="I510" s="79"/>
    </row>
    <row r="511" spans="1:9" ht="15.75" hidden="1" customHeight="1">
      <c r="A511" s="79"/>
      <c r="B511" s="232">
        <v>45826</v>
      </c>
      <c r="C511" s="233">
        <v>0</v>
      </c>
      <c r="D511" s="233">
        <v>13105</v>
      </c>
      <c r="E511" s="237" t="s">
        <v>31</v>
      </c>
      <c r="F511" s="238">
        <v>61811</v>
      </c>
      <c r="G511" s="242">
        <v>244.14</v>
      </c>
      <c r="H511" s="79"/>
      <c r="I511" s="79"/>
    </row>
    <row r="512" spans="1:9" ht="15.75" hidden="1" customHeight="1">
      <c r="A512" s="79"/>
      <c r="B512" s="239"/>
      <c r="C512" s="239"/>
      <c r="D512" s="239"/>
      <c r="E512" s="234" t="s">
        <v>111</v>
      </c>
      <c r="F512" s="234"/>
      <c r="G512" s="240"/>
      <c r="H512" s="79"/>
      <c r="I512" s="79"/>
    </row>
    <row r="513" spans="1:9" ht="15.75" hidden="1" customHeight="1">
      <c r="A513" s="79"/>
      <c r="B513" s="232">
        <v>45826</v>
      </c>
      <c r="C513" s="233">
        <v>0</v>
      </c>
      <c r="D513" s="233">
        <v>13105</v>
      </c>
      <c r="E513" s="237" t="s">
        <v>31</v>
      </c>
      <c r="F513" s="238">
        <v>61812</v>
      </c>
      <c r="G513" s="242">
        <v>415.81</v>
      </c>
      <c r="H513" s="79"/>
      <c r="I513" s="79"/>
    </row>
    <row r="514" spans="1:9" ht="15.75" hidden="1" customHeight="1">
      <c r="A514" s="79"/>
      <c r="B514" s="239"/>
      <c r="C514" s="239"/>
      <c r="D514" s="239"/>
      <c r="E514" s="234" t="s">
        <v>111</v>
      </c>
      <c r="F514" s="234"/>
      <c r="G514" s="240"/>
      <c r="H514" s="79"/>
      <c r="I514" s="79"/>
    </row>
    <row r="515" spans="1:9" ht="15.75" hidden="1" customHeight="1">
      <c r="A515" s="79"/>
      <c r="B515" s="232">
        <v>45826</v>
      </c>
      <c r="C515" s="233">
        <v>0</v>
      </c>
      <c r="D515" s="233">
        <v>13105</v>
      </c>
      <c r="E515" s="237" t="s">
        <v>118</v>
      </c>
      <c r="F515" s="238">
        <v>61813</v>
      </c>
      <c r="G515" s="242">
        <v>1008.96</v>
      </c>
      <c r="H515" s="79"/>
      <c r="I515" s="79"/>
    </row>
    <row r="516" spans="1:9" ht="28.5" hidden="1" customHeight="1">
      <c r="A516" s="79"/>
      <c r="B516" s="239"/>
      <c r="C516" s="239"/>
      <c r="D516" s="239"/>
      <c r="E516" s="234" t="s">
        <v>748</v>
      </c>
      <c r="F516" s="234"/>
      <c r="G516" s="240"/>
      <c r="H516" s="79"/>
      <c r="I516" s="79"/>
    </row>
    <row r="517" spans="1:9" ht="15.75" hidden="1" customHeight="1">
      <c r="A517" s="79"/>
      <c r="B517" s="232">
        <v>45826</v>
      </c>
      <c r="C517" s="233">
        <v>0</v>
      </c>
      <c r="D517" s="233">
        <v>13105</v>
      </c>
      <c r="E517" s="237" t="s">
        <v>31</v>
      </c>
      <c r="F517" s="238">
        <v>61814</v>
      </c>
      <c r="G517" s="242">
        <v>2813.7</v>
      </c>
      <c r="H517" s="79"/>
      <c r="I517" s="79"/>
    </row>
    <row r="518" spans="1:9" ht="15.75" hidden="1" customHeight="1">
      <c r="A518" s="79"/>
      <c r="B518" s="239"/>
      <c r="C518" s="239"/>
      <c r="D518" s="239"/>
      <c r="E518" s="234" t="s">
        <v>66</v>
      </c>
      <c r="F518" s="234"/>
      <c r="G518" s="240"/>
      <c r="H518" s="79"/>
      <c r="I518" s="79"/>
    </row>
    <row r="519" spans="1:9" ht="15.75" hidden="1" customHeight="1">
      <c r="A519" s="79"/>
      <c r="B519" s="232">
        <v>45826</v>
      </c>
      <c r="C519" s="233">
        <v>0</v>
      </c>
      <c r="D519" s="233">
        <v>13105</v>
      </c>
      <c r="E519" s="237" t="s">
        <v>31</v>
      </c>
      <c r="F519" s="238">
        <v>61815</v>
      </c>
      <c r="G519" s="242">
        <v>5134.5</v>
      </c>
      <c r="H519" s="79"/>
      <c r="I519" s="79"/>
    </row>
    <row r="520" spans="1:9" ht="15.75" hidden="1" customHeight="1">
      <c r="A520" s="79"/>
      <c r="B520" s="239"/>
      <c r="C520" s="239"/>
      <c r="D520" s="239"/>
      <c r="E520" s="234" t="s">
        <v>66</v>
      </c>
      <c r="F520" s="234"/>
      <c r="G520" s="240"/>
      <c r="H520" s="79"/>
      <c r="I520" s="79"/>
    </row>
    <row r="521" spans="1:9" ht="15.75" hidden="1" customHeight="1">
      <c r="A521" s="79"/>
      <c r="B521" s="232">
        <v>45826</v>
      </c>
      <c r="C521" s="233">
        <v>0</v>
      </c>
      <c r="D521" s="233">
        <v>13105</v>
      </c>
      <c r="E521" s="237" t="s">
        <v>31</v>
      </c>
      <c r="F521" s="238">
        <v>61816</v>
      </c>
      <c r="G521" s="242">
        <v>921.96</v>
      </c>
      <c r="H521" s="79"/>
      <c r="I521" s="79"/>
    </row>
    <row r="522" spans="1:9" ht="15.75" hidden="1" customHeight="1">
      <c r="A522" s="79"/>
      <c r="B522" s="239"/>
      <c r="C522" s="239"/>
      <c r="D522" s="239"/>
      <c r="E522" s="234" t="s">
        <v>66</v>
      </c>
      <c r="F522" s="234"/>
      <c r="G522" s="240"/>
      <c r="H522" s="79"/>
      <c r="I522" s="79"/>
    </row>
    <row r="523" spans="1:9" ht="15.75" hidden="1" customHeight="1">
      <c r="A523" s="79"/>
      <c r="B523" s="232">
        <v>45826</v>
      </c>
      <c r="C523" s="233">
        <v>0</v>
      </c>
      <c r="D523" s="233">
        <v>13105</v>
      </c>
      <c r="E523" s="237" t="s">
        <v>31</v>
      </c>
      <c r="F523" s="238">
        <v>61817</v>
      </c>
      <c r="G523" s="242">
        <v>904.56</v>
      </c>
      <c r="H523" s="79"/>
      <c r="I523" s="79"/>
    </row>
    <row r="524" spans="1:9" ht="15.75" hidden="1" customHeight="1">
      <c r="A524" s="79"/>
      <c r="B524" s="239"/>
      <c r="C524" s="239"/>
      <c r="D524" s="239"/>
      <c r="E524" s="234" t="s">
        <v>66</v>
      </c>
      <c r="F524" s="234"/>
      <c r="G524" s="240"/>
      <c r="H524" s="79"/>
      <c r="I524" s="79"/>
    </row>
    <row r="525" spans="1:9" ht="15.75" hidden="1" customHeight="1">
      <c r="A525" s="79"/>
      <c r="B525" s="232">
        <v>45826</v>
      </c>
      <c r="C525" s="233">
        <v>0</v>
      </c>
      <c r="D525" s="233">
        <v>13105</v>
      </c>
      <c r="E525" s="237" t="s">
        <v>31</v>
      </c>
      <c r="F525" s="238">
        <v>61818</v>
      </c>
      <c r="G525" s="242">
        <v>2543.1799999999998</v>
      </c>
      <c r="H525" s="79"/>
      <c r="I525" s="79"/>
    </row>
    <row r="526" spans="1:9" ht="28.5" hidden="1" customHeight="1">
      <c r="A526" s="79"/>
      <c r="B526" s="239"/>
      <c r="C526" s="239"/>
      <c r="D526" s="239"/>
      <c r="E526" s="234" t="s">
        <v>32</v>
      </c>
      <c r="F526" s="234"/>
      <c r="G526" s="240"/>
      <c r="H526" s="79"/>
      <c r="I526" s="79"/>
    </row>
    <row r="527" spans="1:9" ht="15.75" hidden="1" customHeight="1">
      <c r="A527" s="79"/>
      <c r="B527" s="232">
        <v>45826</v>
      </c>
      <c r="C527" s="233">
        <v>0</v>
      </c>
      <c r="D527" s="233">
        <v>13105</v>
      </c>
      <c r="E527" s="237" t="s">
        <v>370</v>
      </c>
      <c r="F527" s="238">
        <v>61819</v>
      </c>
      <c r="G527" s="242">
        <v>3000</v>
      </c>
      <c r="H527" s="79"/>
      <c r="I527" s="79"/>
    </row>
    <row r="528" spans="1:9" ht="28.5" hidden="1" customHeight="1">
      <c r="A528" s="79"/>
      <c r="B528" s="239"/>
      <c r="C528" s="239"/>
      <c r="D528" s="239"/>
      <c r="E528" s="234" t="s">
        <v>509</v>
      </c>
      <c r="F528" s="234"/>
      <c r="G528" s="240"/>
      <c r="H528" s="79"/>
      <c r="I528" s="79"/>
    </row>
    <row r="529" spans="1:9" ht="15.75" hidden="1" customHeight="1">
      <c r="A529" s="79"/>
      <c r="B529" s="232">
        <v>45826</v>
      </c>
      <c r="C529" s="233">
        <v>0</v>
      </c>
      <c r="D529" s="233">
        <v>13113</v>
      </c>
      <c r="E529" s="237" t="s">
        <v>511</v>
      </c>
      <c r="F529" s="238">
        <v>891691200011164</v>
      </c>
      <c r="G529" s="242">
        <v>13</v>
      </c>
      <c r="H529" s="79"/>
      <c r="I529" s="79"/>
    </row>
    <row r="530" spans="1:9" ht="15.75" hidden="1" customHeight="1">
      <c r="A530" s="79"/>
      <c r="B530" s="239"/>
      <c r="C530" s="239"/>
      <c r="D530" s="239"/>
      <c r="E530" s="234" t="s">
        <v>749</v>
      </c>
      <c r="F530" s="234"/>
      <c r="G530" s="240"/>
      <c r="H530" s="79"/>
      <c r="I530" s="79"/>
    </row>
    <row r="531" spans="1:9" ht="15.75" hidden="1" customHeight="1">
      <c r="A531" s="79"/>
      <c r="B531" s="232">
        <v>45826</v>
      </c>
      <c r="C531" s="233">
        <v>0</v>
      </c>
      <c r="D531" s="233">
        <v>0</v>
      </c>
      <c r="E531" s="237" t="s">
        <v>59</v>
      </c>
      <c r="F531" s="238">
        <v>9903</v>
      </c>
      <c r="G531" s="242">
        <v>131.26</v>
      </c>
      <c r="H531" s="79"/>
      <c r="I531" s="79"/>
    </row>
    <row r="532" spans="1:9" ht="15.75" hidden="1" customHeight="1">
      <c r="A532" s="79"/>
      <c r="B532" s="239"/>
      <c r="C532" s="239"/>
      <c r="D532" s="239"/>
      <c r="E532" s="234" t="s">
        <v>53</v>
      </c>
      <c r="F532" s="234"/>
      <c r="G532" s="240"/>
      <c r="H532" s="79"/>
      <c r="I532" s="79"/>
    </row>
    <row r="533" spans="1:9" ht="15.75" hidden="1" customHeight="1">
      <c r="A533" s="79"/>
      <c r="B533" s="232">
        <v>45828</v>
      </c>
      <c r="C533" s="233">
        <v>0</v>
      </c>
      <c r="D533" s="233">
        <v>14175</v>
      </c>
      <c r="E533" s="237" t="s">
        <v>62</v>
      </c>
      <c r="F533" s="238">
        <v>385056588</v>
      </c>
      <c r="G533" s="236">
        <v>2000</v>
      </c>
      <c r="H533" s="79"/>
      <c r="I533" s="79"/>
    </row>
    <row r="534" spans="1:9" ht="28.5" hidden="1" customHeight="1">
      <c r="A534" s="79"/>
      <c r="B534" s="239"/>
      <c r="C534" s="239"/>
      <c r="D534" s="239"/>
      <c r="E534" s="234" t="s">
        <v>97</v>
      </c>
      <c r="F534" s="234"/>
      <c r="G534" s="240"/>
      <c r="H534" s="79"/>
      <c r="I534" s="79"/>
    </row>
    <row r="535" spans="1:9" ht="15.75" hidden="1" customHeight="1">
      <c r="A535" s="79"/>
      <c r="B535" s="232">
        <v>45828</v>
      </c>
      <c r="C535" s="233">
        <v>0</v>
      </c>
      <c r="D535" s="233">
        <v>14397</v>
      </c>
      <c r="E535" s="237" t="s">
        <v>57</v>
      </c>
      <c r="F535" s="238">
        <v>201059509091442</v>
      </c>
      <c r="G535" s="236">
        <v>3778</v>
      </c>
      <c r="H535" s="79"/>
      <c r="I535" s="79"/>
    </row>
    <row r="536" spans="1:9" ht="28.5" hidden="1" customHeight="1">
      <c r="A536" s="79"/>
      <c r="B536" s="239"/>
      <c r="C536" s="239"/>
      <c r="D536" s="239"/>
      <c r="E536" s="234" t="s">
        <v>750</v>
      </c>
      <c r="F536" s="234"/>
      <c r="G536" s="240"/>
      <c r="H536" s="79"/>
      <c r="I536" s="79"/>
    </row>
    <row r="537" spans="1:9" ht="15.75" hidden="1" customHeight="1">
      <c r="A537" s="79"/>
      <c r="B537" s="232">
        <v>45828</v>
      </c>
      <c r="C537" s="233">
        <v>0</v>
      </c>
      <c r="D537" s="233">
        <v>14397</v>
      </c>
      <c r="E537" s="237" t="s">
        <v>57</v>
      </c>
      <c r="F537" s="238">
        <v>201104424855862</v>
      </c>
      <c r="G537" s="236">
        <v>3354.37</v>
      </c>
      <c r="H537" s="79"/>
      <c r="I537" s="79"/>
    </row>
    <row r="538" spans="1:9" ht="28.5" hidden="1" customHeight="1">
      <c r="A538" s="79"/>
      <c r="B538" s="239"/>
      <c r="C538" s="239"/>
      <c r="D538" s="239"/>
      <c r="E538" s="234" t="s">
        <v>751</v>
      </c>
      <c r="F538" s="234"/>
      <c r="G538" s="240"/>
      <c r="H538" s="79"/>
      <c r="I538" s="79"/>
    </row>
    <row r="539" spans="1:9" ht="15.75" hidden="1" customHeight="1">
      <c r="A539" s="79"/>
      <c r="B539" s="232">
        <v>45828</v>
      </c>
      <c r="C539" s="233">
        <v>0</v>
      </c>
      <c r="D539" s="233">
        <v>14397</v>
      </c>
      <c r="E539" s="237" t="s">
        <v>57</v>
      </c>
      <c r="F539" s="238">
        <v>201429416715742</v>
      </c>
      <c r="G539" s="236">
        <v>4400</v>
      </c>
      <c r="H539" s="79"/>
      <c r="I539" s="79"/>
    </row>
    <row r="540" spans="1:9" ht="28.5" hidden="1" customHeight="1">
      <c r="A540" s="79"/>
      <c r="B540" s="239"/>
      <c r="C540" s="239"/>
      <c r="D540" s="239"/>
      <c r="E540" s="234" t="s">
        <v>752</v>
      </c>
      <c r="F540" s="234"/>
      <c r="G540" s="240"/>
      <c r="H540" s="79"/>
      <c r="I540" s="79"/>
    </row>
    <row r="541" spans="1:9" ht="15.75" hidden="1" customHeight="1">
      <c r="A541" s="79"/>
      <c r="B541" s="232">
        <v>45828</v>
      </c>
      <c r="C541" s="233">
        <v>0</v>
      </c>
      <c r="D541" s="233">
        <v>14397</v>
      </c>
      <c r="E541" s="237" t="s">
        <v>57</v>
      </c>
      <c r="F541" s="238">
        <v>201637312442992</v>
      </c>
      <c r="G541" s="236">
        <v>1650</v>
      </c>
      <c r="H541" s="79"/>
      <c r="I541" s="79"/>
    </row>
    <row r="542" spans="1:9" ht="28.5" hidden="1" customHeight="1">
      <c r="A542" s="79"/>
      <c r="B542" s="239"/>
      <c r="C542" s="239"/>
      <c r="D542" s="239"/>
      <c r="E542" s="234" t="s">
        <v>753</v>
      </c>
      <c r="F542" s="234"/>
      <c r="G542" s="240"/>
      <c r="H542" s="79"/>
      <c r="I542" s="79"/>
    </row>
    <row r="543" spans="1:9" ht="15.75" hidden="1" customHeight="1">
      <c r="A543" s="79"/>
      <c r="B543" s="232">
        <v>45828</v>
      </c>
      <c r="C543" s="233">
        <v>0</v>
      </c>
      <c r="D543" s="233">
        <v>14397</v>
      </c>
      <c r="E543" s="237" t="s">
        <v>57</v>
      </c>
      <c r="F543" s="238">
        <v>504308842404361</v>
      </c>
      <c r="G543" s="236">
        <v>162.6</v>
      </c>
      <c r="H543" s="79"/>
      <c r="I543" s="79"/>
    </row>
    <row r="544" spans="1:9" ht="28.5" hidden="1" customHeight="1">
      <c r="A544" s="79"/>
      <c r="B544" s="239"/>
      <c r="C544" s="239"/>
      <c r="D544" s="239"/>
      <c r="E544" s="234" t="s">
        <v>754</v>
      </c>
      <c r="F544" s="234"/>
      <c r="G544" s="240"/>
      <c r="H544" s="79"/>
      <c r="I544" s="79"/>
    </row>
    <row r="545" spans="1:9" ht="15.75" hidden="1" customHeight="1">
      <c r="A545" s="79"/>
      <c r="B545" s="232">
        <v>45828</v>
      </c>
      <c r="C545" s="233">
        <v>0</v>
      </c>
      <c r="D545" s="233">
        <v>13105</v>
      </c>
      <c r="E545" s="237" t="s">
        <v>80</v>
      </c>
      <c r="F545" s="238">
        <v>62001</v>
      </c>
      <c r="G545" s="242">
        <v>60.65</v>
      </c>
      <c r="H545" s="79"/>
      <c r="I545" s="79"/>
    </row>
    <row r="546" spans="1:9" ht="15.75" hidden="1" customHeight="1">
      <c r="A546" s="79"/>
      <c r="B546" s="239"/>
      <c r="C546" s="239"/>
      <c r="D546" s="239"/>
      <c r="E546" s="234" t="s">
        <v>81</v>
      </c>
      <c r="F546" s="234"/>
      <c r="G546" s="240"/>
      <c r="H546" s="79"/>
      <c r="I546" s="79"/>
    </row>
    <row r="547" spans="1:9" ht="15.75" hidden="1" customHeight="1">
      <c r="A547" s="79"/>
      <c r="B547" s="232">
        <v>45828</v>
      </c>
      <c r="C547" s="233">
        <v>0</v>
      </c>
      <c r="D547" s="233">
        <v>13105</v>
      </c>
      <c r="E547" s="237" t="s">
        <v>80</v>
      </c>
      <c r="F547" s="238">
        <v>62002</v>
      </c>
      <c r="G547" s="242">
        <v>415.38</v>
      </c>
      <c r="H547" s="79"/>
      <c r="I547" s="79"/>
    </row>
    <row r="548" spans="1:9" ht="15.75" hidden="1" customHeight="1">
      <c r="A548" s="79"/>
      <c r="B548" s="239"/>
      <c r="C548" s="239"/>
      <c r="D548" s="239"/>
      <c r="E548" s="234" t="s">
        <v>81</v>
      </c>
      <c r="F548" s="234"/>
      <c r="G548" s="240"/>
      <c r="H548" s="79"/>
      <c r="I548" s="79"/>
    </row>
    <row r="549" spans="1:9" ht="15.75" hidden="1" customHeight="1">
      <c r="A549" s="79"/>
      <c r="B549" s="232">
        <v>45828</v>
      </c>
      <c r="C549" s="233">
        <v>0</v>
      </c>
      <c r="D549" s="233">
        <v>13105</v>
      </c>
      <c r="E549" s="237" t="s">
        <v>80</v>
      </c>
      <c r="F549" s="238">
        <v>62003</v>
      </c>
      <c r="G549" s="242">
        <v>92.74</v>
      </c>
      <c r="H549" s="79"/>
      <c r="I549" s="79"/>
    </row>
    <row r="550" spans="1:9" ht="15.75" hidden="1" customHeight="1">
      <c r="A550" s="79"/>
      <c r="B550" s="239"/>
      <c r="C550" s="239"/>
      <c r="D550" s="239"/>
      <c r="E550" s="234" t="s">
        <v>81</v>
      </c>
      <c r="F550" s="234"/>
      <c r="G550" s="240"/>
      <c r="H550" s="79"/>
      <c r="I550" s="79"/>
    </row>
    <row r="551" spans="1:9" ht="15.75" hidden="1" customHeight="1">
      <c r="A551" s="79"/>
      <c r="B551" s="232">
        <v>45828</v>
      </c>
      <c r="C551" s="233">
        <v>0</v>
      </c>
      <c r="D551" s="233">
        <v>13105</v>
      </c>
      <c r="E551" s="237" t="s">
        <v>31</v>
      </c>
      <c r="F551" s="238">
        <v>62004</v>
      </c>
      <c r="G551" s="242">
        <v>282.58</v>
      </c>
      <c r="H551" s="79"/>
      <c r="I551" s="79"/>
    </row>
    <row r="552" spans="1:9" ht="28.5" hidden="1" customHeight="1">
      <c r="A552" s="79"/>
      <c r="B552" s="239"/>
      <c r="C552" s="239"/>
      <c r="D552" s="239"/>
      <c r="E552" s="234" t="s">
        <v>41</v>
      </c>
      <c r="F552" s="234"/>
      <c r="G552" s="240"/>
      <c r="H552" s="79"/>
      <c r="I552" s="79"/>
    </row>
    <row r="553" spans="1:9" ht="15.75" hidden="1" customHeight="1">
      <c r="A553" s="79"/>
      <c r="B553" s="232">
        <v>45828</v>
      </c>
      <c r="C553" s="233">
        <v>0</v>
      </c>
      <c r="D553" s="233">
        <v>13105</v>
      </c>
      <c r="E553" s="237" t="s">
        <v>31</v>
      </c>
      <c r="F553" s="238">
        <v>62005</v>
      </c>
      <c r="G553" s="242">
        <v>364.3</v>
      </c>
      <c r="H553" s="79"/>
      <c r="I553" s="79"/>
    </row>
    <row r="554" spans="1:9" ht="15.75" hidden="1" customHeight="1">
      <c r="A554" s="79"/>
      <c r="B554" s="239"/>
      <c r="C554" s="239"/>
      <c r="D554" s="239"/>
      <c r="E554" s="234" t="s">
        <v>636</v>
      </c>
      <c r="F554" s="234"/>
      <c r="G554" s="240"/>
      <c r="H554" s="79"/>
      <c r="I554" s="79"/>
    </row>
    <row r="555" spans="1:9" ht="15.75" hidden="1" customHeight="1">
      <c r="A555" s="79"/>
      <c r="B555" s="232">
        <v>45828</v>
      </c>
      <c r="C555" s="233">
        <v>0</v>
      </c>
      <c r="D555" s="233">
        <v>13105</v>
      </c>
      <c r="E555" s="237" t="s">
        <v>31</v>
      </c>
      <c r="F555" s="238">
        <v>62006</v>
      </c>
      <c r="G555" s="242">
        <v>842.55</v>
      </c>
      <c r="H555" s="79"/>
      <c r="I555" s="79"/>
    </row>
    <row r="556" spans="1:9" ht="28.5" hidden="1" customHeight="1">
      <c r="A556" s="79"/>
      <c r="B556" s="239"/>
      <c r="C556" s="239"/>
      <c r="D556" s="239"/>
      <c r="E556" s="234" t="s">
        <v>178</v>
      </c>
      <c r="F556" s="234"/>
      <c r="G556" s="240"/>
      <c r="H556" s="79"/>
      <c r="I556" s="79"/>
    </row>
    <row r="557" spans="1:9" ht="15.75" hidden="1" customHeight="1">
      <c r="A557" s="79"/>
      <c r="B557" s="232">
        <v>45828</v>
      </c>
      <c r="C557" s="233">
        <v>0</v>
      </c>
      <c r="D557" s="233">
        <v>13105</v>
      </c>
      <c r="E557" s="237" t="s">
        <v>31</v>
      </c>
      <c r="F557" s="238">
        <v>62007</v>
      </c>
      <c r="G557" s="242">
        <v>1733.83</v>
      </c>
      <c r="H557" s="79"/>
      <c r="I557" s="79"/>
    </row>
    <row r="558" spans="1:9" ht="28.5" hidden="1" customHeight="1">
      <c r="A558" s="79"/>
      <c r="B558" s="239"/>
      <c r="C558" s="239"/>
      <c r="D558" s="239"/>
      <c r="E558" s="234" t="s">
        <v>122</v>
      </c>
      <c r="F558" s="234"/>
      <c r="G558" s="240"/>
      <c r="H558" s="79"/>
      <c r="I558" s="79"/>
    </row>
    <row r="559" spans="1:9" ht="15.75" hidden="1" customHeight="1">
      <c r="A559" s="79"/>
      <c r="B559" s="232">
        <v>45828</v>
      </c>
      <c r="C559" s="233">
        <v>0</v>
      </c>
      <c r="D559" s="233">
        <v>13105</v>
      </c>
      <c r="E559" s="237" t="s">
        <v>31</v>
      </c>
      <c r="F559" s="238">
        <v>62008</v>
      </c>
      <c r="G559" s="242">
        <v>2470</v>
      </c>
      <c r="H559" s="79"/>
      <c r="I559" s="79"/>
    </row>
    <row r="560" spans="1:9" ht="28.5" hidden="1" customHeight="1">
      <c r="A560" s="79"/>
      <c r="B560" s="239"/>
      <c r="C560" s="239"/>
      <c r="D560" s="239"/>
      <c r="E560" s="234" t="s">
        <v>32</v>
      </c>
      <c r="F560" s="234"/>
      <c r="G560" s="240"/>
      <c r="H560" s="79"/>
      <c r="I560" s="79"/>
    </row>
    <row r="561" spans="1:9" ht="15.75" hidden="1" customHeight="1">
      <c r="A561" s="79"/>
      <c r="B561" s="232">
        <v>45828</v>
      </c>
      <c r="C561" s="233">
        <v>0</v>
      </c>
      <c r="D561" s="233">
        <v>13105</v>
      </c>
      <c r="E561" s="237" t="s">
        <v>31</v>
      </c>
      <c r="F561" s="238">
        <v>62009</v>
      </c>
      <c r="G561" s="242">
        <v>1078</v>
      </c>
      <c r="H561" s="79"/>
      <c r="I561" s="79"/>
    </row>
    <row r="562" spans="1:9" ht="28.5" hidden="1" customHeight="1">
      <c r="A562" s="79"/>
      <c r="B562" s="239"/>
      <c r="C562" s="239"/>
      <c r="D562" s="239"/>
      <c r="E562" s="234" t="s">
        <v>455</v>
      </c>
      <c r="F562" s="234"/>
      <c r="G562" s="240"/>
      <c r="H562" s="79"/>
      <c r="I562" s="79"/>
    </row>
    <row r="563" spans="1:9" ht="15.75" hidden="1" customHeight="1">
      <c r="A563" s="79"/>
      <c r="B563" s="232">
        <v>45828</v>
      </c>
      <c r="C563" s="233">
        <v>0</v>
      </c>
      <c r="D563" s="233">
        <v>13105</v>
      </c>
      <c r="E563" s="237" t="s">
        <v>31</v>
      </c>
      <c r="F563" s="238">
        <v>62010</v>
      </c>
      <c r="G563" s="242">
        <v>357.91</v>
      </c>
      <c r="H563" s="79"/>
      <c r="I563" s="79"/>
    </row>
    <row r="564" spans="1:9" ht="28.5" hidden="1" customHeight="1">
      <c r="A564" s="79"/>
      <c r="B564" s="239"/>
      <c r="C564" s="239"/>
      <c r="D564" s="239"/>
      <c r="E564" s="234" t="s">
        <v>45</v>
      </c>
      <c r="F564" s="234"/>
      <c r="G564" s="240"/>
      <c r="H564" s="79"/>
      <c r="I564" s="79"/>
    </row>
    <row r="565" spans="1:9" ht="15.75" hidden="1" customHeight="1">
      <c r="A565" s="79"/>
      <c r="B565" s="232">
        <v>45828</v>
      </c>
      <c r="C565" s="233">
        <v>0</v>
      </c>
      <c r="D565" s="233">
        <v>13105</v>
      </c>
      <c r="E565" s="237" t="s">
        <v>31</v>
      </c>
      <c r="F565" s="238">
        <v>62011</v>
      </c>
      <c r="G565" s="242">
        <v>293.8</v>
      </c>
      <c r="H565" s="79"/>
      <c r="I565" s="79"/>
    </row>
    <row r="566" spans="1:9" ht="28.5" hidden="1" customHeight="1">
      <c r="A566" s="79"/>
      <c r="B566" s="239"/>
      <c r="C566" s="239"/>
      <c r="D566" s="239"/>
      <c r="E566" s="234" t="s">
        <v>110</v>
      </c>
      <c r="F566" s="234"/>
      <c r="G566" s="240"/>
      <c r="H566" s="79"/>
      <c r="I566" s="79"/>
    </row>
    <row r="567" spans="1:9" ht="15.75" hidden="1" customHeight="1">
      <c r="A567" s="79"/>
      <c r="B567" s="232">
        <v>45828</v>
      </c>
      <c r="C567" s="233">
        <v>0</v>
      </c>
      <c r="D567" s="233">
        <v>13105</v>
      </c>
      <c r="E567" s="237" t="s">
        <v>31</v>
      </c>
      <c r="F567" s="238">
        <v>62012</v>
      </c>
      <c r="G567" s="242">
        <v>356.77</v>
      </c>
      <c r="H567" s="79"/>
      <c r="I567" s="79"/>
    </row>
    <row r="568" spans="1:9" ht="28.5" hidden="1" customHeight="1">
      <c r="A568" s="79"/>
      <c r="B568" s="239"/>
      <c r="C568" s="239"/>
      <c r="D568" s="239"/>
      <c r="E568" s="234" t="s">
        <v>110</v>
      </c>
      <c r="F568" s="234"/>
      <c r="G568" s="240"/>
      <c r="H568" s="79"/>
      <c r="I568" s="79"/>
    </row>
    <row r="569" spans="1:9" ht="15.75" hidden="1" customHeight="1">
      <c r="A569" s="79"/>
      <c r="B569" s="232">
        <v>45828</v>
      </c>
      <c r="C569" s="233">
        <v>0</v>
      </c>
      <c r="D569" s="233">
        <v>13105</v>
      </c>
      <c r="E569" s="237" t="s">
        <v>31</v>
      </c>
      <c r="F569" s="238">
        <v>62013</v>
      </c>
      <c r="G569" s="242">
        <v>1003.64</v>
      </c>
      <c r="H569" s="79"/>
      <c r="I569" s="79"/>
    </row>
    <row r="570" spans="1:9" ht="15.75" hidden="1" customHeight="1">
      <c r="A570" s="79"/>
      <c r="B570" s="239"/>
      <c r="C570" s="239"/>
      <c r="D570" s="239"/>
      <c r="E570" s="234" t="s">
        <v>46</v>
      </c>
      <c r="F570" s="234"/>
      <c r="G570" s="240"/>
      <c r="H570" s="79"/>
      <c r="I570" s="79"/>
    </row>
    <row r="571" spans="1:9" ht="15.75" hidden="1" customHeight="1">
      <c r="A571" s="79"/>
      <c r="B571" s="232">
        <v>45828</v>
      </c>
      <c r="C571" s="233">
        <v>0</v>
      </c>
      <c r="D571" s="233">
        <v>13105</v>
      </c>
      <c r="E571" s="237" t="s">
        <v>31</v>
      </c>
      <c r="F571" s="238">
        <v>62014</v>
      </c>
      <c r="G571" s="242">
        <v>596.98</v>
      </c>
      <c r="H571" s="79"/>
      <c r="I571" s="79"/>
    </row>
    <row r="572" spans="1:9" ht="15.75" hidden="1" customHeight="1">
      <c r="A572" s="79"/>
      <c r="B572" s="239"/>
      <c r="C572" s="239"/>
      <c r="D572" s="239"/>
      <c r="E572" s="234" t="s">
        <v>46</v>
      </c>
      <c r="F572" s="234"/>
      <c r="G572" s="240"/>
      <c r="H572" s="79"/>
      <c r="I572" s="79"/>
    </row>
    <row r="573" spans="1:9" ht="15.75" hidden="1" customHeight="1">
      <c r="A573" s="79"/>
      <c r="B573" s="232">
        <v>45828</v>
      </c>
      <c r="C573" s="233">
        <v>0</v>
      </c>
      <c r="D573" s="233">
        <v>13105</v>
      </c>
      <c r="E573" s="237" t="s">
        <v>31</v>
      </c>
      <c r="F573" s="238">
        <v>62015</v>
      </c>
      <c r="G573" s="242">
        <v>100.82</v>
      </c>
      <c r="H573" s="79"/>
      <c r="I573" s="79"/>
    </row>
    <row r="574" spans="1:9" ht="15.75" hidden="1" customHeight="1">
      <c r="A574" s="79"/>
      <c r="B574" s="239"/>
      <c r="C574" s="239"/>
      <c r="D574" s="239"/>
      <c r="E574" s="234" t="s">
        <v>46</v>
      </c>
      <c r="F574" s="234"/>
      <c r="G574" s="240"/>
      <c r="H574" s="79"/>
      <c r="I574" s="79"/>
    </row>
    <row r="575" spans="1:9" ht="15.75" hidden="1" customHeight="1">
      <c r="A575" s="79"/>
      <c r="B575" s="232">
        <v>45828</v>
      </c>
      <c r="C575" s="233">
        <v>0</v>
      </c>
      <c r="D575" s="233">
        <v>13105</v>
      </c>
      <c r="E575" s="237" t="s">
        <v>31</v>
      </c>
      <c r="F575" s="238">
        <v>62016</v>
      </c>
      <c r="G575" s="242">
        <v>1689.42</v>
      </c>
      <c r="H575" s="79"/>
      <c r="I575" s="79"/>
    </row>
    <row r="576" spans="1:9" ht="15.75" hidden="1" customHeight="1">
      <c r="A576" s="79"/>
      <c r="B576" s="239"/>
      <c r="C576" s="239"/>
      <c r="D576" s="239"/>
      <c r="E576" s="234" t="s">
        <v>46</v>
      </c>
      <c r="F576" s="234"/>
      <c r="G576" s="240"/>
      <c r="H576" s="79"/>
      <c r="I576" s="79"/>
    </row>
    <row r="577" spans="1:9" ht="15.75" hidden="1" customHeight="1">
      <c r="A577" s="79"/>
      <c r="B577" s="232">
        <v>45828</v>
      </c>
      <c r="C577" s="233">
        <v>0</v>
      </c>
      <c r="D577" s="233">
        <v>13105</v>
      </c>
      <c r="E577" s="237" t="s">
        <v>31</v>
      </c>
      <c r="F577" s="238">
        <v>62017</v>
      </c>
      <c r="G577" s="242">
        <v>217.56</v>
      </c>
      <c r="H577" s="79"/>
      <c r="I577" s="79"/>
    </row>
    <row r="578" spans="1:9" ht="15.75" hidden="1" customHeight="1">
      <c r="A578" s="79"/>
      <c r="B578" s="239"/>
      <c r="C578" s="239"/>
      <c r="D578" s="239"/>
      <c r="E578" s="234" t="s">
        <v>46</v>
      </c>
      <c r="F578" s="234"/>
      <c r="G578" s="240"/>
      <c r="H578" s="79"/>
      <c r="I578" s="79"/>
    </row>
    <row r="579" spans="1:9" ht="15.75" hidden="1" customHeight="1">
      <c r="A579" s="79"/>
      <c r="B579" s="232">
        <v>45828</v>
      </c>
      <c r="C579" s="233">
        <v>0</v>
      </c>
      <c r="D579" s="233">
        <v>13105</v>
      </c>
      <c r="E579" s="237" t="s">
        <v>31</v>
      </c>
      <c r="F579" s="238">
        <v>62018</v>
      </c>
      <c r="G579" s="242">
        <v>199.26</v>
      </c>
      <c r="H579" s="79"/>
      <c r="I579" s="79"/>
    </row>
    <row r="580" spans="1:9" ht="15.75" hidden="1" customHeight="1">
      <c r="A580" s="79"/>
      <c r="B580" s="239"/>
      <c r="C580" s="239"/>
      <c r="D580" s="239"/>
      <c r="E580" s="234" t="s">
        <v>47</v>
      </c>
      <c r="F580" s="234"/>
      <c r="G580" s="240"/>
      <c r="H580" s="79"/>
      <c r="I580" s="79"/>
    </row>
    <row r="581" spans="1:9" ht="15.75" hidden="1" customHeight="1">
      <c r="A581" s="79"/>
      <c r="B581" s="232">
        <v>45828</v>
      </c>
      <c r="C581" s="233">
        <v>0</v>
      </c>
      <c r="D581" s="233">
        <v>13105</v>
      </c>
      <c r="E581" s="237" t="s">
        <v>31</v>
      </c>
      <c r="F581" s="238">
        <v>62019</v>
      </c>
      <c r="G581" s="242">
        <v>266.12</v>
      </c>
      <c r="H581" s="79"/>
      <c r="I581" s="79"/>
    </row>
    <row r="582" spans="1:9" ht="15.75" hidden="1" customHeight="1">
      <c r="A582" s="79"/>
      <c r="B582" s="239"/>
      <c r="C582" s="239"/>
      <c r="D582" s="239"/>
      <c r="E582" s="234" t="s">
        <v>340</v>
      </c>
      <c r="F582" s="234"/>
      <c r="G582" s="240"/>
      <c r="H582" s="79"/>
      <c r="I582" s="79"/>
    </row>
    <row r="583" spans="1:9" ht="15.75" hidden="1" customHeight="1">
      <c r="A583" s="79"/>
      <c r="B583" s="232">
        <v>45828</v>
      </c>
      <c r="C583" s="233">
        <v>0</v>
      </c>
      <c r="D583" s="233">
        <v>13105</v>
      </c>
      <c r="E583" s="237" t="s">
        <v>31</v>
      </c>
      <c r="F583" s="238">
        <v>62020</v>
      </c>
      <c r="G583" s="242">
        <v>158.49</v>
      </c>
      <c r="H583" s="79"/>
      <c r="I583" s="79"/>
    </row>
    <row r="584" spans="1:9" ht="15.75" hidden="1" customHeight="1">
      <c r="A584" s="79"/>
      <c r="B584" s="239"/>
      <c r="C584" s="239"/>
      <c r="D584" s="239"/>
      <c r="E584" s="234" t="s">
        <v>111</v>
      </c>
      <c r="F584" s="234"/>
      <c r="G584" s="240"/>
      <c r="H584" s="79"/>
      <c r="I584" s="79"/>
    </row>
    <row r="585" spans="1:9" ht="15.75" hidden="1" customHeight="1">
      <c r="A585" s="79"/>
      <c r="B585" s="232">
        <v>45828</v>
      </c>
      <c r="C585" s="233">
        <v>0</v>
      </c>
      <c r="D585" s="233">
        <v>13105</v>
      </c>
      <c r="E585" s="237" t="s">
        <v>31</v>
      </c>
      <c r="F585" s="238">
        <v>62021</v>
      </c>
      <c r="G585" s="242">
        <v>228.01</v>
      </c>
      <c r="H585" s="79"/>
      <c r="I585" s="79"/>
    </row>
    <row r="586" spans="1:9" ht="15.75" hidden="1" customHeight="1">
      <c r="A586" s="79"/>
      <c r="B586" s="239"/>
      <c r="C586" s="239"/>
      <c r="D586" s="239"/>
      <c r="E586" s="234" t="s">
        <v>111</v>
      </c>
      <c r="F586" s="234"/>
      <c r="G586" s="240"/>
      <c r="H586" s="79"/>
      <c r="I586" s="79"/>
    </row>
    <row r="587" spans="1:9" ht="15.75" hidden="1" customHeight="1">
      <c r="A587" s="79"/>
      <c r="B587" s="232">
        <v>45828</v>
      </c>
      <c r="C587" s="233">
        <v>0</v>
      </c>
      <c r="D587" s="233">
        <v>13105</v>
      </c>
      <c r="E587" s="237" t="s">
        <v>31</v>
      </c>
      <c r="F587" s="238">
        <v>62022</v>
      </c>
      <c r="G587" s="242">
        <v>202.27</v>
      </c>
      <c r="H587" s="79"/>
      <c r="I587" s="79"/>
    </row>
    <row r="588" spans="1:9" ht="28.5" hidden="1" customHeight="1">
      <c r="A588" s="79"/>
      <c r="B588" s="239"/>
      <c r="C588" s="239"/>
      <c r="D588" s="239"/>
      <c r="E588" s="234" t="s">
        <v>755</v>
      </c>
      <c r="F588" s="234"/>
      <c r="G588" s="240"/>
      <c r="H588" s="79"/>
      <c r="I588" s="79"/>
    </row>
    <row r="589" spans="1:9" ht="15.75" hidden="1" customHeight="1">
      <c r="A589" s="79"/>
      <c r="B589" s="232">
        <v>45828</v>
      </c>
      <c r="C589" s="233">
        <v>0</v>
      </c>
      <c r="D589" s="233">
        <v>13105</v>
      </c>
      <c r="E589" s="237" t="s">
        <v>31</v>
      </c>
      <c r="F589" s="238">
        <v>62023</v>
      </c>
      <c r="G589" s="242">
        <v>159.80000000000001</v>
      </c>
      <c r="H589" s="79"/>
      <c r="I589" s="79"/>
    </row>
    <row r="590" spans="1:9" ht="15.75" hidden="1" customHeight="1">
      <c r="A590" s="79"/>
      <c r="B590" s="239"/>
      <c r="C590" s="239"/>
      <c r="D590" s="239"/>
      <c r="E590" s="234" t="s">
        <v>185</v>
      </c>
      <c r="F590" s="234"/>
      <c r="G590" s="240"/>
      <c r="H590" s="79"/>
      <c r="I590" s="79"/>
    </row>
    <row r="591" spans="1:9" ht="15.75" hidden="1" customHeight="1">
      <c r="A591" s="79"/>
      <c r="B591" s="232">
        <v>45828</v>
      </c>
      <c r="C591" s="233">
        <v>0</v>
      </c>
      <c r="D591" s="233">
        <v>13105</v>
      </c>
      <c r="E591" s="237" t="s">
        <v>31</v>
      </c>
      <c r="F591" s="238">
        <v>62024</v>
      </c>
      <c r="G591" s="242">
        <v>2393.34</v>
      </c>
      <c r="H591" s="79"/>
      <c r="I591" s="79"/>
    </row>
    <row r="592" spans="1:9" ht="28.5" hidden="1" customHeight="1">
      <c r="A592" s="79"/>
      <c r="B592" s="239"/>
      <c r="C592" s="239"/>
      <c r="D592" s="239"/>
      <c r="E592" s="234" t="s">
        <v>32</v>
      </c>
      <c r="F592" s="234"/>
      <c r="G592" s="240"/>
      <c r="H592" s="79"/>
      <c r="I592" s="79"/>
    </row>
    <row r="593" spans="1:19" ht="15.75" hidden="1" customHeight="1">
      <c r="A593" s="79"/>
      <c r="B593" s="232">
        <v>45828</v>
      </c>
      <c r="C593" s="233">
        <v>0</v>
      </c>
      <c r="D593" s="233">
        <v>0</v>
      </c>
      <c r="E593" s="237" t="s">
        <v>52</v>
      </c>
      <c r="F593" s="238">
        <v>9903</v>
      </c>
      <c r="G593" s="236">
        <v>219.25</v>
      </c>
      <c r="H593" s="79"/>
      <c r="I593" s="79"/>
    </row>
    <row r="594" spans="1:19" ht="15.75" hidden="1" customHeight="1">
      <c r="A594" s="79"/>
      <c r="B594" s="239"/>
      <c r="C594" s="239"/>
      <c r="D594" s="239"/>
      <c r="E594" s="234" t="s">
        <v>53</v>
      </c>
      <c r="F594" s="234"/>
      <c r="G594" s="240"/>
      <c r="H594" s="79"/>
      <c r="I594" s="79"/>
    </row>
    <row r="595" spans="1:19" ht="15.75" hidden="1" customHeight="1">
      <c r="A595" s="79"/>
      <c r="B595" s="232">
        <v>45831</v>
      </c>
      <c r="C595" s="233">
        <v>0</v>
      </c>
      <c r="D595" s="233">
        <v>14175</v>
      </c>
      <c r="E595" s="237" t="s">
        <v>62</v>
      </c>
      <c r="F595" s="238">
        <v>385192329</v>
      </c>
      <c r="G595" s="236">
        <v>3000</v>
      </c>
      <c r="H595" s="79"/>
      <c r="I595" s="79"/>
    </row>
    <row r="596" spans="1:19" ht="28.5" hidden="1" customHeight="1">
      <c r="A596" s="79"/>
      <c r="B596" s="239"/>
      <c r="C596" s="239"/>
      <c r="D596" s="239"/>
      <c r="E596" s="234" t="s">
        <v>97</v>
      </c>
      <c r="F596" s="234"/>
      <c r="G596" s="240"/>
      <c r="H596" s="79"/>
      <c r="I596" s="79"/>
    </row>
    <row r="597" spans="1:19" ht="15.75" customHeight="1">
      <c r="A597" s="130" t="s">
        <v>140</v>
      </c>
      <c r="B597" s="232">
        <v>45831</v>
      </c>
      <c r="C597" s="233">
        <v>0</v>
      </c>
      <c r="D597" s="233">
        <v>14138</v>
      </c>
      <c r="E597" s="241" t="s">
        <v>141</v>
      </c>
      <c r="F597" s="238">
        <v>202506200000042</v>
      </c>
      <c r="G597" s="236">
        <v>1668.08</v>
      </c>
      <c r="H597" s="2">
        <v>3475</v>
      </c>
      <c r="I597" s="79" t="s">
        <v>428</v>
      </c>
      <c r="J597" s="79"/>
      <c r="K597" s="79"/>
      <c r="L597" s="79"/>
      <c r="M597" s="79"/>
      <c r="N597" s="79"/>
      <c r="O597" s="79"/>
      <c r="P597" s="79"/>
      <c r="Q597" s="79"/>
      <c r="R597" s="79"/>
      <c r="S597" s="79"/>
    </row>
    <row r="598" spans="1:19" ht="15.75" hidden="1" customHeight="1">
      <c r="A598" s="79"/>
      <c r="B598" s="239"/>
      <c r="C598" s="239"/>
      <c r="D598" s="239"/>
      <c r="E598" s="234" t="s">
        <v>143</v>
      </c>
      <c r="F598" s="234"/>
      <c r="G598" s="240"/>
      <c r="H598" s="79"/>
      <c r="I598" s="79"/>
    </row>
    <row r="599" spans="1:19" ht="15.75" customHeight="1">
      <c r="A599" s="130" t="s">
        <v>140</v>
      </c>
      <c r="B599" s="232">
        <v>45831</v>
      </c>
      <c r="C599" s="233">
        <v>0</v>
      </c>
      <c r="D599" s="233">
        <v>14138</v>
      </c>
      <c r="E599" s="241" t="s">
        <v>141</v>
      </c>
      <c r="F599" s="238">
        <v>202506200000043</v>
      </c>
      <c r="G599" s="236">
        <v>1311.09</v>
      </c>
      <c r="H599" s="2">
        <v>3513</v>
      </c>
      <c r="I599" s="79" t="s">
        <v>428</v>
      </c>
      <c r="J599" s="79"/>
      <c r="K599" s="79"/>
      <c r="L599" s="79"/>
      <c r="M599" s="79"/>
      <c r="N599" s="79"/>
      <c r="O599" s="79"/>
      <c r="P599" s="79"/>
      <c r="Q599" s="79"/>
      <c r="R599" s="79"/>
      <c r="S599" s="79"/>
    </row>
    <row r="600" spans="1:19" ht="15.75" hidden="1" customHeight="1">
      <c r="A600" s="79"/>
      <c r="B600" s="239"/>
      <c r="C600" s="239"/>
      <c r="D600" s="239"/>
      <c r="E600" s="234" t="s">
        <v>143</v>
      </c>
      <c r="F600" s="234"/>
      <c r="G600" s="240"/>
      <c r="H600" s="79"/>
      <c r="I600" s="79"/>
    </row>
    <row r="601" spans="1:19" ht="15.75" customHeight="1">
      <c r="A601" s="130" t="s">
        <v>140</v>
      </c>
      <c r="B601" s="232">
        <v>45831</v>
      </c>
      <c r="C601" s="233">
        <v>0</v>
      </c>
      <c r="D601" s="233">
        <v>14138</v>
      </c>
      <c r="E601" s="241" t="s">
        <v>141</v>
      </c>
      <c r="F601" s="238">
        <v>202506200000079</v>
      </c>
      <c r="G601" s="236">
        <v>596.9</v>
      </c>
      <c r="H601" s="2">
        <v>3509</v>
      </c>
      <c r="I601" s="79" t="s">
        <v>428</v>
      </c>
      <c r="J601" s="79"/>
      <c r="K601" s="79"/>
      <c r="L601" s="79"/>
      <c r="M601" s="79"/>
      <c r="N601" s="79"/>
      <c r="O601" s="79"/>
      <c r="P601" s="79"/>
      <c r="Q601" s="79"/>
      <c r="R601" s="79"/>
      <c r="S601" s="79"/>
    </row>
    <row r="602" spans="1:19" ht="15.75" hidden="1" customHeight="1">
      <c r="A602" s="79"/>
      <c r="B602" s="239"/>
      <c r="C602" s="239"/>
      <c r="D602" s="239"/>
      <c r="E602" s="234" t="s">
        <v>143</v>
      </c>
      <c r="F602" s="234"/>
      <c r="G602" s="240"/>
      <c r="H602" s="79"/>
      <c r="I602" s="79"/>
    </row>
    <row r="603" spans="1:19" ht="15.75" customHeight="1">
      <c r="A603" s="130" t="s">
        <v>140</v>
      </c>
      <c r="B603" s="232">
        <v>45831</v>
      </c>
      <c r="C603" s="233">
        <v>0</v>
      </c>
      <c r="D603" s="233">
        <v>14138</v>
      </c>
      <c r="E603" s="241" t="s">
        <v>141</v>
      </c>
      <c r="F603" s="238">
        <v>202506200000080</v>
      </c>
      <c r="G603" s="236">
        <v>1232.8399999999999</v>
      </c>
      <c r="H603" s="2">
        <v>3495</v>
      </c>
      <c r="I603" s="79" t="s">
        <v>428</v>
      </c>
      <c r="J603" s="79"/>
      <c r="K603" s="79"/>
      <c r="L603" s="79"/>
      <c r="M603" s="79"/>
      <c r="N603" s="79"/>
      <c r="O603" s="79"/>
      <c r="P603" s="79"/>
      <c r="Q603" s="79"/>
      <c r="R603" s="79"/>
      <c r="S603" s="79"/>
    </row>
    <row r="604" spans="1:19" ht="15.75" hidden="1" customHeight="1">
      <c r="A604" s="79"/>
      <c r="B604" s="239"/>
      <c r="C604" s="239"/>
      <c r="D604" s="239"/>
      <c r="E604" s="234" t="s">
        <v>143</v>
      </c>
      <c r="F604" s="234"/>
      <c r="G604" s="240"/>
      <c r="H604" s="79"/>
      <c r="I604" s="79"/>
    </row>
    <row r="605" spans="1:19" ht="15.75" hidden="1" customHeight="1">
      <c r="A605" s="79"/>
      <c r="B605" s="232">
        <v>45831</v>
      </c>
      <c r="C605" s="233">
        <v>0</v>
      </c>
      <c r="D605" s="233">
        <v>14397</v>
      </c>
      <c r="E605" s="237" t="s">
        <v>57</v>
      </c>
      <c r="F605" s="238">
        <v>231045232532962</v>
      </c>
      <c r="G605" s="236">
        <v>569.1</v>
      </c>
      <c r="H605" s="79"/>
      <c r="I605" s="79"/>
    </row>
    <row r="606" spans="1:19" ht="28.5" hidden="1" customHeight="1">
      <c r="A606" s="79"/>
      <c r="B606" s="239"/>
      <c r="C606" s="239"/>
      <c r="D606" s="239"/>
      <c r="E606" s="234" t="s">
        <v>756</v>
      </c>
      <c r="F606" s="234"/>
      <c r="G606" s="240"/>
      <c r="H606" s="79"/>
      <c r="I606" s="79"/>
    </row>
    <row r="607" spans="1:19" ht="15.75" hidden="1" customHeight="1">
      <c r="A607" s="79"/>
      <c r="B607" s="232">
        <v>45831</v>
      </c>
      <c r="C607" s="233">
        <v>0</v>
      </c>
      <c r="D607" s="233">
        <v>14397</v>
      </c>
      <c r="E607" s="237" t="s">
        <v>57</v>
      </c>
      <c r="F607" s="238">
        <v>506970803279881</v>
      </c>
      <c r="G607" s="236">
        <v>100</v>
      </c>
      <c r="H607" s="79"/>
      <c r="I607" s="79"/>
    </row>
    <row r="608" spans="1:19" ht="28.5" hidden="1" customHeight="1">
      <c r="A608" s="79"/>
      <c r="B608" s="239"/>
      <c r="C608" s="239"/>
      <c r="D608" s="239"/>
      <c r="E608" s="234" t="s">
        <v>757</v>
      </c>
      <c r="F608" s="234"/>
      <c r="G608" s="240"/>
      <c r="H608" s="79"/>
      <c r="I608" s="79"/>
    </row>
    <row r="609" spans="1:9" ht="15.75" hidden="1" customHeight="1">
      <c r="A609" s="79"/>
      <c r="B609" s="232">
        <v>45831</v>
      </c>
      <c r="C609" s="233">
        <v>0</v>
      </c>
      <c r="D609" s="233">
        <v>14397</v>
      </c>
      <c r="E609" s="237" t="s">
        <v>57</v>
      </c>
      <c r="F609" s="238">
        <v>507011328036931</v>
      </c>
      <c r="G609" s="236">
        <v>5350</v>
      </c>
      <c r="H609" s="79"/>
      <c r="I609" s="79"/>
    </row>
    <row r="610" spans="1:9" ht="28.5" hidden="1" customHeight="1">
      <c r="A610" s="79"/>
      <c r="B610" s="239"/>
      <c r="C610" s="239"/>
      <c r="D610" s="239"/>
      <c r="E610" s="234" t="s">
        <v>758</v>
      </c>
      <c r="F610" s="234"/>
      <c r="G610" s="240"/>
      <c r="H610" s="79"/>
      <c r="I610" s="79"/>
    </row>
    <row r="611" spans="1:9" ht="15.75" hidden="1" customHeight="1">
      <c r="A611" s="79"/>
      <c r="B611" s="232">
        <v>45831</v>
      </c>
      <c r="C611" s="233">
        <v>0</v>
      </c>
      <c r="D611" s="233">
        <v>14397</v>
      </c>
      <c r="E611" s="237" t="s">
        <v>57</v>
      </c>
      <c r="F611" s="238">
        <v>507053823007311</v>
      </c>
      <c r="G611" s="236">
        <v>529.76</v>
      </c>
      <c r="H611" s="79"/>
      <c r="I611" s="79"/>
    </row>
    <row r="612" spans="1:9" ht="28.5" hidden="1" customHeight="1">
      <c r="A612" s="79"/>
      <c r="B612" s="239"/>
      <c r="C612" s="239"/>
      <c r="D612" s="239"/>
      <c r="E612" s="234" t="s">
        <v>759</v>
      </c>
      <c r="F612" s="234"/>
      <c r="G612" s="240"/>
      <c r="H612" s="79"/>
      <c r="I612" s="79"/>
    </row>
    <row r="613" spans="1:9" ht="15.75" hidden="1" customHeight="1">
      <c r="A613" s="79"/>
      <c r="B613" s="232">
        <v>45831</v>
      </c>
      <c r="C613" s="233">
        <v>0</v>
      </c>
      <c r="D613" s="233">
        <v>14397</v>
      </c>
      <c r="E613" s="237" t="s">
        <v>57</v>
      </c>
      <c r="F613" s="238">
        <v>507062561543831</v>
      </c>
      <c r="G613" s="236">
        <v>84</v>
      </c>
      <c r="H613" s="79"/>
      <c r="I613" s="79"/>
    </row>
    <row r="614" spans="1:9" ht="28.5" hidden="1" customHeight="1">
      <c r="A614" s="79"/>
      <c r="B614" s="239"/>
      <c r="C614" s="239"/>
      <c r="D614" s="239"/>
      <c r="E614" s="234" t="s">
        <v>760</v>
      </c>
      <c r="F614" s="234"/>
      <c r="G614" s="240"/>
      <c r="H614" s="79"/>
      <c r="I614" s="79"/>
    </row>
    <row r="615" spans="1:9" ht="15.75" hidden="1" customHeight="1">
      <c r="A615" s="79"/>
      <c r="B615" s="232">
        <v>45831</v>
      </c>
      <c r="C615" s="233">
        <v>1533</v>
      </c>
      <c r="D615" s="233">
        <v>99008</v>
      </c>
      <c r="E615" s="237" t="s">
        <v>29</v>
      </c>
      <c r="F615" s="238">
        <v>483600</v>
      </c>
      <c r="G615" s="242">
        <v>328.25</v>
      </c>
      <c r="H615" s="79"/>
      <c r="I615" s="79"/>
    </row>
    <row r="616" spans="1:9" ht="15.75" hidden="1" customHeight="1">
      <c r="A616" s="79"/>
      <c r="B616" s="239"/>
      <c r="C616" s="239"/>
      <c r="D616" s="239"/>
      <c r="E616" s="234" t="s">
        <v>761</v>
      </c>
      <c r="F616" s="234"/>
      <c r="G616" s="240"/>
      <c r="H616" s="79"/>
      <c r="I616" s="79"/>
    </row>
    <row r="617" spans="1:9" ht="15.75" hidden="1" customHeight="1">
      <c r="A617" s="79"/>
      <c r="B617" s="232">
        <v>45831</v>
      </c>
      <c r="C617" s="233">
        <v>0</v>
      </c>
      <c r="D617" s="233">
        <v>13105</v>
      </c>
      <c r="E617" s="237" t="s">
        <v>31</v>
      </c>
      <c r="F617" s="238">
        <v>62301</v>
      </c>
      <c r="G617" s="242">
        <v>290.60000000000002</v>
      </c>
      <c r="H617" s="79"/>
      <c r="I617" s="79"/>
    </row>
    <row r="618" spans="1:9" ht="15.75" hidden="1" customHeight="1">
      <c r="A618" s="79"/>
      <c r="B618" s="239"/>
      <c r="C618" s="239"/>
      <c r="D618" s="239"/>
      <c r="E618" s="234" t="s">
        <v>51</v>
      </c>
      <c r="F618" s="234"/>
      <c r="G618" s="240"/>
      <c r="H618" s="79"/>
      <c r="I618" s="79"/>
    </row>
    <row r="619" spans="1:9" ht="15.75" hidden="1" customHeight="1">
      <c r="A619" s="79"/>
      <c r="B619" s="232">
        <v>45831</v>
      </c>
      <c r="C619" s="233">
        <v>0</v>
      </c>
      <c r="D619" s="233">
        <v>13105</v>
      </c>
      <c r="E619" s="237" t="s">
        <v>31</v>
      </c>
      <c r="F619" s="238">
        <v>62302</v>
      </c>
      <c r="G619" s="242">
        <v>1963</v>
      </c>
      <c r="H619" s="79"/>
      <c r="I619" s="79"/>
    </row>
    <row r="620" spans="1:9" ht="28.5" hidden="1" customHeight="1">
      <c r="A620" s="79"/>
      <c r="B620" s="239"/>
      <c r="C620" s="239"/>
      <c r="D620" s="239"/>
      <c r="E620" s="234" t="s">
        <v>32</v>
      </c>
      <c r="F620" s="234"/>
      <c r="G620" s="240"/>
      <c r="H620" s="79"/>
      <c r="I620" s="79"/>
    </row>
    <row r="621" spans="1:9" ht="15.75" hidden="1" customHeight="1">
      <c r="A621" s="79"/>
      <c r="B621" s="232">
        <v>45831</v>
      </c>
      <c r="C621" s="233">
        <v>0</v>
      </c>
      <c r="D621" s="233">
        <v>13105</v>
      </c>
      <c r="E621" s="237" t="s">
        <v>31</v>
      </c>
      <c r="F621" s="238">
        <v>62303</v>
      </c>
      <c r="G621" s="242">
        <v>3692.98</v>
      </c>
      <c r="H621" s="79"/>
      <c r="I621" s="79"/>
    </row>
    <row r="622" spans="1:9" ht="15.75" hidden="1" customHeight="1">
      <c r="A622" s="79"/>
      <c r="B622" s="239"/>
      <c r="C622" s="239"/>
      <c r="D622" s="239"/>
      <c r="E622" s="234" t="s">
        <v>139</v>
      </c>
      <c r="F622" s="234"/>
      <c r="G622" s="240"/>
      <c r="H622" s="79"/>
      <c r="I622" s="79"/>
    </row>
    <row r="623" spans="1:9" ht="15.75" hidden="1" customHeight="1">
      <c r="A623" s="79"/>
      <c r="B623" s="232">
        <v>45831</v>
      </c>
      <c r="C623" s="233">
        <v>0</v>
      </c>
      <c r="D623" s="233">
        <v>13105</v>
      </c>
      <c r="E623" s="237" t="s">
        <v>34</v>
      </c>
      <c r="F623" s="238">
        <v>62304</v>
      </c>
      <c r="G623" s="242">
        <v>65.900000000000006</v>
      </c>
      <c r="H623" s="79"/>
      <c r="I623" s="79"/>
    </row>
    <row r="624" spans="1:9" ht="15.75" hidden="1" customHeight="1">
      <c r="A624" s="79"/>
      <c r="B624" s="239"/>
      <c r="C624" s="239"/>
      <c r="D624" s="239"/>
      <c r="E624" s="234" t="s">
        <v>288</v>
      </c>
      <c r="F624" s="234"/>
      <c r="G624" s="240"/>
      <c r="H624" s="79"/>
      <c r="I624" s="79"/>
    </row>
    <row r="625" spans="1:9" ht="15.75" hidden="1" customHeight="1">
      <c r="A625" s="79"/>
      <c r="B625" s="232">
        <v>45831</v>
      </c>
      <c r="C625" s="233">
        <v>0</v>
      </c>
      <c r="D625" s="233">
        <v>13105</v>
      </c>
      <c r="E625" s="237" t="s">
        <v>31</v>
      </c>
      <c r="F625" s="238">
        <v>62305</v>
      </c>
      <c r="G625" s="242">
        <v>155.44999999999999</v>
      </c>
      <c r="H625" s="79"/>
      <c r="I625" s="79"/>
    </row>
    <row r="626" spans="1:9" ht="15.75" hidden="1" customHeight="1">
      <c r="A626" s="79"/>
      <c r="B626" s="239"/>
      <c r="C626" s="239"/>
      <c r="D626" s="239"/>
      <c r="E626" s="234" t="s">
        <v>179</v>
      </c>
      <c r="F626" s="234"/>
      <c r="G626" s="240"/>
      <c r="H626" s="79"/>
      <c r="I626" s="79"/>
    </row>
    <row r="627" spans="1:9" ht="15.75" hidden="1" customHeight="1">
      <c r="A627" s="79"/>
      <c r="B627" s="232">
        <v>45831</v>
      </c>
      <c r="C627" s="233">
        <v>0</v>
      </c>
      <c r="D627" s="233">
        <v>13105</v>
      </c>
      <c r="E627" s="237" t="s">
        <v>31</v>
      </c>
      <c r="F627" s="238">
        <v>62306</v>
      </c>
      <c r="G627" s="242">
        <v>250.23</v>
      </c>
      <c r="H627" s="79"/>
      <c r="I627" s="79"/>
    </row>
    <row r="628" spans="1:9" ht="15.75" hidden="1" customHeight="1">
      <c r="A628" s="79"/>
      <c r="B628" s="239"/>
      <c r="C628" s="239"/>
      <c r="D628" s="239"/>
      <c r="E628" s="234" t="s">
        <v>163</v>
      </c>
      <c r="F628" s="234"/>
      <c r="G628" s="240"/>
      <c r="H628" s="79"/>
      <c r="I628" s="79"/>
    </row>
    <row r="629" spans="1:9" ht="15.75" hidden="1" customHeight="1">
      <c r="A629" s="79"/>
      <c r="B629" s="232">
        <v>45831</v>
      </c>
      <c r="C629" s="233">
        <v>0</v>
      </c>
      <c r="D629" s="233">
        <v>13105</v>
      </c>
      <c r="E629" s="237" t="s">
        <v>34</v>
      </c>
      <c r="F629" s="238">
        <v>62307</v>
      </c>
      <c r="G629" s="242">
        <v>980.72</v>
      </c>
      <c r="H629" s="79"/>
      <c r="I629" s="79"/>
    </row>
    <row r="630" spans="1:9" ht="15.75" hidden="1" customHeight="1">
      <c r="A630" s="79"/>
      <c r="B630" s="239"/>
      <c r="C630" s="239"/>
      <c r="D630" s="239"/>
      <c r="E630" s="234" t="s">
        <v>207</v>
      </c>
      <c r="F630" s="234"/>
      <c r="G630" s="240"/>
      <c r="H630" s="79"/>
      <c r="I630" s="79"/>
    </row>
    <row r="631" spans="1:9" ht="15.75" hidden="1" customHeight="1">
      <c r="A631" s="79"/>
      <c r="B631" s="232">
        <v>45831</v>
      </c>
      <c r="C631" s="233">
        <v>0</v>
      </c>
      <c r="D631" s="233">
        <v>13105</v>
      </c>
      <c r="E631" s="237" t="s">
        <v>31</v>
      </c>
      <c r="F631" s="238">
        <v>62308</v>
      </c>
      <c r="G631" s="242">
        <v>350.86</v>
      </c>
      <c r="H631" s="79"/>
      <c r="I631" s="79"/>
    </row>
    <row r="632" spans="1:9" ht="15.75" hidden="1" customHeight="1">
      <c r="A632" s="79"/>
      <c r="B632" s="239"/>
      <c r="C632" s="239"/>
      <c r="D632" s="239"/>
      <c r="E632" s="234" t="s">
        <v>78</v>
      </c>
      <c r="F632" s="234"/>
      <c r="G632" s="240"/>
      <c r="H632" s="79"/>
      <c r="I632" s="79"/>
    </row>
    <row r="633" spans="1:9" ht="15.75" hidden="1" customHeight="1">
      <c r="A633" s="79"/>
      <c r="B633" s="232">
        <v>45831</v>
      </c>
      <c r="C633" s="233">
        <v>0</v>
      </c>
      <c r="D633" s="233">
        <v>13105</v>
      </c>
      <c r="E633" s="237" t="s">
        <v>31</v>
      </c>
      <c r="F633" s="238">
        <v>62309</v>
      </c>
      <c r="G633" s="242">
        <v>758.56</v>
      </c>
      <c r="H633" s="79"/>
      <c r="I633" s="79"/>
    </row>
    <row r="634" spans="1:9" ht="15.75" hidden="1" customHeight="1">
      <c r="A634" s="79"/>
      <c r="B634" s="239"/>
      <c r="C634" s="239"/>
      <c r="D634" s="239"/>
      <c r="E634" s="234" t="s">
        <v>165</v>
      </c>
      <c r="F634" s="234"/>
      <c r="G634" s="240"/>
      <c r="H634" s="79"/>
      <c r="I634" s="79"/>
    </row>
    <row r="635" spans="1:9" ht="15.75" hidden="1" customHeight="1">
      <c r="A635" s="79"/>
      <c r="B635" s="232">
        <v>45831</v>
      </c>
      <c r="C635" s="233">
        <v>0</v>
      </c>
      <c r="D635" s="233">
        <v>13105</v>
      </c>
      <c r="E635" s="237" t="s">
        <v>31</v>
      </c>
      <c r="F635" s="238">
        <v>62310</v>
      </c>
      <c r="G635" s="242">
        <v>422.92</v>
      </c>
      <c r="H635" s="79"/>
      <c r="I635" s="79"/>
    </row>
    <row r="636" spans="1:9" ht="28.5" hidden="1" customHeight="1">
      <c r="A636" s="79"/>
      <c r="B636" s="239"/>
      <c r="C636" s="239"/>
      <c r="D636" s="239"/>
      <c r="E636" s="234" t="s">
        <v>45</v>
      </c>
      <c r="F636" s="234"/>
      <c r="G636" s="240"/>
      <c r="H636" s="79"/>
      <c r="I636" s="79"/>
    </row>
    <row r="637" spans="1:9" ht="15.75" hidden="1" customHeight="1">
      <c r="A637" s="79"/>
      <c r="B637" s="232">
        <v>45831</v>
      </c>
      <c r="C637" s="233">
        <v>0</v>
      </c>
      <c r="D637" s="233">
        <v>13105</v>
      </c>
      <c r="E637" s="237" t="s">
        <v>31</v>
      </c>
      <c r="F637" s="238">
        <v>62311</v>
      </c>
      <c r="G637" s="242">
        <v>387.38</v>
      </c>
      <c r="H637" s="79"/>
      <c r="I637" s="79"/>
    </row>
    <row r="638" spans="1:9" ht="28.5" hidden="1" customHeight="1">
      <c r="A638" s="79"/>
      <c r="B638" s="239"/>
      <c r="C638" s="239"/>
      <c r="D638" s="239"/>
      <c r="E638" s="234" t="s">
        <v>45</v>
      </c>
      <c r="F638" s="234"/>
      <c r="G638" s="240"/>
      <c r="H638" s="79"/>
      <c r="I638" s="79"/>
    </row>
    <row r="639" spans="1:9" ht="15.75" hidden="1" customHeight="1">
      <c r="A639" s="79"/>
      <c r="B639" s="232">
        <v>45831</v>
      </c>
      <c r="C639" s="233">
        <v>0</v>
      </c>
      <c r="D639" s="233">
        <v>13105</v>
      </c>
      <c r="E639" s="237" t="s">
        <v>31</v>
      </c>
      <c r="F639" s="238">
        <v>62312</v>
      </c>
      <c r="G639" s="242">
        <v>510.48</v>
      </c>
      <c r="H639" s="79"/>
      <c r="I639" s="79"/>
    </row>
    <row r="640" spans="1:9" ht="28.5" hidden="1" customHeight="1">
      <c r="A640" s="79"/>
      <c r="B640" s="239"/>
      <c r="C640" s="239"/>
      <c r="D640" s="239"/>
      <c r="E640" s="234" t="s">
        <v>762</v>
      </c>
      <c r="F640" s="234"/>
      <c r="G640" s="240"/>
      <c r="H640" s="79"/>
      <c r="I640" s="79"/>
    </row>
    <row r="641" spans="1:9" ht="15.75" hidden="1" customHeight="1">
      <c r="A641" s="79"/>
      <c r="B641" s="232">
        <v>45831</v>
      </c>
      <c r="C641" s="233">
        <v>0</v>
      </c>
      <c r="D641" s="233">
        <v>13105</v>
      </c>
      <c r="E641" s="237" t="s">
        <v>31</v>
      </c>
      <c r="F641" s="238">
        <v>62313</v>
      </c>
      <c r="G641" s="242">
        <v>329.54</v>
      </c>
      <c r="H641" s="79"/>
      <c r="I641" s="79"/>
    </row>
    <row r="642" spans="1:9" ht="15.75" hidden="1" customHeight="1">
      <c r="A642" s="79"/>
      <c r="B642" s="239"/>
      <c r="C642" s="239"/>
      <c r="D642" s="239"/>
      <c r="E642" s="234" t="s">
        <v>46</v>
      </c>
      <c r="F642" s="234"/>
      <c r="G642" s="240"/>
      <c r="H642" s="79"/>
      <c r="I642" s="79"/>
    </row>
    <row r="643" spans="1:9" ht="15.75" hidden="1" customHeight="1">
      <c r="A643" s="79"/>
      <c r="B643" s="232">
        <v>45831</v>
      </c>
      <c r="C643" s="233">
        <v>0</v>
      </c>
      <c r="D643" s="233">
        <v>13105</v>
      </c>
      <c r="E643" s="237" t="s">
        <v>31</v>
      </c>
      <c r="F643" s="238">
        <v>62314</v>
      </c>
      <c r="G643" s="242">
        <v>19.88</v>
      </c>
      <c r="H643" s="79"/>
      <c r="I643" s="79"/>
    </row>
    <row r="644" spans="1:9" ht="15.75" hidden="1" customHeight="1">
      <c r="A644" s="79"/>
      <c r="B644" s="239"/>
      <c r="C644" s="239"/>
      <c r="D644" s="239"/>
      <c r="E644" s="234" t="s">
        <v>46</v>
      </c>
      <c r="F644" s="234"/>
      <c r="G644" s="240"/>
      <c r="H644" s="79"/>
      <c r="I644" s="79"/>
    </row>
    <row r="645" spans="1:9" ht="15.75" hidden="1" customHeight="1">
      <c r="A645" s="79"/>
      <c r="B645" s="232">
        <v>45831</v>
      </c>
      <c r="C645" s="233">
        <v>0</v>
      </c>
      <c r="D645" s="233">
        <v>13105</v>
      </c>
      <c r="E645" s="237" t="s">
        <v>31</v>
      </c>
      <c r="F645" s="238">
        <v>62315</v>
      </c>
      <c r="G645" s="242">
        <v>907.65</v>
      </c>
      <c r="H645" s="79"/>
      <c r="I645" s="79"/>
    </row>
    <row r="646" spans="1:9" ht="15.75" hidden="1" customHeight="1">
      <c r="A646" s="79"/>
      <c r="B646" s="239"/>
      <c r="C646" s="239"/>
      <c r="D646" s="239"/>
      <c r="E646" s="234" t="s">
        <v>46</v>
      </c>
      <c r="F646" s="234"/>
      <c r="G646" s="240"/>
      <c r="H646" s="79"/>
      <c r="I646" s="79"/>
    </row>
    <row r="647" spans="1:9" ht="15.75" hidden="1" customHeight="1">
      <c r="A647" s="79"/>
      <c r="B647" s="232">
        <v>45831</v>
      </c>
      <c r="C647" s="233">
        <v>0</v>
      </c>
      <c r="D647" s="233">
        <v>13105</v>
      </c>
      <c r="E647" s="237" t="s">
        <v>31</v>
      </c>
      <c r="F647" s="238">
        <v>62316</v>
      </c>
      <c r="G647" s="242">
        <v>171.32</v>
      </c>
      <c r="H647" s="79"/>
      <c r="I647" s="79"/>
    </row>
    <row r="648" spans="1:9" ht="15.75" hidden="1" customHeight="1">
      <c r="A648" s="79"/>
      <c r="B648" s="239"/>
      <c r="C648" s="239"/>
      <c r="D648" s="239"/>
      <c r="E648" s="234" t="s">
        <v>111</v>
      </c>
      <c r="F648" s="234"/>
      <c r="G648" s="240"/>
      <c r="H648" s="79"/>
      <c r="I648" s="79"/>
    </row>
    <row r="649" spans="1:9" ht="15.75" hidden="1" customHeight="1">
      <c r="A649" s="79"/>
      <c r="B649" s="232">
        <v>45831</v>
      </c>
      <c r="C649" s="233">
        <v>0</v>
      </c>
      <c r="D649" s="233">
        <v>13105</v>
      </c>
      <c r="E649" s="237" t="s">
        <v>31</v>
      </c>
      <c r="F649" s="238">
        <v>62317</v>
      </c>
      <c r="G649" s="242">
        <v>240.44</v>
      </c>
      <c r="H649" s="79"/>
      <c r="I649" s="79"/>
    </row>
    <row r="650" spans="1:9" ht="15.75" hidden="1" customHeight="1">
      <c r="A650" s="79"/>
      <c r="B650" s="239"/>
      <c r="C650" s="239"/>
      <c r="D650" s="239"/>
      <c r="E650" s="234" t="s">
        <v>111</v>
      </c>
      <c r="F650" s="234"/>
      <c r="G650" s="240"/>
      <c r="H650" s="79"/>
      <c r="I650" s="79"/>
    </row>
    <row r="651" spans="1:9" ht="15.75" hidden="1" customHeight="1">
      <c r="A651" s="79"/>
      <c r="B651" s="232">
        <v>45831</v>
      </c>
      <c r="C651" s="233">
        <v>0</v>
      </c>
      <c r="D651" s="233">
        <v>13105</v>
      </c>
      <c r="E651" s="237" t="s">
        <v>31</v>
      </c>
      <c r="F651" s="238">
        <v>62318</v>
      </c>
      <c r="G651" s="242">
        <v>534.75</v>
      </c>
      <c r="H651" s="79"/>
      <c r="I651" s="79"/>
    </row>
    <row r="652" spans="1:9" ht="15.75" hidden="1" customHeight="1">
      <c r="A652" s="79"/>
      <c r="B652" s="239"/>
      <c r="C652" s="239"/>
      <c r="D652" s="239"/>
      <c r="E652" s="234" t="s">
        <v>200</v>
      </c>
      <c r="F652" s="234"/>
      <c r="G652" s="240"/>
      <c r="H652" s="79"/>
      <c r="I652" s="79"/>
    </row>
    <row r="653" spans="1:9" ht="15.75" hidden="1" customHeight="1">
      <c r="A653" s="79"/>
      <c r="B653" s="232">
        <v>45831</v>
      </c>
      <c r="C653" s="233">
        <v>0</v>
      </c>
      <c r="D653" s="233">
        <v>0</v>
      </c>
      <c r="E653" s="237" t="s">
        <v>59</v>
      </c>
      <c r="F653" s="238">
        <v>9903</v>
      </c>
      <c r="G653" s="242">
        <v>2080.86</v>
      </c>
      <c r="H653" s="79"/>
      <c r="I653" s="79"/>
    </row>
    <row r="654" spans="1:9" ht="15.75" hidden="1" customHeight="1">
      <c r="A654" s="79"/>
      <c r="B654" s="239"/>
      <c r="C654" s="239"/>
      <c r="D654" s="239"/>
      <c r="E654" s="234" t="s">
        <v>53</v>
      </c>
      <c r="F654" s="234"/>
      <c r="G654" s="240"/>
      <c r="H654" s="79"/>
      <c r="I654" s="79"/>
    </row>
    <row r="655" spans="1:9" ht="15.75" hidden="1" customHeight="1">
      <c r="A655" s="79"/>
      <c r="B655" s="232">
        <v>45832</v>
      </c>
      <c r="C655" s="233">
        <v>1845</v>
      </c>
      <c r="D655" s="233">
        <v>99021</v>
      </c>
      <c r="E655" s="237" t="s">
        <v>27</v>
      </c>
      <c r="F655" s="238">
        <v>611845000040070</v>
      </c>
      <c r="G655" s="236">
        <v>275.93</v>
      </c>
      <c r="H655" s="79"/>
      <c r="I655" s="79"/>
    </row>
    <row r="656" spans="1:9" ht="28.5" hidden="1" customHeight="1">
      <c r="A656" s="79"/>
      <c r="B656" s="239"/>
      <c r="C656" s="239"/>
      <c r="D656" s="239"/>
      <c r="E656" s="234" t="s">
        <v>763</v>
      </c>
      <c r="F656" s="234"/>
      <c r="G656" s="240"/>
      <c r="H656" s="79"/>
      <c r="I656" s="79"/>
    </row>
    <row r="657" spans="1:19" ht="15.75" hidden="1" customHeight="1">
      <c r="A657" s="79"/>
      <c r="B657" s="232">
        <v>45832</v>
      </c>
      <c r="C657" s="233">
        <v>0</v>
      </c>
      <c r="D657" s="233">
        <v>14175</v>
      </c>
      <c r="E657" s="237" t="s">
        <v>62</v>
      </c>
      <c r="F657" s="238">
        <v>385311892</v>
      </c>
      <c r="G657" s="236">
        <v>5000</v>
      </c>
      <c r="H657" s="79"/>
      <c r="I657" s="79"/>
    </row>
    <row r="658" spans="1:19" ht="28.5" hidden="1" customHeight="1">
      <c r="A658" s="79"/>
      <c r="B658" s="239"/>
      <c r="C658" s="239"/>
      <c r="D658" s="239"/>
      <c r="E658" s="234" t="s">
        <v>97</v>
      </c>
      <c r="F658" s="234"/>
      <c r="G658" s="240"/>
      <c r="H658" s="79"/>
      <c r="I658" s="79"/>
    </row>
    <row r="659" spans="1:19" ht="15.75" customHeight="1">
      <c r="A659" s="130" t="s">
        <v>140</v>
      </c>
      <c r="B659" s="232">
        <v>45832</v>
      </c>
      <c r="C659" s="233">
        <v>0</v>
      </c>
      <c r="D659" s="233">
        <v>14138</v>
      </c>
      <c r="E659" s="241" t="s">
        <v>141</v>
      </c>
      <c r="F659" s="238">
        <v>202506230046760</v>
      </c>
      <c r="G659" s="236">
        <v>3333.13</v>
      </c>
      <c r="H659" s="2" t="s">
        <v>764</v>
      </c>
      <c r="I659" s="79" t="s">
        <v>428</v>
      </c>
      <c r="J659" s="79"/>
      <c r="K659" s="79"/>
      <c r="L659" s="79"/>
      <c r="M659" s="79"/>
      <c r="N659" s="79"/>
      <c r="O659" s="79"/>
      <c r="P659" s="79"/>
      <c r="Q659" s="79"/>
      <c r="R659" s="79"/>
      <c r="S659" s="79"/>
    </row>
    <row r="660" spans="1:19" ht="15.75" hidden="1" customHeight="1">
      <c r="A660" s="79"/>
      <c r="B660" s="239"/>
      <c r="C660" s="239"/>
      <c r="D660" s="239"/>
      <c r="E660" s="234" t="s">
        <v>143</v>
      </c>
      <c r="F660" s="234"/>
      <c r="G660" s="240"/>
      <c r="H660" s="79"/>
      <c r="I660" s="79"/>
    </row>
    <row r="661" spans="1:19" ht="15.75" hidden="1" customHeight="1">
      <c r="A661" s="79"/>
      <c r="B661" s="232">
        <v>45832</v>
      </c>
      <c r="C661" s="233">
        <v>0</v>
      </c>
      <c r="D661" s="233">
        <v>14397</v>
      </c>
      <c r="E661" s="237" t="s">
        <v>57</v>
      </c>
      <c r="F661" s="238">
        <v>241622356066252</v>
      </c>
      <c r="G661" s="236">
        <v>1201.23</v>
      </c>
      <c r="H661" s="79"/>
      <c r="I661" s="79"/>
    </row>
    <row r="662" spans="1:19" ht="28.5" hidden="1" customHeight="1">
      <c r="A662" s="79"/>
      <c r="B662" s="239"/>
      <c r="C662" s="239"/>
      <c r="D662" s="239"/>
      <c r="E662" s="234" t="s">
        <v>765</v>
      </c>
      <c r="F662" s="234"/>
      <c r="G662" s="240"/>
      <c r="H662" s="79"/>
      <c r="I662" s="79"/>
    </row>
    <row r="663" spans="1:19" ht="15.75" hidden="1" customHeight="1">
      <c r="A663" s="79"/>
      <c r="B663" s="232">
        <v>45832</v>
      </c>
      <c r="C663" s="233">
        <v>0</v>
      </c>
      <c r="D663" s="233">
        <v>14397</v>
      </c>
      <c r="E663" s="237" t="s">
        <v>57</v>
      </c>
      <c r="F663" s="238">
        <v>507854019327761</v>
      </c>
      <c r="G663" s="236">
        <v>500</v>
      </c>
      <c r="H663" s="79"/>
      <c r="I663" s="79"/>
    </row>
    <row r="664" spans="1:19" ht="28.5" hidden="1" customHeight="1">
      <c r="A664" s="79"/>
      <c r="B664" s="239"/>
      <c r="C664" s="239"/>
      <c r="D664" s="239"/>
      <c r="E664" s="234" t="s">
        <v>766</v>
      </c>
      <c r="F664" s="234"/>
      <c r="G664" s="240"/>
      <c r="H664" s="79"/>
      <c r="I664" s="79"/>
    </row>
    <row r="665" spans="1:19" ht="15.75" hidden="1" customHeight="1">
      <c r="A665" s="79"/>
      <c r="B665" s="232">
        <v>45832</v>
      </c>
      <c r="C665" s="233">
        <v>1533</v>
      </c>
      <c r="D665" s="233">
        <v>99008</v>
      </c>
      <c r="E665" s="237" t="s">
        <v>29</v>
      </c>
      <c r="F665" s="238">
        <v>14903</v>
      </c>
      <c r="G665" s="242">
        <v>16.82</v>
      </c>
      <c r="H665" s="79"/>
      <c r="I665" s="79"/>
    </row>
    <row r="666" spans="1:19" ht="15.75" hidden="1" customHeight="1">
      <c r="A666" s="79"/>
      <c r="B666" s="239"/>
      <c r="C666" s="239"/>
      <c r="D666" s="239"/>
      <c r="E666" s="234" t="s">
        <v>767</v>
      </c>
      <c r="F666" s="234"/>
      <c r="G666" s="240"/>
      <c r="H666" s="79"/>
      <c r="I666" s="79"/>
    </row>
    <row r="667" spans="1:19" ht="15.75" hidden="1" customHeight="1">
      <c r="A667" s="79"/>
      <c r="B667" s="232">
        <v>45832</v>
      </c>
      <c r="C667" s="233">
        <v>1533</v>
      </c>
      <c r="D667" s="233">
        <v>99008</v>
      </c>
      <c r="E667" s="237" t="s">
        <v>29</v>
      </c>
      <c r="F667" s="238">
        <v>937486</v>
      </c>
      <c r="G667" s="242">
        <v>220.72</v>
      </c>
      <c r="H667" s="79"/>
      <c r="I667" s="79"/>
    </row>
    <row r="668" spans="1:19" ht="15.75" hidden="1" customHeight="1">
      <c r="A668" s="79"/>
      <c r="B668" s="239"/>
      <c r="C668" s="239"/>
      <c r="D668" s="239"/>
      <c r="E668" s="234" t="s">
        <v>768</v>
      </c>
      <c r="F668" s="234"/>
      <c r="G668" s="240"/>
      <c r="H668" s="79"/>
      <c r="I668" s="79"/>
    </row>
    <row r="669" spans="1:19" ht="15.75" hidden="1" customHeight="1">
      <c r="A669" s="79"/>
      <c r="B669" s="232">
        <v>45832</v>
      </c>
      <c r="C669" s="233">
        <v>0</v>
      </c>
      <c r="D669" s="233">
        <v>13105</v>
      </c>
      <c r="E669" s="237" t="s">
        <v>34</v>
      </c>
      <c r="F669" s="238">
        <v>62401</v>
      </c>
      <c r="G669" s="242">
        <v>984.55</v>
      </c>
      <c r="H669" s="79"/>
      <c r="I669" s="79"/>
    </row>
    <row r="670" spans="1:19" ht="15.75" hidden="1" customHeight="1">
      <c r="A670" s="79"/>
      <c r="B670" s="239"/>
      <c r="C670" s="239"/>
      <c r="D670" s="239"/>
      <c r="E670" s="234" t="s">
        <v>207</v>
      </c>
      <c r="F670" s="234"/>
      <c r="G670" s="240"/>
      <c r="H670" s="79"/>
      <c r="I670" s="79"/>
    </row>
    <row r="671" spans="1:19" ht="15.75" hidden="1" customHeight="1">
      <c r="A671" s="79"/>
      <c r="B671" s="232">
        <v>45832</v>
      </c>
      <c r="C671" s="233">
        <v>0</v>
      </c>
      <c r="D671" s="233">
        <v>13105</v>
      </c>
      <c r="E671" s="237" t="s">
        <v>31</v>
      </c>
      <c r="F671" s="238">
        <v>62402</v>
      </c>
      <c r="G671" s="242">
        <v>8486.67</v>
      </c>
      <c r="H671" s="79"/>
      <c r="I671" s="79"/>
    </row>
    <row r="672" spans="1:19" ht="28.5" hidden="1" customHeight="1">
      <c r="A672" s="79"/>
      <c r="B672" s="239"/>
      <c r="C672" s="239"/>
      <c r="D672" s="239"/>
      <c r="E672" s="234" t="s">
        <v>32</v>
      </c>
      <c r="F672" s="234"/>
      <c r="G672" s="240"/>
      <c r="H672" s="79"/>
      <c r="I672" s="79"/>
    </row>
    <row r="673" spans="1:19" ht="15.75" hidden="1" customHeight="1">
      <c r="A673" s="79"/>
      <c r="B673" s="232">
        <v>45832</v>
      </c>
      <c r="C673" s="233">
        <v>0</v>
      </c>
      <c r="D673" s="233">
        <v>13105</v>
      </c>
      <c r="E673" s="237" t="s">
        <v>31</v>
      </c>
      <c r="F673" s="238">
        <v>62403</v>
      </c>
      <c r="G673" s="242">
        <v>1056</v>
      </c>
      <c r="H673" s="79"/>
      <c r="I673" s="79"/>
    </row>
    <row r="674" spans="1:19" ht="15.75" hidden="1" customHeight="1">
      <c r="A674" s="79"/>
      <c r="B674" s="239"/>
      <c r="C674" s="239"/>
      <c r="D674" s="239"/>
      <c r="E674" s="234" t="s">
        <v>769</v>
      </c>
      <c r="F674" s="234"/>
      <c r="G674" s="240"/>
      <c r="H674" s="79"/>
      <c r="I674" s="79"/>
    </row>
    <row r="675" spans="1:19" ht="15.75" hidden="1" customHeight="1">
      <c r="A675" s="79"/>
      <c r="B675" s="232">
        <v>45832</v>
      </c>
      <c r="C675" s="233">
        <v>0</v>
      </c>
      <c r="D675" s="233">
        <v>13105</v>
      </c>
      <c r="E675" s="237" t="s">
        <v>31</v>
      </c>
      <c r="F675" s="238">
        <v>62404</v>
      </c>
      <c r="G675" s="242">
        <v>357.77</v>
      </c>
      <c r="H675" s="79"/>
      <c r="I675" s="79"/>
    </row>
    <row r="676" spans="1:19" ht="28.5" hidden="1" customHeight="1">
      <c r="A676" s="79"/>
      <c r="B676" s="239"/>
      <c r="C676" s="239"/>
      <c r="D676" s="239"/>
      <c r="E676" s="234" t="s">
        <v>45</v>
      </c>
      <c r="F676" s="234"/>
      <c r="G676" s="240"/>
      <c r="H676" s="79"/>
      <c r="I676" s="79"/>
    </row>
    <row r="677" spans="1:19" ht="15.75" hidden="1" customHeight="1">
      <c r="A677" s="79"/>
      <c r="B677" s="232">
        <v>45832</v>
      </c>
      <c r="C677" s="233">
        <v>0</v>
      </c>
      <c r="D677" s="233">
        <v>13105</v>
      </c>
      <c r="E677" s="237" t="s">
        <v>31</v>
      </c>
      <c r="F677" s="238">
        <v>62405</v>
      </c>
      <c r="G677" s="242">
        <v>487.3</v>
      </c>
      <c r="H677" s="79"/>
      <c r="I677" s="79"/>
    </row>
    <row r="678" spans="1:19" ht="28.5" hidden="1" customHeight="1">
      <c r="A678" s="79"/>
      <c r="B678" s="239"/>
      <c r="C678" s="239"/>
      <c r="D678" s="239"/>
      <c r="E678" s="234" t="s">
        <v>396</v>
      </c>
      <c r="F678" s="234"/>
      <c r="G678" s="240"/>
      <c r="H678" s="79"/>
      <c r="I678" s="79"/>
    </row>
    <row r="679" spans="1:19" ht="15.75" hidden="1" customHeight="1">
      <c r="A679" s="79"/>
      <c r="B679" s="232">
        <v>45832</v>
      </c>
      <c r="C679" s="233">
        <v>0</v>
      </c>
      <c r="D679" s="233">
        <v>13105</v>
      </c>
      <c r="E679" s="237" t="s">
        <v>31</v>
      </c>
      <c r="F679" s="238">
        <v>62406</v>
      </c>
      <c r="G679" s="242">
        <v>738.43</v>
      </c>
      <c r="H679" s="79"/>
      <c r="I679" s="79"/>
    </row>
    <row r="680" spans="1:19" ht="15.75" hidden="1" customHeight="1">
      <c r="A680" s="79"/>
      <c r="B680" s="239"/>
      <c r="C680" s="239"/>
      <c r="D680" s="239"/>
      <c r="E680" s="234" t="s">
        <v>46</v>
      </c>
      <c r="F680" s="234"/>
      <c r="G680" s="240"/>
      <c r="H680" s="79"/>
      <c r="I680" s="79"/>
    </row>
    <row r="681" spans="1:19" ht="15.75" hidden="1" customHeight="1">
      <c r="A681" s="79"/>
      <c r="B681" s="232">
        <v>45832</v>
      </c>
      <c r="C681" s="233">
        <v>0</v>
      </c>
      <c r="D681" s="233">
        <v>0</v>
      </c>
      <c r="E681" s="237" t="s">
        <v>52</v>
      </c>
      <c r="F681" s="238">
        <v>9903</v>
      </c>
      <c r="G681" s="236">
        <v>2037.97</v>
      </c>
      <c r="H681" s="79"/>
      <c r="I681" s="79"/>
    </row>
    <row r="682" spans="1:19" ht="15.75" hidden="1" customHeight="1">
      <c r="A682" s="79"/>
      <c r="B682" s="239"/>
      <c r="C682" s="239"/>
      <c r="D682" s="239"/>
      <c r="E682" s="234" t="s">
        <v>53</v>
      </c>
      <c r="F682" s="234"/>
      <c r="G682" s="240"/>
      <c r="H682" s="79"/>
      <c r="I682" s="79"/>
    </row>
    <row r="683" spans="1:19" ht="15.75" customHeight="1">
      <c r="A683" s="130" t="s">
        <v>140</v>
      </c>
      <c r="B683" s="232">
        <v>45833</v>
      </c>
      <c r="C683" s="233">
        <v>0</v>
      </c>
      <c r="D683" s="233">
        <v>14138</v>
      </c>
      <c r="E683" s="241" t="s">
        <v>141</v>
      </c>
      <c r="F683" s="238">
        <v>202506240093611</v>
      </c>
      <c r="G683" s="236">
        <v>477.81</v>
      </c>
      <c r="H683" s="2">
        <v>3537</v>
      </c>
      <c r="I683" s="79" t="s">
        <v>419</v>
      </c>
      <c r="J683" s="79"/>
      <c r="K683" s="79"/>
      <c r="L683" s="79"/>
      <c r="M683" s="79"/>
      <c r="N683" s="79"/>
      <c r="O683" s="79"/>
      <c r="P683" s="79"/>
      <c r="Q683" s="79"/>
      <c r="R683" s="79"/>
      <c r="S683" s="79"/>
    </row>
    <row r="684" spans="1:19" ht="15.75" hidden="1" customHeight="1">
      <c r="A684" s="79"/>
      <c r="B684" s="239"/>
      <c r="C684" s="239"/>
      <c r="D684" s="239"/>
      <c r="E684" s="234" t="s">
        <v>143</v>
      </c>
      <c r="F684" s="234"/>
      <c r="G684" s="240"/>
      <c r="H684" s="79"/>
      <c r="I684" s="79"/>
    </row>
    <row r="685" spans="1:19" ht="15.75" hidden="1" customHeight="1">
      <c r="A685" s="79"/>
      <c r="B685" s="232">
        <v>45833</v>
      </c>
      <c r="C685" s="233">
        <v>0</v>
      </c>
      <c r="D685" s="233">
        <v>14397</v>
      </c>
      <c r="E685" s="237" t="s">
        <v>57</v>
      </c>
      <c r="F685" s="238">
        <v>251351227820992</v>
      </c>
      <c r="G685" s="236">
        <v>165</v>
      </c>
      <c r="H685" s="79"/>
      <c r="I685" s="79"/>
    </row>
    <row r="686" spans="1:19" ht="28.5" hidden="1" customHeight="1">
      <c r="A686" s="79"/>
      <c r="B686" s="239"/>
      <c r="C686" s="239"/>
      <c r="D686" s="239"/>
      <c r="E686" s="234" t="s">
        <v>770</v>
      </c>
      <c r="F686" s="234"/>
      <c r="G686" s="240"/>
      <c r="H686" s="79"/>
      <c r="I686" s="79"/>
    </row>
    <row r="687" spans="1:19" ht="15.75" hidden="1" customHeight="1">
      <c r="A687" s="79"/>
      <c r="B687" s="232">
        <v>45833</v>
      </c>
      <c r="C687" s="233">
        <v>0</v>
      </c>
      <c r="D687" s="233">
        <v>14397</v>
      </c>
      <c r="E687" s="237" t="s">
        <v>57</v>
      </c>
      <c r="F687" s="238">
        <v>251615392847912</v>
      </c>
      <c r="G687" s="236">
        <v>800</v>
      </c>
      <c r="H687" s="79"/>
      <c r="I687" s="79"/>
    </row>
    <row r="688" spans="1:19" ht="28.5" hidden="1" customHeight="1">
      <c r="A688" s="79"/>
      <c r="B688" s="239"/>
      <c r="C688" s="239"/>
      <c r="D688" s="239"/>
      <c r="E688" s="234" t="s">
        <v>771</v>
      </c>
      <c r="F688" s="234"/>
      <c r="G688" s="240"/>
      <c r="H688" s="79"/>
      <c r="I688" s="79"/>
    </row>
    <row r="689" spans="1:9" ht="15.75" hidden="1" customHeight="1">
      <c r="A689" s="79"/>
      <c r="B689" s="232">
        <v>45833</v>
      </c>
      <c r="C689" s="233">
        <v>0</v>
      </c>
      <c r="D689" s="233">
        <v>14397</v>
      </c>
      <c r="E689" s="237" t="s">
        <v>57</v>
      </c>
      <c r="F689" s="238">
        <v>251716521661872</v>
      </c>
      <c r="G689" s="236">
        <v>843</v>
      </c>
      <c r="H689" s="79"/>
      <c r="I689" s="79"/>
    </row>
    <row r="690" spans="1:9" ht="28.5" hidden="1" customHeight="1">
      <c r="A690" s="79"/>
      <c r="B690" s="239"/>
      <c r="C690" s="239"/>
      <c r="D690" s="239"/>
      <c r="E690" s="234" t="s">
        <v>772</v>
      </c>
      <c r="F690" s="234"/>
      <c r="G690" s="240"/>
      <c r="H690" s="79"/>
      <c r="I690" s="79"/>
    </row>
    <row r="691" spans="1:9" ht="15.75" hidden="1" customHeight="1">
      <c r="A691" s="79"/>
      <c r="B691" s="232">
        <v>45833</v>
      </c>
      <c r="C691" s="233">
        <v>0</v>
      </c>
      <c r="D691" s="233">
        <v>14397</v>
      </c>
      <c r="E691" s="237" t="s">
        <v>57</v>
      </c>
      <c r="F691" s="238">
        <v>508702034399261</v>
      </c>
      <c r="G691" s="236">
        <v>2400</v>
      </c>
      <c r="H691" s="79"/>
      <c r="I691" s="79"/>
    </row>
    <row r="692" spans="1:9" ht="28.5" hidden="1" customHeight="1">
      <c r="A692" s="79"/>
      <c r="B692" s="239"/>
      <c r="C692" s="239"/>
      <c r="D692" s="239"/>
      <c r="E692" s="234" t="s">
        <v>773</v>
      </c>
      <c r="F692" s="234"/>
      <c r="G692" s="240"/>
      <c r="H692" s="79"/>
      <c r="I692" s="79"/>
    </row>
    <row r="693" spans="1:9" ht="15.75" hidden="1" customHeight="1">
      <c r="A693" s="79"/>
      <c r="B693" s="232">
        <v>45833</v>
      </c>
      <c r="C693" s="233">
        <v>0</v>
      </c>
      <c r="D693" s="233">
        <v>14397</v>
      </c>
      <c r="E693" s="237" t="s">
        <v>57</v>
      </c>
      <c r="F693" s="238">
        <v>508706841910531</v>
      </c>
      <c r="G693" s="236">
        <v>21600</v>
      </c>
      <c r="H693" s="79"/>
      <c r="I693" s="79"/>
    </row>
    <row r="694" spans="1:9" ht="28.5" hidden="1" customHeight="1">
      <c r="A694" s="79"/>
      <c r="B694" s="239"/>
      <c r="C694" s="239"/>
      <c r="D694" s="239"/>
      <c r="E694" s="234" t="s">
        <v>774</v>
      </c>
      <c r="F694" s="234"/>
      <c r="G694" s="240"/>
      <c r="H694" s="79"/>
      <c r="I694" s="79"/>
    </row>
    <row r="695" spans="1:9" ht="15.75" hidden="1" customHeight="1">
      <c r="A695" s="79"/>
      <c r="B695" s="232">
        <v>45833</v>
      </c>
      <c r="C695" s="233">
        <v>0</v>
      </c>
      <c r="D695" s="233">
        <v>14397</v>
      </c>
      <c r="E695" s="237" t="s">
        <v>57</v>
      </c>
      <c r="F695" s="238">
        <v>508709242206971</v>
      </c>
      <c r="G695" s="236">
        <v>21600</v>
      </c>
      <c r="H695" s="79"/>
      <c r="I695" s="79"/>
    </row>
    <row r="696" spans="1:9" ht="28.5" hidden="1" customHeight="1">
      <c r="A696" s="79"/>
      <c r="B696" s="239"/>
      <c r="C696" s="239"/>
      <c r="D696" s="239"/>
      <c r="E696" s="234" t="s">
        <v>775</v>
      </c>
      <c r="F696" s="234"/>
      <c r="G696" s="240"/>
      <c r="H696" s="79"/>
      <c r="I696" s="79"/>
    </row>
    <row r="697" spans="1:9" ht="15.75" hidden="1" customHeight="1">
      <c r="A697" s="79"/>
      <c r="B697" s="232">
        <v>45833</v>
      </c>
      <c r="C697" s="233">
        <v>0</v>
      </c>
      <c r="D697" s="233">
        <v>14397</v>
      </c>
      <c r="E697" s="237" t="s">
        <v>57</v>
      </c>
      <c r="F697" s="238">
        <v>508767904620751</v>
      </c>
      <c r="G697" s="236">
        <v>120</v>
      </c>
      <c r="H697" s="79"/>
      <c r="I697" s="79"/>
    </row>
    <row r="698" spans="1:9" ht="28.5" hidden="1" customHeight="1">
      <c r="A698" s="79"/>
      <c r="B698" s="239"/>
      <c r="C698" s="239"/>
      <c r="D698" s="239"/>
      <c r="E698" s="234" t="s">
        <v>776</v>
      </c>
      <c r="F698" s="234"/>
      <c r="G698" s="240"/>
      <c r="H698" s="79"/>
      <c r="I698" s="79"/>
    </row>
    <row r="699" spans="1:9" ht="15.75" hidden="1" customHeight="1">
      <c r="A699" s="79"/>
      <c r="B699" s="232">
        <v>45833</v>
      </c>
      <c r="C699" s="233">
        <v>0</v>
      </c>
      <c r="D699" s="233">
        <v>13105</v>
      </c>
      <c r="E699" s="237" t="s">
        <v>80</v>
      </c>
      <c r="F699" s="238">
        <v>62501</v>
      </c>
      <c r="G699" s="242">
        <v>10162.07</v>
      </c>
      <c r="H699" s="79"/>
      <c r="I699" s="79"/>
    </row>
    <row r="700" spans="1:9" ht="15.75" hidden="1" customHeight="1">
      <c r="A700" s="79"/>
      <c r="B700" s="239"/>
      <c r="C700" s="239"/>
      <c r="D700" s="239"/>
      <c r="E700" s="234" t="s">
        <v>154</v>
      </c>
      <c r="F700" s="234"/>
      <c r="G700" s="240"/>
      <c r="H700" s="79"/>
      <c r="I700" s="79"/>
    </row>
    <row r="701" spans="1:9" ht="15.75" hidden="1" customHeight="1">
      <c r="A701" s="79"/>
      <c r="B701" s="232">
        <v>45833</v>
      </c>
      <c r="C701" s="233">
        <v>0</v>
      </c>
      <c r="D701" s="233">
        <v>13105</v>
      </c>
      <c r="E701" s="237" t="s">
        <v>80</v>
      </c>
      <c r="F701" s="238">
        <v>62502</v>
      </c>
      <c r="G701" s="242">
        <v>2201.7600000000002</v>
      </c>
      <c r="H701" s="79"/>
      <c r="I701" s="79"/>
    </row>
    <row r="702" spans="1:9" ht="15.75" hidden="1" customHeight="1">
      <c r="A702" s="79"/>
      <c r="B702" s="239"/>
      <c r="C702" s="239"/>
      <c r="D702" s="239"/>
      <c r="E702" s="234" t="s">
        <v>154</v>
      </c>
      <c r="F702" s="234"/>
      <c r="G702" s="240"/>
      <c r="H702" s="79"/>
      <c r="I702" s="79"/>
    </row>
    <row r="703" spans="1:9" ht="15.75" hidden="1" customHeight="1">
      <c r="A703" s="79"/>
      <c r="B703" s="232">
        <v>45833</v>
      </c>
      <c r="C703" s="233">
        <v>0</v>
      </c>
      <c r="D703" s="233">
        <v>13105</v>
      </c>
      <c r="E703" s="237" t="s">
        <v>31</v>
      </c>
      <c r="F703" s="238">
        <v>62503</v>
      </c>
      <c r="G703" s="242">
        <v>12472.82</v>
      </c>
      <c r="H703" s="79"/>
      <c r="I703" s="79"/>
    </row>
    <row r="704" spans="1:9" ht="15.75" hidden="1" customHeight="1">
      <c r="A704" s="79"/>
      <c r="B704" s="239"/>
      <c r="C704" s="239"/>
      <c r="D704" s="239"/>
      <c r="E704" s="234" t="s">
        <v>55</v>
      </c>
      <c r="F704" s="234"/>
      <c r="G704" s="240"/>
      <c r="H704" s="79"/>
      <c r="I704" s="79"/>
    </row>
    <row r="705" spans="1:9" ht="15.75" hidden="1" customHeight="1">
      <c r="A705" s="79"/>
      <c r="B705" s="232">
        <v>45833</v>
      </c>
      <c r="C705" s="233">
        <v>0</v>
      </c>
      <c r="D705" s="233">
        <v>13105</v>
      </c>
      <c r="E705" s="237" t="s">
        <v>31</v>
      </c>
      <c r="F705" s="238">
        <v>62504</v>
      </c>
      <c r="G705" s="242">
        <v>6400</v>
      </c>
      <c r="H705" s="79"/>
      <c r="I705" s="79"/>
    </row>
    <row r="706" spans="1:9" ht="28.5" hidden="1" customHeight="1">
      <c r="A706" s="79"/>
      <c r="B706" s="239"/>
      <c r="C706" s="239"/>
      <c r="D706" s="239"/>
      <c r="E706" s="234" t="s">
        <v>32</v>
      </c>
      <c r="F706" s="234"/>
      <c r="G706" s="240"/>
      <c r="H706" s="79"/>
      <c r="I706" s="79"/>
    </row>
    <row r="707" spans="1:9" ht="15.75" hidden="1" customHeight="1">
      <c r="A707" s="79"/>
      <c r="B707" s="232">
        <v>45833</v>
      </c>
      <c r="C707" s="233">
        <v>0</v>
      </c>
      <c r="D707" s="233">
        <v>13105</v>
      </c>
      <c r="E707" s="237" t="s">
        <v>31</v>
      </c>
      <c r="F707" s="238">
        <v>62505</v>
      </c>
      <c r="G707" s="242">
        <v>2484</v>
      </c>
      <c r="H707" s="79"/>
      <c r="I707" s="79"/>
    </row>
    <row r="708" spans="1:9" ht="15.75" hidden="1" customHeight="1">
      <c r="A708" s="79"/>
      <c r="B708" s="239"/>
      <c r="C708" s="239"/>
      <c r="D708" s="239"/>
      <c r="E708" s="234" t="s">
        <v>523</v>
      </c>
      <c r="F708" s="234"/>
      <c r="G708" s="240"/>
      <c r="H708" s="79"/>
      <c r="I708" s="79"/>
    </row>
    <row r="709" spans="1:9" ht="15.75" hidden="1" customHeight="1">
      <c r="A709" s="79"/>
      <c r="B709" s="232">
        <v>45833</v>
      </c>
      <c r="C709" s="233">
        <v>0</v>
      </c>
      <c r="D709" s="233">
        <v>13105</v>
      </c>
      <c r="E709" s="237" t="s">
        <v>118</v>
      </c>
      <c r="F709" s="238">
        <v>62506</v>
      </c>
      <c r="G709" s="242">
        <v>12600</v>
      </c>
      <c r="H709" s="79"/>
      <c r="I709" s="79"/>
    </row>
    <row r="710" spans="1:9" ht="28.5" hidden="1" customHeight="1">
      <c r="A710" s="79"/>
      <c r="B710" s="239"/>
      <c r="C710" s="239"/>
      <c r="D710" s="239"/>
      <c r="E710" s="234" t="s">
        <v>777</v>
      </c>
      <c r="F710" s="234"/>
      <c r="G710" s="240"/>
      <c r="H710" s="79"/>
      <c r="I710" s="79"/>
    </row>
    <row r="711" spans="1:9" ht="15.75" hidden="1" customHeight="1">
      <c r="A711" s="79"/>
      <c r="B711" s="232">
        <v>45833</v>
      </c>
      <c r="C711" s="233">
        <v>0</v>
      </c>
      <c r="D711" s="233">
        <v>13105</v>
      </c>
      <c r="E711" s="237" t="s">
        <v>778</v>
      </c>
      <c r="F711" s="238">
        <v>62507</v>
      </c>
      <c r="G711" s="242">
        <v>90.41</v>
      </c>
      <c r="H711" s="79"/>
      <c r="I711" s="79"/>
    </row>
    <row r="712" spans="1:9" ht="15.75" hidden="1" customHeight="1">
      <c r="A712" s="79"/>
      <c r="B712" s="239"/>
      <c r="C712" s="239"/>
      <c r="D712" s="239"/>
      <c r="E712" s="234" t="s">
        <v>779</v>
      </c>
      <c r="F712" s="234"/>
      <c r="G712" s="240"/>
      <c r="H712" s="79"/>
      <c r="I712" s="79"/>
    </row>
    <row r="713" spans="1:9" ht="15.75" hidden="1" customHeight="1">
      <c r="A713" s="79"/>
      <c r="B713" s="232">
        <v>45833</v>
      </c>
      <c r="C713" s="233">
        <v>0</v>
      </c>
      <c r="D713" s="233">
        <v>13105</v>
      </c>
      <c r="E713" s="237" t="s">
        <v>31</v>
      </c>
      <c r="F713" s="238">
        <v>62508</v>
      </c>
      <c r="G713" s="242">
        <v>239</v>
      </c>
      <c r="H713" s="79"/>
      <c r="I713" s="79"/>
    </row>
    <row r="714" spans="1:9" ht="28.5" hidden="1" customHeight="1">
      <c r="A714" s="79"/>
      <c r="B714" s="239"/>
      <c r="C714" s="239"/>
      <c r="D714" s="239"/>
      <c r="E714" s="234" t="s">
        <v>41</v>
      </c>
      <c r="F714" s="234"/>
      <c r="G714" s="240"/>
      <c r="H714" s="79"/>
      <c r="I714" s="79"/>
    </row>
    <row r="715" spans="1:9" ht="15.75" hidden="1" customHeight="1">
      <c r="A715" s="79"/>
      <c r="B715" s="232">
        <v>45833</v>
      </c>
      <c r="C715" s="233">
        <v>0</v>
      </c>
      <c r="D715" s="233">
        <v>13105</v>
      </c>
      <c r="E715" s="237" t="s">
        <v>31</v>
      </c>
      <c r="F715" s="238">
        <v>62509</v>
      </c>
      <c r="G715" s="242">
        <v>352.62</v>
      </c>
      <c r="H715" s="79"/>
      <c r="I715" s="79"/>
    </row>
    <row r="716" spans="1:9" ht="15.75" hidden="1" customHeight="1">
      <c r="A716" s="79"/>
      <c r="B716" s="239"/>
      <c r="C716" s="239"/>
      <c r="D716" s="239"/>
      <c r="E716" s="234" t="s">
        <v>111</v>
      </c>
      <c r="F716" s="234"/>
      <c r="G716" s="240"/>
      <c r="H716" s="79"/>
      <c r="I716" s="79"/>
    </row>
    <row r="717" spans="1:9" ht="15.75" hidden="1" customHeight="1">
      <c r="A717" s="79"/>
      <c r="B717" s="232">
        <v>45833</v>
      </c>
      <c r="C717" s="233">
        <v>0</v>
      </c>
      <c r="D717" s="233">
        <v>13113</v>
      </c>
      <c r="E717" s="237" t="s">
        <v>189</v>
      </c>
      <c r="F717" s="238">
        <v>861761200066899</v>
      </c>
      <c r="G717" s="242">
        <v>10</v>
      </c>
      <c r="H717" s="79"/>
      <c r="I717" s="79"/>
    </row>
    <row r="718" spans="1:9" ht="28.5" hidden="1" customHeight="1">
      <c r="A718" s="79"/>
      <c r="B718" s="239"/>
      <c r="C718" s="239"/>
      <c r="D718" s="239"/>
      <c r="E718" s="234" t="s">
        <v>780</v>
      </c>
      <c r="F718" s="234"/>
      <c r="G718" s="240"/>
      <c r="H718" s="79"/>
      <c r="I718" s="79"/>
    </row>
    <row r="719" spans="1:9" ht="15.75" hidden="1" customHeight="1">
      <c r="A719" s="79"/>
      <c r="B719" s="232">
        <v>45833</v>
      </c>
      <c r="C719" s="233">
        <v>0</v>
      </c>
      <c r="D719" s="233">
        <v>0</v>
      </c>
      <c r="E719" s="237" t="s">
        <v>59</v>
      </c>
      <c r="F719" s="238">
        <v>9903</v>
      </c>
      <c r="G719" s="242">
        <v>993.13</v>
      </c>
      <c r="H719" s="79"/>
      <c r="I719" s="79"/>
    </row>
    <row r="720" spans="1:9" ht="15.75" hidden="1" customHeight="1">
      <c r="A720" s="79"/>
      <c r="B720" s="239"/>
      <c r="C720" s="239"/>
      <c r="D720" s="239"/>
      <c r="E720" s="234" t="s">
        <v>53</v>
      </c>
      <c r="F720" s="234"/>
      <c r="G720" s="240"/>
      <c r="H720" s="79"/>
      <c r="I720" s="79"/>
    </row>
    <row r="721" spans="1:19" ht="15.75" hidden="1" customHeight="1">
      <c r="A721" s="79"/>
      <c r="B721" s="232">
        <v>45834</v>
      </c>
      <c r="C721" s="233">
        <v>1106</v>
      </c>
      <c r="D721" s="233">
        <v>99015</v>
      </c>
      <c r="E721" s="237" t="s">
        <v>27</v>
      </c>
      <c r="F721" s="238">
        <v>551106000019189</v>
      </c>
      <c r="G721" s="236">
        <v>2473.67</v>
      </c>
      <c r="H721" s="79"/>
      <c r="I721" s="79"/>
    </row>
    <row r="722" spans="1:19" ht="28.5" hidden="1" customHeight="1">
      <c r="A722" s="79"/>
      <c r="B722" s="239"/>
      <c r="C722" s="239"/>
      <c r="D722" s="239"/>
      <c r="E722" s="234" t="s">
        <v>781</v>
      </c>
      <c r="F722" s="234"/>
      <c r="G722" s="240"/>
      <c r="H722" s="79"/>
      <c r="I722" s="79"/>
    </row>
    <row r="723" spans="1:19" ht="15.75" hidden="1" customHeight="1">
      <c r="A723" s="79"/>
      <c r="B723" s="232">
        <v>45834</v>
      </c>
      <c r="C723" s="233">
        <v>0</v>
      </c>
      <c r="D723" s="233">
        <v>14175</v>
      </c>
      <c r="E723" s="237" t="s">
        <v>62</v>
      </c>
      <c r="F723" s="238">
        <v>385523549</v>
      </c>
      <c r="G723" s="236">
        <v>3000</v>
      </c>
      <c r="H723" s="79"/>
      <c r="I723" s="79"/>
    </row>
    <row r="724" spans="1:19" ht="28.5" hidden="1" customHeight="1">
      <c r="A724" s="79"/>
      <c r="B724" s="239"/>
      <c r="C724" s="239"/>
      <c r="D724" s="239"/>
      <c r="E724" s="234" t="s">
        <v>97</v>
      </c>
      <c r="F724" s="234"/>
      <c r="G724" s="240"/>
      <c r="H724" s="79"/>
      <c r="I724" s="79"/>
    </row>
    <row r="725" spans="1:19" ht="15.75" customHeight="1">
      <c r="A725" s="130" t="s">
        <v>140</v>
      </c>
      <c r="B725" s="232">
        <v>45834</v>
      </c>
      <c r="C725" s="233">
        <v>0</v>
      </c>
      <c r="D725" s="233">
        <v>14138</v>
      </c>
      <c r="E725" s="241" t="s">
        <v>141</v>
      </c>
      <c r="F725" s="238">
        <v>202506250019438</v>
      </c>
      <c r="G725" s="236">
        <v>238</v>
      </c>
      <c r="H725" s="2">
        <v>3498</v>
      </c>
      <c r="I725" s="79" t="s">
        <v>419</v>
      </c>
      <c r="J725" s="79"/>
      <c r="K725" s="79"/>
      <c r="L725" s="79"/>
      <c r="M725" s="79"/>
      <c r="N725" s="79"/>
      <c r="O725" s="79"/>
      <c r="P725" s="79"/>
      <c r="Q725" s="79"/>
      <c r="R725" s="79"/>
      <c r="S725" s="79"/>
    </row>
    <row r="726" spans="1:19" ht="15.75" hidden="1" customHeight="1">
      <c r="A726" s="79"/>
      <c r="B726" s="239"/>
      <c r="C726" s="239"/>
      <c r="D726" s="239"/>
      <c r="E726" s="234" t="s">
        <v>143</v>
      </c>
      <c r="F726" s="234"/>
      <c r="G726" s="240"/>
      <c r="H726" s="79"/>
      <c r="I726" s="79"/>
    </row>
    <row r="727" spans="1:19" ht="15.75" customHeight="1">
      <c r="A727" s="130" t="s">
        <v>140</v>
      </c>
      <c r="B727" s="232">
        <v>45834</v>
      </c>
      <c r="C727" s="233">
        <v>0</v>
      </c>
      <c r="D727" s="233">
        <v>14138</v>
      </c>
      <c r="E727" s="241" t="s">
        <v>141</v>
      </c>
      <c r="F727" s="238">
        <v>202506250019446</v>
      </c>
      <c r="G727" s="236">
        <v>1668.08</v>
      </c>
      <c r="H727" s="2">
        <v>3557</v>
      </c>
      <c r="I727" s="79" t="s">
        <v>428</v>
      </c>
      <c r="J727" s="79"/>
      <c r="K727" s="79"/>
      <c r="L727" s="79"/>
      <c r="M727" s="79"/>
      <c r="N727" s="79"/>
      <c r="O727" s="79"/>
      <c r="P727" s="79"/>
      <c r="Q727" s="79"/>
      <c r="R727" s="79"/>
      <c r="S727" s="79"/>
    </row>
    <row r="728" spans="1:19" ht="15.75" hidden="1" customHeight="1">
      <c r="A728" s="79"/>
      <c r="B728" s="239"/>
      <c r="C728" s="239"/>
      <c r="D728" s="239"/>
      <c r="E728" s="234" t="s">
        <v>143</v>
      </c>
      <c r="F728" s="234"/>
      <c r="G728" s="240"/>
      <c r="H728" s="79"/>
      <c r="I728" s="79"/>
    </row>
    <row r="729" spans="1:19" ht="15.75" customHeight="1">
      <c r="A729" s="130" t="s">
        <v>140</v>
      </c>
      <c r="B729" s="232">
        <v>45834</v>
      </c>
      <c r="C729" s="233">
        <v>0</v>
      </c>
      <c r="D729" s="233">
        <v>14138</v>
      </c>
      <c r="E729" s="241" t="s">
        <v>141</v>
      </c>
      <c r="F729" s="238">
        <v>202506250019448</v>
      </c>
      <c r="G729" s="236">
        <v>1206.3699999999999</v>
      </c>
      <c r="H729" s="2">
        <v>3723</v>
      </c>
      <c r="I729" s="79" t="s">
        <v>428</v>
      </c>
      <c r="J729" s="79"/>
      <c r="K729" s="79"/>
      <c r="L729" s="79"/>
      <c r="M729" s="79"/>
      <c r="N729" s="79"/>
      <c r="O729" s="79"/>
      <c r="P729" s="79"/>
      <c r="Q729" s="79"/>
      <c r="R729" s="79"/>
      <c r="S729" s="79"/>
    </row>
    <row r="730" spans="1:19" ht="15.75" hidden="1" customHeight="1">
      <c r="A730" s="79"/>
      <c r="B730" s="239"/>
      <c r="C730" s="239"/>
      <c r="D730" s="239"/>
      <c r="E730" s="234" t="s">
        <v>143</v>
      </c>
      <c r="F730" s="234"/>
      <c r="G730" s="240"/>
      <c r="H730" s="79"/>
      <c r="I730" s="79"/>
    </row>
    <row r="731" spans="1:19" ht="15.75" customHeight="1">
      <c r="A731" s="130" t="s">
        <v>140</v>
      </c>
      <c r="B731" s="232">
        <v>45834</v>
      </c>
      <c r="C731" s="233">
        <v>0</v>
      </c>
      <c r="D731" s="233">
        <v>14138</v>
      </c>
      <c r="E731" s="241" t="s">
        <v>141</v>
      </c>
      <c r="F731" s="238">
        <v>202506250019450</v>
      </c>
      <c r="G731" s="236">
        <v>1376.02</v>
      </c>
      <c r="H731" s="2">
        <v>3708</v>
      </c>
      <c r="I731" s="79" t="s">
        <v>428</v>
      </c>
      <c r="J731" s="79"/>
      <c r="K731" s="79"/>
      <c r="L731" s="79"/>
      <c r="M731" s="79"/>
      <c r="N731" s="79"/>
      <c r="O731" s="79"/>
      <c r="P731" s="79"/>
      <c r="Q731" s="79"/>
      <c r="R731" s="79"/>
      <c r="S731" s="79"/>
    </row>
    <row r="732" spans="1:19" ht="15.75" hidden="1" customHeight="1">
      <c r="A732" s="79"/>
      <c r="B732" s="239"/>
      <c r="C732" s="239"/>
      <c r="D732" s="239"/>
      <c r="E732" s="234" t="s">
        <v>143</v>
      </c>
      <c r="F732" s="234"/>
      <c r="G732" s="240"/>
      <c r="H732" s="79"/>
      <c r="I732" s="79"/>
    </row>
    <row r="733" spans="1:19" ht="15.75" customHeight="1">
      <c r="A733" s="130" t="s">
        <v>140</v>
      </c>
      <c r="B733" s="232">
        <v>45834</v>
      </c>
      <c r="C733" s="233">
        <v>0</v>
      </c>
      <c r="D733" s="233">
        <v>14138</v>
      </c>
      <c r="E733" s="241" t="s">
        <v>141</v>
      </c>
      <c r="F733" s="238">
        <v>202506250019457</v>
      </c>
      <c r="G733" s="236">
        <v>1668.08</v>
      </c>
      <c r="H733" s="2">
        <v>3566</v>
      </c>
      <c r="I733" s="79" t="s">
        <v>428</v>
      </c>
      <c r="J733" s="79"/>
      <c r="K733" s="79"/>
      <c r="L733" s="79"/>
      <c r="M733" s="79"/>
      <c r="N733" s="79"/>
      <c r="O733" s="79"/>
      <c r="P733" s="79"/>
      <c r="Q733" s="79"/>
      <c r="R733" s="79"/>
      <c r="S733" s="79"/>
    </row>
    <row r="734" spans="1:19" ht="15.75" hidden="1" customHeight="1">
      <c r="A734" s="79"/>
      <c r="B734" s="239"/>
      <c r="C734" s="239"/>
      <c r="D734" s="239"/>
      <c r="E734" s="234" t="s">
        <v>143</v>
      </c>
      <c r="F734" s="234"/>
      <c r="G734" s="240"/>
      <c r="H734" s="79"/>
      <c r="I734" s="79"/>
    </row>
    <row r="735" spans="1:19" ht="15.75" hidden="1" customHeight="1">
      <c r="A735" s="79"/>
      <c r="B735" s="232">
        <v>45834</v>
      </c>
      <c r="C735" s="233">
        <v>0</v>
      </c>
      <c r="D735" s="233">
        <v>14397</v>
      </c>
      <c r="E735" s="237" t="s">
        <v>57</v>
      </c>
      <c r="F735" s="238">
        <v>261752097241082</v>
      </c>
      <c r="G735" s="236">
        <v>18650</v>
      </c>
      <c r="H735" s="79"/>
      <c r="I735" s="79"/>
    </row>
    <row r="736" spans="1:19" ht="28.5" hidden="1" customHeight="1">
      <c r="A736" s="79"/>
      <c r="B736" s="239"/>
      <c r="C736" s="239"/>
      <c r="D736" s="239"/>
      <c r="E736" s="234" t="s">
        <v>782</v>
      </c>
      <c r="F736" s="234"/>
      <c r="G736" s="240"/>
      <c r="H736" s="79"/>
      <c r="I736" s="79"/>
    </row>
    <row r="737" spans="1:9" ht="15.75" hidden="1" customHeight="1">
      <c r="A737" s="79"/>
      <c r="B737" s="232">
        <v>45834</v>
      </c>
      <c r="C737" s="233">
        <v>0</v>
      </c>
      <c r="D737" s="233">
        <v>14397</v>
      </c>
      <c r="E737" s="237" t="s">
        <v>57</v>
      </c>
      <c r="F737" s="238">
        <v>261755068065652</v>
      </c>
      <c r="G737" s="236">
        <v>35400</v>
      </c>
      <c r="H737" s="79"/>
      <c r="I737" s="79"/>
    </row>
    <row r="738" spans="1:9" ht="28.5" hidden="1" customHeight="1">
      <c r="A738" s="79"/>
      <c r="B738" s="239"/>
      <c r="C738" s="239"/>
      <c r="D738" s="239"/>
      <c r="E738" s="234" t="s">
        <v>783</v>
      </c>
      <c r="F738" s="234"/>
      <c r="G738" s="240"/>
      <c r="H738" s="79"/>
      <c r="I738" s="79"/>
    </row>
    <row r="739" spans="1:9" ht="15.75" hidden="1" customHeight="1">
      <c r="A739" s="79"/>
      <c r="B739" s="232">
        <v>45834</v>
      </c>
      <c r="C739" s="233">
        <v>0</v>
      </c>
      <c r="D739" s="233">
        <v>14397</v>
      </c>
      <c r="E739" s="237" t="s">
        <v>57</v>
      </c>
      <c r="F739" s="238">
        <v>509646480117531</v>
      </c>
      <c r="G739" s="236">
        <v>200</v>
      </c>
      <c r="H739" s="79"/>
      <c r="I739" s="79"/>
    </row>
    <row r="740" spans="1:9" ht="28.5" hidden="1" customHeight="1">
      <c r="A740" s="79"/>
      <c r="B740" s="239"/>
      <c r="C740" s="239"/>
      <c r="D740" s="239"/>
      <c r="E740" s="234" t="s">
        <v>784</v>
      </c>
      <c r="F740" s="234"/>
      <c r="G740" s="240"/>
      <c r="H740" s="79"/>
      <c r="I740" s="79"/>
    </row>
    <row r="741" spans="1:9" ht="15.75" hidden="1" customHeight="1">
      <c r="A741" s="79"/>
      <c r="B741" s="232">
        <v>45834</v>
      </c>
      <c r="C741" s="233">
        <v>0</v>
      </c>
      <c r="D741" s="233">
        <v>13105</v>
      </c>
      <c r="E741" s="237" t="s">
        <v>31</v>
      </c>
      <c r="F741" s="238">
        <v>62601</v>
      </c>
      <c r="G741" s="242">
        <v>2383</v>
      </c>
      <c r="H741" s="79"/>
      <c r="I741" s="79"/>
    </row>
    <row r="742" spans="1:9" ht="28.5" hidden="1" customHeight="1">
      <c r="A742" s="79"/>
      <c r="B742" s="239"/>
      <c r="C742" s="239"/>
      <c r="D742" s="239"/>
      <c r="E742" s="234" t="s">
        <v>615</v>
      </c>
      <c r="F742" s="234"/>
      <c r="G742" s="240"/>
      <c r="H742" s="79"/>
      <c r="I742" s="79"/>
    </row>
    <row r="743" spans="1:9" ht="15.75" hidden="1" customHeight="1">
      <c r="A743" s="79"/>
      <c r="B743" s="232">
        <v>45834</v>
      </c>
      <c r="C743" s="233">
        <v>0</v>
      </c>
      <c r="D743" s="233">
        <v>13105</v>
      </c>
      <c r="E743" s="237" t="s">
        <v>34</v>
      </c>
      <c r="F743" s="238">
        <v>62602</v>
      </c>
      <c r="G743" s="242">
        <v>100.99</v>
      </c>
      <c r="H743" s="79"/>
      <c r="I743" s="79"/>
    </row>
    <row r="744" spans="1:9" ht="15.75" hidden="1" customHeight="1">
      <c r="A744" s="79"/>
      <c r="B744" s="239"/>
      <c r="C744" s="239"/>
      <c r="D744" s="239"/>
      <c r="E744" s="234" t="s">
        <v>108</v>
      </c>
      <c r="F744" s="234"/>
      <c r="G744" s="240"/>
      <c r="H744" s="79"/>
      <c r="I744" s="79"/>
    </row>
    <row r="745" spans="1:9" ht="15.75" hidden="1" customHeight="1">
      <c r="A745" s="79"/>
      <c r="B745" s="232">
        <v>45834</v>
      </c>
      <c r="C745" s="233">
        <v>0</v>
      </c>
      <c r="D745" s="233">
        <v>13105</v>
      </c>
      <c r="E745" s="237" t="s">
        <v>31</v>
      </c>
      <c r="F745" s="238">
        <v>62603</v>
      </c>
      <c r="G745" s="242">
        <v>147.88999999999999</v>
      </c>
      <c r="H745" s="79"/>
      <c r="I745" s="79"/>
    </row>
    <row r="746" spans="1:9" ht="15.75" hidden="1" customHeight="1">
      <c r="A746" s="79"/>
      <c r="B746" s="239"/>
      <c r="C746" s="239"/>
      <c r="D746" s="239"/>
      <c r="E746" s="234" t="s">
        <v>507</v>
      </c>
      <c r="F746" s="234"/>
      <c r="G746" s="240"/>
      <c r="H746" s="79"/>
      <c r="I746" s="79"/>
    </row>
    <row r="747" spans="1:9" ht="15.75" hidden="1" customHeight="1">
      <c r="A747" s="79"/>
      <c r="B747" s="232">
        <v>45834</v>
      </c>
      <c r="C747" s="233">
        <v>0</v>
      </c>
      <c r="D747" s="233">
        <v>13105</v>
      </c>
      <c r="E747" s="237" t="s">
        <v>31</v>
      </c>
      <c r="F747" s="238">
        <v>62604</v>
      </c>
      <c r="G747" s="242">
        <v>1750</v>
      </c>
      <c r="H747" s="79"/>
      <c r="I747" s="79"/>
    </row>
    <row r="748" spans="1:9" ht="15.75" hidden="1" customHeight="1">
      <c r="A748" s="79"/>
      <c r="B748" s="239"/>
      <c r="C748" s="239"/>
      <c r="D748" s="239"/>
      <c r="E748" s="234" t="s">
        <v>173</v>
      </c>
      <c r="F748" s="234"/>
      <c r="G748" s="240"/>
      <c r="H748" s="79"/>
      <c r="I748" s="79"/>
    </row>
    <row r="749" spans="1:9" ht="15.75" hidden="1" customHeight="1">
      <c r="A749" s="79"/>
      <c r="B749" s="232">
        <v>45834</v>
      </c>
      <c r="C749" s="233">
        <v>0</v>
      </c>
      <c r="D749" s="233">
        <v>13105</v>
      </c>
      <c r="E749" s="237" t="s">
        <v>31</v>
      </c>
      <c r="F749" s="238">
        <v>62605</v>
      </c>
      <c r="G749" s="242">
        <v>1348.59</v>
      </c>
      <c r="H749" s="79"/>
      <c r="I749" s="79"/>
    </row>
    <row r="750" spans="1:9" ht="15.75" hidden="1" customHeight="1">
      <c r="A750" s="79"/>
      <c r="B750" s="239"/>
      <c r="C750" s="239"/>
      <c r="D750" s="239"/>
      <c r="E750" s="234" t="s">
        <v>769</v>
      </c>
      <c r="F750" s="234"/>
      <c r="G750" s="240"/>
      <c r="H750" s="79"/>
      <c r="I750" s="79"/>
    </row>
    <row r="751" spans="1:9" ht="15.75" hidden="1" customHeight="1">
      <c r="A751" s="79"/>
      <c r="B751" s="232">
        <v>45834</v>
      </c>
      <c r="C751" s="233">
        <v>0</v>
      </c>
      <c r="D751" s="233">
        <v>13105</v>
      </c>
      <c r="E751" s="237" t="s">
        <v>34</v>
      </c>
      <c r="F751" s="238">
        <v>62606</v>
      </c>
      <c r="G751" s="242">
        <v>135.63999999999999</v>
      </c>
      <c r="H751" s="79"/>
      <c r="I751" s="79"/>
    </row>
    <row r="752" spans="1:9" ht="15.75" hidden="1" customHeight="1">
      <c r="A752" s="79"/>
      <c r="B752" s="239"/>
      <c r="C752" s="239"/>
      <c r="D752" s="239"/>
      <c r="E752" s="234" t="s">
        <v>35</v>
      </c>
      <c r="F752" s="234"/>
      <c r="G752" s="240"/>
      <c r="H752" s="79"/>
      <c r="I752" s="79"/>
    </row>
    <row r="753" spans="1:9" ht="15.75" hidden="1" customHeight="1">
      <c r="A753" s="79"/>
      <c r="B753" s="232">
        <v>45834</v>
      </c>
      <c r="C753" s="233">
        <v>0</v>
      </c>
      <c r="D753" s="233">
        <v>13105</v>
      </c>
      <c r="E753" s="237" t="s">
        <v>31</v>
      </c>
      <c r="F753" s="238">
        <v>62607</v>
      </c>
      <c r="G753" s="242">
        <v>538.29999999999995</v>
      </c>
      <c r="H753" s="79"/>
      <c r="I753" s="79"/>
    </row>
    <row r="754" spans="1:9" ht="15.75" hidden="1" customHeight="1">
      <c r="A754" s="79"/>
      <c r="B754" s="239"/>
      <c r="C754" s="239"/>
      <c r="D754" s="239"/>
      <c r="E754" s="234" t="s">
        <v>231</v>
      </c>
      <c r="F754" s="234"/>
      <c r="G754" s="240"/>
      <c r="H754" s="79"/>
      <c r="I754" s="79"/>
    </row>
    <row r="755" spans="1:9" ht="15.75" hidden="1" customHeight="1">
      <c r="A755" s="79"/>
      <c r="B755" s="232">
        <v>45834</v>
      </c>
      <c r="C755" s="233">
        <v>0</v>
      </c>
      <c r="D755" s="233">
        <v>13105</v>
      </c>
      <c r="E755" s="237" t="s">
        <v>31</v>
      </c>
      <c r="F755" s="238">
        <v>62608</v>
      </c>
      <c r="G755" s="242">
        <v>287.62</v>
      </c>
      <c r="H755" s="79"/>
      <c r="I755" s="79"/>
    </row>
    <row r="756" spans="1:9" ht="15.75" hidden="1" customHeight="1">
      <c r="A756" s="79"/>
      <c r="B756" s="239"/>
      <c r="C756" s="239"/>
      <c r="D756" s="239"/>
      <c r="E756" s="234" t="s">
        <v>231</v>
      </c>
      <c r="F756" s="234"/>
      <c r="G756" s="240"/>
      <c r="H756" s="79"/>
      <c r="I756" s="79"/>
    </row>
    <row r="757" spans="1:9" ht="15.75" hidden="1" customHeight="1">
      <c r="A757" s="79"/>
      <c r="B757" s="232">
        <v>45834</v>
      </c>
      <c r="C757" s="233">
        <v>0</v>
      </c>
      <c r="D757" s="233">
        <v>13105</v>
      </c>
      <c r="E757" s="237" t="s">
        <v>31</v>
      </c>
      <c r="F757" s="238">
        <v>62609</v>
      </c>
      <c r="G757" s="242">
        <v>164.48</v>
      </c>
      <c r="H757" s="79"/>
      <c r="I757" s="79"/>
    </row>
    <row r="758" spans="1:9" ht="15.75" hidden="1" customHeight="1">
      <c r="A758" s="79"/>
      <c r="B758" s="239"/>
      <c r="C758" s="239"/>
      <c r="D758" s="239"/>
      <c r="E758" s="234" t="s">
        <v>47</v>
      </c>
      <c r="F758" s="234"/>
      <c r="G758" s="240"/>
      <c r="H758" s="79"/>
      <c r="I758" s="79"/>
    </row>
    <row r="759" spans="1:9" ht="15.75" hidden="1" customHeight="1">
      <c r="A759" s="79"/>
      <c r="B759" s="232">
        <v>45834</v>
      </c>
      <c r="C759" s="233">
        <v>0</v>
      </c>
      <c r="D759" s="233">
        <v>13105</v>
      </c>
      <c r="E759" s="237" t="s">
        <v>31</v>
      </c>
      <c r="F759" s="238">
        <v>62610</v>
      </c>
      <c r="G759" s="242">
        <v>1209</v>
      </c>
      <c r="H759" s="79"/>
      <c r="I759" s="79"/>
    </row>
    <row r="760" spans="1:9" ht="15.75" hidden="1" customHeight="1">
      <c r="A760" s="79"/>
      <c r="B760" s="239"/>
      <c r="C760" s="239"/>
      <c r="D760" s="239"/>
      <c r="E760" s="234" t="s">
        <v>46</v>
      </c>
      <c r="F760" s="234"/>
      <c r="G760" s="240"/>
      <c r="H760" s="79"/>
      <c r="I760" s="79"/>
    </row>
    <row r="761" spans="1:9" ht="15.75" hidden="1" customHeight="1">
      <c r="A761" s="79"/>
      <c r="B761" s="232">
        <v>45834</v>
      </c>
      <c r="C761" s="233">
        <v>0</v>
      </c>
      <c r="D761" s="233">
        <v>13105</v>
      </c>
      <c r="E761" s="237" t="s">
        <v>31</v>
      </c>
      <c r="F761" s="238">
        <v>62611</v>
      </c>
      <c r="G761" s="242">
        <v>1050.79</v>
      </c>
      <c r="H761" s="79"/>
      <c r="I761" s="79"/>
    </row>
    <row r="762" spans="1:9" ht="15.75" hidden="1" customHeight="1">
      <c r="A762" s="79"/>
      <c r="B762" s="239"/>
      <c r="C762" s="239"/>
      <c r="D762" s="239"/>
      <c r="E762" s="234" t="s">
        <v>46</v>
      </c>
      <c r="F762" s="234"/>
      <c r="G762" s="240"/>
      <c r="H762" s="79"/>
      <c r="I762" s="79"/>
    </row>
    <row r="763" spans="1:9" ht="15.75" hidden="1" customHeight="1">
      <c r="A763" s="79"/>
      <c r="B763" s="232">
        <v>45834</v>
      </c>
      <c r="C763" s="233">
        <v>0</v>
      </c>
      <c r="D763" s="233">
        <v>13105</v>
      </c>
      <c r="E763" s="237" t="s">
        <v>31</v>
      </c>
      <c r="F763" s="238">
        <v>62612</v>
      </c>
      <c r="G763" s="242">
        <v>273.24</v>
      </c>
      <c r="H763" s="79"/>
      <c r="I763" s="79"/>
    </row>
    <row r="764" spans="1:9" ht="28.5" hidden="1" customHeight="1">
      <c r="A764" s="79"/>
      <c r="B764" s="239"/>
      <c r="C764" s="239"/>
      <c r="D764" s="239"/>
      <c r="E764" s="234" t="s">
        <v>45</v>
      </c>
      <c r="F764" s="234"/>
      <c r="G764" s="240"/>
      <c r="H764" s="79"/>
      <c r="I764" s="79"/>
    </row>
    <row r="765" spans="1:9" ht="15.75" hidden="1" customHeight="1">
      <c r="A765" s="79"/>
      <c r="B765" s="232">
        <v>45834</v>
      </c>
      <c r="C765" s="233">
        <v>0</v>
      </c>
      <c r="D765" s="233">
        <v>13105</v>
      </c>
      <c r="E765" s="237" t="s">
        <v>31</v>
      </c>
      <c r="F765" s="238">
        <v>62613</v>
      </c>
      <c r="G765" s="242">
        <v>460.45</v>
      </c>
      <c r="H765" s="79"/>
      <c r="I765" s="79"/>
    </row>
    <row r="766" spans="1:9" ht="15.75" hidden="1" customHeight="1">
      <c r="A766" s="79"/>
      <c r="B766" s="239"/>
      <c r="C766" s="239"/>
      <c r="D766" s="239"/>
      <c r="E766" s="234" t="s">
        <v>201</v>
      </c>
      <c r="F766" s="234"/>
      <c r="G766" s="240"/>
      <c r="H766" s="79"/>
      <c r="I766" s="79"/>
    </row>
    <row r="767" spans="1:9" ht="15.75" hidden="1" customHeight="1">
      <c r="A767" s="79"/>
      <c r="B767" s="232">
        <v>45834</v>
      </c>
      <c r="C767" s="233">
        <v>0</v>
      </c>
      <c r="D767" s="233">
        <v>13105</v>
      </c>
      <c r="E767" s="237" t="s">
        <v>778</v>
      </c>
      <c r="F767" s="238">
        <v>62614</v>
      </c>
      <c r="G767" s="242">
        <v>156.18</v>
      </c>
      <c r="H767" s="79"/>
      <c r="I767" s="79"/>
    </row>
    <row r="768" spans="1:9" ht="15.75" hidden="1" customHeight="1">
      <c r="A768" s="79"/>
      <c r="B768" s="239"/>
      <c r="C768" s="239"/>
      <c r="D768" s="239"/>
      <c r="E768" s="234" t="s">
        <v>785</v>
      </c>
      <c r="F768" s="234"/>
      <c r="G768" s="240"/>
      <c r="H768" s="79"/>
      <c r="I768" s="79"/>
    </row>
    <row r="769" spans="1:19" ht="15.75" hidden="1" customHeight="1">
      <c r="A769" s="79"/>
      <c r="B769" s="232">
        <v>45834</v>
      </c>
      <c r="C769" s="233">
        <v>0</v>
      </c>
      <c r="D769" s="233">
        <v>0</v>
      </c>
      <c r="E769" s="237" t="s">
        <v>59</v>
      </c>
      <c r="F769" s="238">
        <v>9903</v>
      </c>
      <c r="G769" s="242">
        <v>55874.05</v>
      </c>
      <c r="H769" s="79"/>
      <c r="I769" s="79"/>
    </row>
    <row r="770" spans="1:19" ht="15.75" hidden="1" customHeight="1">
      <c r="A770" s="79"/>
      <c r="B770" s="239"/>
      <c r="C770" s="239"/>
      <c r="D770" s="239"/>
      <c r="E770" s="234" t="s">
        <v>53</v>
      </c>
      <c r="F770" s="234"/>
      <c r="G770" s="240"/>
      <c r="H770" s="79"/>
      <c r="I770" s="79"/>
    </row>
    <row r="771" spans="1:19" ht="15.75" customHeight="1">
      <c r="A771" s="130" t="s">
        <v>140</v>
      </c>
      <c r="B771" s="232">
        <v>45835</v>
      </c>
      <c r="C771" s="233">
        <v>0</v>
      </c>
      <c r="D771" s="233">
        <v>14138</v>
      </c>
      <c r="E771" s="241" t="s">
        <v>141</v>
      </c>
      <c r="F771" s="238">
        <v>202506260172414</v>
      </c>
      <c r="G771" s="236">
        <v>609.28</v>
      </c>
      <c r="H771" s="2">
        <v>3324</v>
      </c>
      <c r="I771" s="79" t="s">
        <v>419</v>
      </c>
      <c r="J771" s="79"/>
      <c r="K771" s="79"/>
      <c r="L771" s="79"/>
      <c r="M771" s="79"/>
      <c r="N771" s="79"/>
      <c r="O771" s="79"/>
      <c r="P771" s="79"/>
      <c r="Q771" s="79"/>
      <c r="R771" s="79"/>
      <c r="S771" s="79"/>
    </row>
    <row r="772" spans="1:19" ht="15.75" hidden="1" customHeight="1">
      <c r="A772" s="79"/>
      <c r="B772" s="239"/>
      <c r="C772" s="239"/>
      <c r="D772" s="239"/>
      <c r="E772" s="234" t="s">
        <v>143</v>
      </c>
      <c r="F772" s="234"/>
      <c r="G772" s="240"/>
      <c r="H772" s="79"/>
      <c r="I772" s="79"/>
    </row>
    <row r="773" spans="1:19" ht="15.75" customHeight="1">
      <c r="A773" s="150" t="s">
        <v>423</v>
      </c>
      <c r="B773" s="232">
        <v>45835</v>
      </c>
      <c r="C773" s="233">
        <v>0</v>
      </c>
      <c r="D773" s="233">
        <v>14138</v>
      </c>
      <c r="E773" s="241" t="s">
        <v>141</v>
      </c>
      <c r="F773" s="238">
        <v>202506260172416</v>
      </c>
      <c r="G773" s="236">
        <v>609.28</v>
      </c>
      <c r="H773" s="151" t="s">
        <v>786</v>
      </c>
      <c r="I773" s="150"/>
      <c r="J773" s="79"/>
      <c r="K773" s="79"/>
      <c r="L773" s="79"/>
      <c r="M773" s="79"/>
      <c r="N773" s="79"/>
      <c r="O773" s="79"/>
      <c r="P773" s="79"/>
      <c r="Q773" s="79"/>
      <c r="R773" s="79"/>
      <c r="S773" s="79"/>
    </row>
    <row r="774" spans="1:19" ht="15.75" hidden="1" customHeight="1">
      <c r="A774" s="79"/>
      <c r="B774" s="239"/>
      <c r="C774" s="239"/>
      <c r="D774" s="239"/>
      <c r="E774" s="234" t="s">
        <v>143</v>
      </c>
      <c r="F774" s="234"/>
      <c r="G774" s="240"/>
      <c r="H774" s="79"/>
      <c r="I774" s="79"/>
    </row>
    <row r="775" spans="1:19" ht="15.75" customHeight="1">
      <c r="A775" s="130" t="s">
        <v>140</v>
      </c>
      <c r="B775" s="232">
        <v>45835</v>
      </c>
      <c r="C775" s="233">
        <v>0</v>
      </c>
      <c r="D775" s="233">
        <v>14138</v>
      </c>
      <c r="E775" s="241" t="s">
        <v>141</v>
      </c>
      <c r="F775" s="238">
        <v>202506260172418</v>
      </c>
      <c r="G775" s="236">
        <v>1553.66</v>
      </c>
      <c r="H775" s="2">
        <v>3649</v>
      </c>
      <c r="I775" s="79" t="s">
        <v>595</v>
      </c>
      <c r="J775" s="79"/>
      <c r="K775" s="79"/>
      <c r="L775" s="79"/>
      <c r="M775" s="79"/>
      <c r="N775" s="79"/>
      <c r="O775" s="79"/>
      <c r="P775" s="79"/>
      <c r="Q775" s="79"/>
      <c r="R775" s="79"/>
      <c r="S775" s="79"/>
    </row>
    <row r="776" spans="1:19" ht="15.75" hidden="1" customHeight="1">
      <c r="A776" s="79"/>
      <c r="B776" s="239"/>
      <c r="C776" s="239"/>
      <c r="D776" s="239"/>
      <c r="E776" s="234" t="s">
        <v>143</v>
      </c>
      <c r="F776" s="234"/>
      <c r="G776" s="240"/>
      <c r="H776" s="79"/>
      <c r="I776" s="79"/>
    </row>
    <row r="777" spans="1:19" ht="15.75" customHeight="1">
      <c r="A777" s="130" t="s">
        <v>140</v>
      </c>
      <c r="B777" s="232">
        <v>45835</v>
      </c>
      <c r="C777" s="233">
        <v>0</v>
      </c>
      <c r="D777" s="233">
        <v>14138</v>
      </c>
      <c r="E777" s="241" t="s">
        <v>141</v>
      </c>
      <c r="F777" s="238">
        <v>202506260172420</v>
      </c>
      <c r="G777" s="236">
        <v>609.28</v>
      </c>
      <c r="H777" s="2">
        <v>3579</v>
      </c>
      <c r="I777" s="79" t="s">
        <v>419</v>
      </c>
      <c r="J777" s="79"/>
      <c r="K777" s="79"/>
      <c r="L777" s="79"/>
      <c r="M777" s="79"/>
      <c r="N777" s="79"/>
      <c r="O777" s="79"/>
      <c r="P777" s="79"/>
      <c r="Q777" s="79"/>
      <c r="R777" s="79"/>
      <c r="S777" s="79"/>
    </row>
    <row r="778" spans="1:19" ht="15.75" hidden="1" customHeight="1">
      <c r="A778" s="79"/>
      <c r="B778" s="239"/>
      <c r="C778" s="239"/>
      <c r="D778" s="239"/>
      <c r="E778" s="234" t="s">
        <v>143</v>
      </c>
      <c r="F778" s="234"/>
      <c r="G778" s="240"/>
      <c r="H778" s="79"/>
      <c r="I778" s="79"/>
    </row>
    <row r="779" spans="1:19" ht="15.75" customHeight="1">
      <c r="A779" s="130" t="s">
        <v>140</v>
      </c>
      <c r="B779" s="232">
        <v>45835</v>
      </c>
      <c r="C779" s="233">
        <v>0</v>
      </c>
      <c r="D779" s="233">
        <v>14138</v>
      </c>
      <c r="E779" s="241" t="s">
        <v>141</v>
      </c>
      <c r="F779" s="238">
        <v>202506260172448</v>
      </c>
      <c r="G779" s="236">
        <v>732.7</v>
      </c>
      <c r="H779" s="2">
        <v>3371</v>
      </c>
      <c r="I779" s="79" t="s">
        <v>595</v>
      </c>
      <c r="J779" s="79"/>
      <c r="K779" s="79"/>
      <c r="L779" s="79"/>
      <c r="M779" s="79"/>
      <c r="N779" s="79"/>
      <c r="O779" s="79"/>
      <c r="P779" s="79"/>
      <c r="Q779" s="79"/>
      <c r="R779" s="79"/>
      <c r="S779" s="79"/>
    </row>
    <row r="780" spans="1:19" ht="15.75" hidden="1" customHeight="1">
      <c r="A780" s="79"/>
      <c r="B780" s="239"/>
      <c r="C780" s="239"/>
      <c r="D780" s="239"/>
      <c r="E780" s="234" t="s">
        <v>143</v>
      </c>
      <c r="F780" s="234"/>
      <c r="G780" s="240"/>
      <c r="H780" s="79"/>
      <c r="I780" s="79"/>
    </row>
    <row r="781" spans="1:19" ht="15.75" customHeight="1">
      <c r="A781" s="130" t="s">
        <v>140</v>
      </c>
      <c r="B781" s="232">
        <v>45835</v>
      </c>
      <c r="C781" s="233">
        <v>0</v>
      </c>
      <c r="D781" s="233">
        <v>14138</v>
      </c>
      <c r="E781" s="241" t="s">
        <v>141</v>
      </c>
      <c r="F781" s="238">
        <v>202506260172449</v>
      </c>
      <c r="G781" s="236">
        <v>1476.65</v>
      </c>
      <c r="H781" s="2">
        <v>3631</v>
      </c>
      <c r="I781" s="79" t="s">
        <v>595</v>
      </c>
      <c r="J781" s="79"/>
      <c r="K781" s="79"/>
      <c r="L781" s="79"/>
      <c r="M781" s="79"/>
      <c r="N781" s="79"/>
      <c r="O781" s="79"/>
      <c r="P781" s="79"/>
      <c r="Q781" s="79"/>
      <c r="R781" s="79"/>
      <c r="S781" s="79"/>
    </row>
    <row r="782" spans="1:19" ht="15.75" hidden="1" customHeight="1">
      <c r="A782" s="79"/>
      <c r="B782" s="239"/>
      <c r="C782" s="239"/>
      <c r="D782" s="239"/>
      <c r="E782" s="234" t="s">
        <v>143</v>
      </c>
      <c r="F782" s="234"/>
      <c r="G782" s="240"/>
      <c r="H782" s="79"/>
      <c r="I782" s="79"/>
    </row>
    <row r="783" spans="1:19" ht="15.75" customHeight="1">
      <c r="A783" s="150" t="s">
        <v>423</v>
      </c>
      <c r="B783" s="232">
        <v>45835</v>
      </c>
      <c r="C783" s="233">
        <v>0</v>
      </c>
      <c r="D783" s="233">
        <v>14138</v>
      </c>
      <c r="E783" s="241" t="s">
        <v>141</v>
      </c>
      <c r="F783" s="238">
        <v>202506260172451</v>
      </c>
      <c r="G783" s="236">
        <v>692</v>
      </c>
      <c r="H783" s="151" t="s">
        <v>787</v>
      </c>
      <c r="I783" s="150"/>
      <c r="J783" s="79"/>
      <c r="K783" s="79"/>
      <c r="L783" s="79"/>
      <c r="M783" s="79"/>
      <c r="N783" s="79"/>
      <c r="O783" s="79"/>
      <c r="P783" s="79"/>
      <c r="Q783" s="79"/>
      <c r="R783" s="79"/>
      <c r="S783" s="79"/>
    </row>
    <row r="784" spans="1:19" ht="15.75" hidden="1" customHeight="1">
      <c r="A784" s="79"/>
      <c r="B784" s="239"/>
      <c r="C784" s="239"/>
      <c r="D784" s="239"/>
      <c r="E784" s="234" t="s">
        <v>143</v>
      </c>
      <c r="F784" s="234"/>
      <c r="G784" s="240"/>
      <c r="H784" s="79"/>
      <c r="I784" s="79"/>
    </row>
    <row r="785" spans="1:19" ht="15.75" customHeight="1">
      <c r="A785" s="130" t="s">
        <v>140</v>
      </c>
      <c r="B785" s="232">
        <v>45835</v>
      </c>
      <c r="C785" s="233">
        <v>0</v>
      </c>
      <c r="D785" s="233">
        <v>14138</v>
      </c>
      <c r="E785" s="241" t="s">
        <v>141</v>
      </c>
      <c r="F785" s="238">
        <v>202506260172454</v>
      </c>
      <c r="G785" s="236">
        <v>1476.65</v>
      </c>
      <c r="H785" s="2">
        <v>3662</v>
      </c>
      <c r="I785" s="79" t="s">
        <v>595</v>
      </c>
      <c r="J785" s="79"/>
      <c r="K785" s="79"/>
      <c r="L785" s="79"/>
      <c r="M785" s="79"/>
      <c r="N785" s="79"/>
      <c r="O785" s="79"/>
      <c r="P785" s="79"/>
      <c r="Q785" s="79"/>
      <c r="R785" s="79"/>
      <c r="S785" s="79"/>
    </row>
    <row r="786" spans="1:19" ht="15.75" hidden="1" customHeight="1">
      <c r="A786" s="79"/>
      <c r="B786" s="239"/>
      <c r="C786" s="239"/>
      <c r="D786" s="239"/>
      <c r="E786" s="234" t="s">
        <v>143</v>
      </c>
      <c r="F786" s="234"/>
      <c r="G786" s="240"/>
      <c r="H786" s="79"/>
      <c r="I786" s="79"/>
    </row>
    <row r="787" spans="1:19" ht="15.75" customHeight="1">
      <c r="A787" s="130" t="s">
        <v>140</v>
      </c>
      <c r="B787" s="232">
        <v>45835</v>
      </c>
      <c r="C787" s="233">
        <v>0</v>
      </c>
      <c r="D787" s="233">
        <v>14138</v>
      </c>
      <c r="E787" s="241" t="s">
        <v>141</v>
      </c>
      <c r="F787" s="238">
        <v>202506260172460</v>
      </c>
      <c r="G787" s="236">
        <v>1476.65</v>
      </c>
      <c r="H787" s="2">
        <v>3686</v>
      </c>
      <c r="I787" s="79" t="s">
        <v>595</v>
      </c>
      <c r="J787" s="79"/>
      <c r="K787" s="79"/>
      <c r="L787" s="79"/>
      <c r="M787" s="79"/>
      <c r="N787" s="79"/>
      <c r="O787" s="79"/>
      <c r="P787" s="79"/>
      <c r="Q787" s="79"/>
      <c r="R787" s="79"/>
      <c r="S787" s="79"/>
    </row>
    <row r="788" spans="1:19" ht="15.75" hidden="1" customHeight="1">
      <c r="A788" s="79"/>
      <c r="B788" s="239"/>
      <c r="C788" s="239"/>
      <c r="D788" s="239"/>
      <c r="E788" s="234" t="s">
        <v>143</v>
      </c>
      <c r="F788" s="234"/>
      <c r="G788" s="240"/>
      <c r="H788" s="79"/>
      <c r="I788" s="79"/>
    </row>
    <row r="789" spans="1:19" ht="15.75" customHeight="1">
      <c r="A789" s="130" t="s">
        <v>140</v>
      </c>
      <c r="B789" s="232">
        <v>45835</v>
      </c>
      <c r="C789" s="233">
        <v>0</v>
      </c>
      <c r="D789" s="233">
        <v>14138</v>
      </c>
      <c r="E789" s="241" t="s">
        <v>141</v>
      </c>
      <c r="F789" s="238">
        <v>202506260172462</v>
      </c>
      <c r="G789" s="236">
        <v>1476.65</v>
      </c>
      <c r="H789" s="2">
        <v>3595</v>
      </c>
      <c r="I789" s="79" t="s">
        <v>595</v>
      </c>
      <c r="J789" s="79"/>
      <c r="K789" s="79"/>
      <c r="L789" s="79"/>
      <c r="M789" s="79"/>
      <c r="N789" s="79"/>
      <c r="O789" s="79"/>
      <c r="P789" s="79"/>
      <c r="Q789" s="79"/>
      <c r="R789" s="79"/>
      <c r="S789" s="79"/>
    </row>
    <row r="790" spans="1:19" ht="15.75" hidden="1" customHeight="1">
      <c r="A790" s="79"/>
      <c r="B790" s="239"/>
      <c r="C790" s="239"/>
      <c r="D790" s="239"/>
      <c r="E790" s="234" t="s">
        <v>143</v>
      </c>
      <c r="F790" s="234"/>
      <c r="G790" s="240"/>
      <c r="H790" s="79"/>
      <c r="I790" s="79"/>
    </row>
    <row r="791" spans="1:19" ht="15.75" hidden="1" customHeight="1">
      <c r="A791" s="79"/>
      <c r="B791" s="232">
        <v>45835</v>
      </c>
      <c r="C791" s="233">
        <v>0</v>
      </c>
      <c r="D791" s="233">
        <v>14397</v>
      </c>
      <c r="E791" s="237" t="s">
        <v>57</v>
      </c>
      <c r="F791" s="238">
        <v>271617499030912</v>
      </c>
      <c r="G791" s="236">
        <v>1000</v>
      </c>
      <c r="H791" s="79"/>
      <c r="I791" s="79"/>
    </row>
    <row r="792" spans="1:19" ht="28.5" hidden="1" customHeight="1">
      <c r="A792" s="79"/>
      <c r="B792" s="239"/>
      <c r="C792" s="239"/>
      <c r="D792" s="239"/>
      <c r="E792" s="234" t="s">
        <v>788</v>
      </c>
      <c r="F792" s="234"/>
      <c r="G792" s="240"/>
      <c r="H792" s="79"/>
      <c r="I792" s="79"/>
    </row>
    <row r="793" spans="1:19" ht="15.75" hidden="1" customHeight="1">
      <c r="A793" s="79"/>
      <c r="B793" s="232">
        <v>45835</v>
      </c>
      <c r="C793" s="233">
        <v>1533</v>
      </c>
      <c r="D793" s="233">
        <v>99015</v>
      </c>
      <c r="E793" s="237" t="s">
        <v>195</v>
      </c>
      <c r="F793" s="238">
        <v>551845000113366</v>
      </c>
      <c r="G793" s="242">
        <v>20000</v>
      </c>
      <c r="H793" s="79"/>
      <c r="I793" s="79"/>
    </row>
    <row r="794" spans="1:19" ht="28.5" hidden="1" customHeight="1">
      <c r="A794" s="79"/>
      <c r="B794" s="239"/>
      <c r="C794" s="239"/>
      <c r="D794" s="239"/>
      <c r="E794" s="234" t="s">
        <v>789</v>
      </c>
      <c r="F794" s="234"/>
      <c r="G794" s="240"/>
      <c r="H794" s="79"/>
      <c r="I794" s="79"/>
    </row>
    <row r="795" spans="1:19" ht="15.75" hidden="1" customHeight="1">
      <c r="A795" s="79"/>
      <c r="B795" s="232">
        <v>45835</v>
      </c>
      <c r="C795" s="233">
        <v>0</v>
      </c>
      <c r="D795" s="233">
        <v>13105</v>
      </c>
      <c r="E795" s="237" t="s">
        <v>370</v>
      </c>
      <c r="F795" s="238">
        <v>62701</v>
      </c>
      <c r="G795" s="242">
        <v>3000</v>
      </c>
      <c r="H795" s="79"/>
      <c r="I795" s="79"/>
    </row>
    <row r="796" spans="1:19" ht="28.5" hidden="1" customHeight="1">
      <c r="A796" s="79"/>
      <c r="B796" s="239"/>
      <c r="C796" s="239"/>
      <c r="D796" s="239"/>
      <c r="E796" s="234" t="s">
        <v>509</v>
      </c>
      <c r="F796" s="234"/>
      <c r="G796" s="240"/>
      <c r="H796" s="79"/>
      <c r="I796" s="79"/>
    </row>
    <row r="797" spans="1:19" ht="15.75" hidden="1" customHeight="1">
      <c r="A797" s="79"/>
      <c r="B797" s="232">
        <v>45835</v>
      </c>
      <c r="C797" s="233">
        <v>0</v>
      </c>
      <c r="D797" s="233">
        <v>13105</v>
      </c>
      <c r="E797" s="237" t="s">
        <v>370</v>
      </c>
      <c r="F797" s="238">
        <v>62702</v>
      </c>
      <c r="G797" s="242">
        <v>2800</v>
      </c>
      <c r="H797" s="79"/>
      <c r="I797" s="79"/>
    </row>
    <row r="798" spans="1:19" ht="28.5" hidden="1" customHeight="1">
      <c r="A798" s="79"/>
      <c r="B798" s="239"/>
      <c r="C798" s="239"/>
      <c r="D798" s="239"/>
      <c r="E798" s="234" t="s">
        <v>508</v>
      </c>
      <c r="F798" s="234"/>
      <c r="G798" s="240"/>
      <c r="H798" s="79"/>
      <c r="I798" s="79"/>
    </row>
    <row r="799" spans="1:19" ht="15.75" hidden="1" customHeight="1">
      <c r="A799" s="79"/>
      <c r="B799" s="232">
        <v>45835</v>
      </c>
      <c r="C799" s="233">
        <v>0</v>
      </c>
      <c r="D799" s="233">
        <v>13105</v>
      </c>
      <c r="E799" s="237" t="s">
        <v>31</v>
      </c>
      <c r="F799" s="238">
        <v>62703</v>
      </c>
      <c r="G799" s="242">
        <v>162.22</v>
      </c>
      <c r="H799" s="79"/>
      <c r="I799" s="79"/>
    </row>
    <row r="800" spans="1:19" ht="15.75" hidden="1" customHeight="1">
      <c r="A800" s="79"/>
      <c r="B800" s="239"/>
      <c r="C800" s="239"/>
      <c r="D800" s="239"/>
      <c r="E800" s="234" t="s">
        <v>51</v>
      </c>
      <c r="F800" s="234"/>
      <c r="G800" s="240"/>
      <c r="H800" s="79"/>
      <c r="I800" s="79"/>
    </row>
    <row r="801" spans="1:9" ht="15.75" hidden="1" customHeight="1">
      <c r="A801" s="79"/>
      <c r="B801" s="232">
        <v>45835</v>
      </c>
      <c r="C801" s="233">
        <v>0</v>
      </c>
      <c r="D801" s="233">
        <v>13105</v>
      </c>
      <c r="E801" s="237" t="s">
        <v>31</v>
      </c>
      <c r="F801" s="238">
        <v>62704</v>
      </c>
      <c r="G801" s="242">
        <v>3773.4</v>
      </c>
      <c r="H801" s="79"/>
      <c r="I801" s="79"/>
    </row>
    <row r="802" spans="1:9" ht="15.75" hidden="1" customHeight="1">
      <c r="A802" s="79"/>
      <c r="B802" s="239"/>
      <c r="C802" s="239"/>
      <c r="D802" s="239"/>
      <c r="E802" s="234" t="s">
        <v>33</v>
      </c>
      <c r="F802" s="234"/>
      <c r="G802" s="240"/>
      <c r="H802" s="79"/>
      <c r="I802" s="79"/>
    </row>
    <row r="803" spans="1:9" ht="15.75" hidden="1" customHeight="1">
      <c r="A803" s="79"/>
      <c r="B803" s="232">
        <v>45835</v>
      </c>
      <c r="C803" s="233">
        <v>0</v>
      </c>
      <c r="D803" s="233">
        <v>13105</v>
      </c>
      <c r="E803" s="237" t="s">
        <v>31</v>
      </c>
      <c r="F803" s="238">
        <v>62705</v>
      </c>
      <c r="G803" s="242">
        <v>4890</v>
      </c>
      <c r="H803" s="79"/>
      <c r="I803" s="79"/>
    </row>
    <row r="804" spans="1:9" ht="28.5" hidden="1" customHeight="1">
      <c r="A804" s="79"/>
      <c r="B804" s="239"/>
      <c r="C804" s="239"/>
      <c r="D804" s="239"/>
      <c r="E804" s="234" t="s">
        <v>32</v>
      </c>
      <c r="F804" s="234"/>
      <c r="G804" s="240"/>
      <c r="H804" s="79"/>
      <c r="I804" s="79"/>
    </row>
    <row r="805" spans="1:9" ht="15.75" hidden="1" customHeight="1">
      <c r="A805" s="79"/>
      <c r="B805" s="232">
        <v>45835</v>
      </c>
      <c r="C805" s="233">
        <v>0</v>
      </c>
      <c r="D805" s="233">
        <v>13105</v>
      </c>
      <c r="E805" s="237" t="s">
        <v>31</v>
      </c>
      <c r="F805" s="238">
        <v>62706</v>
      </c>
      <c r="G805" s="242">
        <v>828.86</v>
      </c>
      <c r="H805" s="79"/>
      <c r="I805" s="79"/>
    </row>
    <row r="806" spans="1:9" ht="15.75" hidden="1" customHeight="1">
      <c r="A806" s="79"/>
      <c r="B806" s="239"/>
      <c r="C806" s="239"/>
      <c r="D806" s="239"/>
      <c r="E806" s="234" t="s">
        <v>66</v>
      </c>
      <c r="F806" s="234"/>
      <c r="G806" s="240"/>
      <c r="H806" s="79"/>
      <c r="I806" s="79"/>
    </row>
    <row r="807" spans="1:9" ht="15.75" hidden="1" customHeight="1">
      <c r="A807" s="79"/>
      <c r="B807" s="232">
        <v>45835</v>
      </c>
      <c r="C807" s="233">
        <v>0</v>
      </c>
      <c r="D807" s="233">
        <v>13105</v>
      </c>
      <c r="E807" s="237" t="s">
        <v>31</v>
      </c>
      <c r="F807" s="238">
        <v>62707</v>
      </c>
      <c r="G807" s="242">
        <v>875</v>
      </c>
      <c r="H807" s="79"/>
      <c r="I807" s="79"/>
    </row>
    <row r="808" spans="1:9" ht="28.5" hidden="1" customHeight="1">
      <c r="A808" s="79"/>
      <c r="B808" s="239"/>
      <c r="C808" s="239"/>
      <c r="D808" s="239"/>
      <c r="E808" s="234" t="s">
        <v>455</v>
      </c>
      <c r="F808" s="234"/>
      <c r="G808" s="240"/>
      <c r="H808" s="79"/>
      <c r="I808" s="79"/>
    </row>
    <row r="809" spans="1:9" ht="15.75" hidden="1" customHeight="1">
      <c r="A809" s="79"/>
      <c r="B809" s="232">
        <v>45835</v>
      </c>
      <c r="C809" s="233">
        <v>0</v>
      </c>
      <c r="D809" s="233">
        <v>13105</v>
      </c>
      <c r="E809" s="237" t="s">
        <v>31</v>
      </c>
      <c r="F809" s="238">
        <v>62708</v>
      </c>
      <c r="G809" s="242">
        <v>108</v>
      </c>
      <c r="H809" s="79"/>
      <c r="I809" s="79"/>
    </row>
    <row r="810" spans="1:9" ht="15.75" hidden="1" customHeight="1">
      <c r="A810" s="79"/>
      <c r="B810" s="239"/>
      <c r="C810" s="239"/>
      <c r="D810" s="239"/>
      <c r="E810" s="234" t="s">
        <v>441</v>
      </c>
      <c r="F810" s="234"/>
      <c r="G810" s="240"/>
      <c r="H810" s="79"/>
      <c r="I810" s="79"/>
    </row>
    <row r="811" spans="1:9" ht="15.75" hidden="1" customHeight="1">
      <c r="A811" s="79"/>
      <c r="B811" s="232">
        <v>45835</v>
      </c>
      <c r="C811" s="233">
        <v>0</v>
      </c>
      <c r="D811" s="233">
        <v>13105</v>
      </c>
      <c r="E811" s="237" t="s">
        <v>31</v>
      </c>
      <c r="F811" s="238">
        <v>62709</v>
      </c>
      <c r="G811" s="242">
        <v>3586</v>
      </c>
      <c r="H811" s="79"/>
      <c r="I811" s="79"/>
    </row>
    <row r="812" spans="1:9" ht="28.5" hidden="1" customHeight="1">
      <c r="A812" s="79"/>
      <c r="B812" s="239"/>
      <c r="C812" s="239"/>
      <c r="D812" s="239"/>
      <c r="E812" s="234" t="s">
        <v>347</v>
      </c>
      <c r="F812" s="234"/>
      <c r="G812" s="240"/>
      <c r="H812" s="79"/>
      <c r="I812" s="79"/>
    </row>
    <row r="813" spans="1:9" ht="15.75" hidden="1" customHeight="1">
      <c r="A813" s="79"/>
      <c r="B813" s="232">
        <v>45835</v>
      </c>
      <c r="C813" s="233">
        <v>0</v>
      </c>
      <c r="D813" s="233">
        <v>13105</v>
      </c>
      <c r="E813" s="237" t="s">
        <v>31</v>
      </c>
      <c r="F813" s="238">
        <v>62710</v>
      </c>
      <c r="G813" s="242">
        <v>2002.4</v>
      </c>
      <c r="H813" s="79"/>
      <c r="I813" s="79"/>
    </row>
    <row r="814" spans="1:9" ht="28.5" hidden="1" customHeight="1">
      <c r="A814" s="79"/>
      <c r="B814" s="239"/>
      <c r="C814" s="239"/>
      <c r="D814" s="239"/>
      <c r="E814" s="234" t="s">
        <v>348</v>
      </c>
      <c r="F814" s="234"/>
      <c r="G814" s="240"/>
      <c r="H814" s="79"/>
      <c r="I814" s="79"/>
    </row>
    <row r="815" spans="1:9" ht="15.75" hidden="1" customHeight="1">
      <c r="A815" s="79"/>
      <c r="B815" s="232">
        <v>45835</v>
      </c>
      <c r="C815" s="233">
        <v>0</v>
      </c>
      <c r="D815" s="233">
        <v>13105</v>
      </c>
      <c r="E815" s="237" t="s">
        <v>31</v>
      </c>
      <c r="F815" s="238">
        <v>62711</v>
      </c>
      <c r="G815" s="242">
        <v>2207.5100000000002</v>
      </c>
      <c r="H815" s="79"/>
      <c r="I815" s="79"/>
    </row>
    <row r="816" spans="1:9" ht="28.5" hidden="1" customHeight="1">
      <c r="A816" s="79"/>
      <c r="B816" s="239"/>
      <c r="C816" s="239"/>
      <c r="D816" s="239"/>
      <c r="E816" s="234" t="s">
        <v>348</v>
      </c>
      <c r="F816" s="234"/>
      <c r="G816" s="240"/>
      <c r="H816" s="79"/>
      <c r="I816" s="79"/>
    </row>
    <row r="817" spans="1:9" ht="15.75" hidden="1" customHeight="1">
      <c r="A817" s="79"/>
      <c r="B817" s="232">
        <v>45835</v>
      </c>
      <c r="C817" s="233">
        <v>0</v>
      </c>
      <c r="D817" s="233">
        <v>13105</v>
      </c>
      <c r="E817" s="237" t="s">
        <v>31</v>
      </c>
      <c r="F817" s="238">
        <v>62712</v>
      </c>
      <c r="G817" s="242">
        <v>1636.67</v>
      </c>
      <c r="H817" s="79"/>
      <c r="I817" s="79"/>
    </row>
    <row r="818" spans="1:9" ht="15.75" hidden="1" customHeight="1">
      <c r="A818" s="79"/>
      <c r="B818" s="239"/>
      <c r="C818" s="239"/>
      <c r="D818" s="239"/>
      <c r="E818" s="234" t="s">
        <v>71</v>
      </c>
      <c r="F818" s="234"/>
      <c r="G818" s="240"/>
      <c r="H818" s="79"/>
      <c r="I818" s="79"/>
    </row>
    <row r="819" spans="1:9" ht="15.75" hidden="1" customHeight="1">
      <c r="A819" s="79"/>
      <c r="B819" s="232">
        <v>45835</v>
      </c>
      <c r="C819" s="233">
        <v>0</v>
      </c>
      <c r="D819" s="233">
        <v>13105</v>
      </c>
      <c r="E819" s="237" t="s">
        <v>31</v>
      </c>
      <c r="F819" s="238">
        <v>62713</v>
      </c>
      <c r="G819" s="242">
        <v>4020</v>
      </c>
      <c r="H819" s="79"/>
      <c r="I819" s="79"/>
    </row>
    <row r="820" spans="1:9" ht="28.5" hidden="1" customHeight="1">
      <c r="A820" s="79"/>
      <c r="B820" s="239"/>
      <c r="C820" s="239"/>
      <c r="D820" s="239"/>
      <c r="E820" s="234" t="s">
        <v>530</v>
      </c>
      <c r="F820" s="234"/>
      <c r="G820" s="240"/>
      <c r="H820" s="79"/>
      <c r="I820" s="79"/>
    </row>
    <row r="821" spans="1:9" ht="15.75" hidden="1" customHeight="1">
      <c r="A821" s="79"/>
      <c r="B821" s="232">
        <v>45835</v>
      </c>
      <c r="C821" s="233">
        <v>0</v>
      </c>
      <c r="D821" s="233">
        <v>13105</v>
      </c>
      <c r="E821" s="237" t="s">
        <v>31</v>
      </c>
      <c r="F821" s="238">
        <v>62714</v>
      </c>
      <c r="G821" s="242">
        <v>3500</v>
      </c>
      <c r="H821" s="79"/>
      <c r="I821" s="79"/>
    </row>
    <row r="822" spans="1:9" ht="15.75" hidden="1" customHeight="1">
      <c r="A822" s="79"/>
      <c r="B822" s="239"/>
      <c r="C822" s="239"/>
      <c r="D822" s="239"/>
      <c r="E822" s="234" t="s">
        <v>173</v>
      </c>
      <c r="F822" s="234"/>
      <c r="G822" s="240"/>
      <c r="H822" s="79"/>
      <c r="I822" s="79"/>
    </row>
    <row r="823" spans="1:9" ht="15.75" hidden="1" customHeight="1">
      <c r="A823" s="79"/>
      <c r="B823" s="232">
        <v>45835</v>
      </c>
      <c r="C823" s="233">
        <v>0</v>
      </c>
      <c r="D823" s="233">
        <v>13105</v>
      </c>
      <c r="E823" s="237" t="s">
        <v>31</v>
      </c>
      <c r="F823" s="238">
        <v>62715</v>
      </c>
      <c r="G823" s="242">
        <v>1937.63</v>
      </c>
      <c r="H823" s="79"/>
      <c r="I823" s="79"/>
    </row>
    <row r="824" spans="1:9" ht="28.5" hidden="1" customHeight="1">
      <c r="A824" s="79"/>
      <c r="B824" s="239"/>
      <c r="C824" s="239"/>
      <c r="D824" s="239"/>
      <c r="E824" s="234" t="s">
        <v>37</v>
      </c>
      <c r="F824" s="234"/>
      <c r="G824" s="240"/>
      <c r="H824" s="79"/>
      <c r="I824" s="79"/>
    </row>
    <row r="825" spans="1:9" ht="15.75" hidden="1" customHeight="1">
      <c r="A825" s="79"/>
      <c r="B825" s="232">
        <v>45835</v>
      </c>
      <c r="C825" s="233">
        <v>0</v>
      </c>
      <c r="D825" s="233">
        <v>13105</v>
      </c>
      <c r="E825" s="237" t="s">
        <v>31</v>
      </c>
      <c r="F825" s="238">
        <v>62716</v>
      </c>
      <c r="G825" s="242">
        <v>235.99</v>
      </c>
      <c r="H825" s="79"/>
      <c r="I825" s="79"/>
    </row>
    <row r="826" spans="1:9" ht="15.75" hidden="1" customHeight="1">
      <c r="A826" s="79"/>
      <c r="B826" s="239"/>
      <c r="C826" s="239"/>
      <c r="D826" s="239"/>
      <c r="E826" s="234" t="s">
        <v>440</v>
      </c>
      <c r="F826" s="234"/>
      <c r="G826" s="240"/>
      <c r="H826" s="79"/>
      <c r="I826" s="79"/>
    </row>
    <row r="827" spans="1:9" ht="15.75" hidden="1" customHeight="1">
      <c r="A827" s="79"/>
      <c r="B827" s="232">
        <v>45835</v>
      </c>
      <c r="C827" s="233">
        <v>0</v>
      </c>
      <c r="D827" s="233">
        <v>13105</v>
      </c>
      <c r="E827" s="237" t="s">
        <v>31</v>
      </c>
      <c r="F827" s="238">
        <v>62717</v>
      </c>
      <c r="G827" s="242">
        <v>741.98</v>
      </c>
      <c r="H827" s="79"/>
      <c r="I827" s="79"/>
    </row>
    <row r="828" spans="1:9" ht="28.5" hidden="1" customHeight="1">
      <c r="A828" s="79"/>
      <c r="B828" s="239"/>
      <c r="C828" s="239"/>
      <c r="D828" s="239"/>
      <c r="E828" s="234" t="s">
        <v>188</v>
      </c>
      <c r="F828" s="234"/>
      <c r="G828" s="240"/>
      <c r="H828" s="79"/>
      <c r="I828" s="79"/>
    </row>
    <row r="829" spans="1:9" ht="15.75" hidden="1" customHeight="1">
      <c r="A829" s="79"/>
      <c r="B829" s="232">
        <v>45835</v>
      </c>
      <c r="C829" s="233">
        <v>0</v>
      </c>
      <c r="D829" s="233">
        <v>13105</v>
      </c>
      <c r="E829" s="237" t="s">
        <v>31</v>
      </c>
      <c r="F829" s="238">
        <v>62718</v>
      </c>
      <c r="G829" s="242">
        <v>1038.78</v>
      </c>
      <c r="H829" s="79"/>
      <c r="I829" s="79"/>
    </row>
    <row r="830" spans="1:9" ht="15.75" hidden="1" customHeight="1">
      <c r="A830" s="79"/>
      <c r="B830" s="239"/>
      <c r="C830" s="239"/>
      <c r="D830" s="239"/>
      <c r="E830" s="234" t="s">
        <v>790</v>
      </c>
      <c r="F830" s="234"/>
      <c r="G830" s="240"/>
      <c r="H830" s="79"/>
      <c r="I830" s="79"/>
    </row>
    <row r="831" spans="1:9" ht="15.75" hidden="1" customHeight="1">
      <c r="A831" s="79"/>
      <c r="B831" s="232">
        <v>45835</v>
      </c>
      <c r="C831" s="233">
        <v>0</v>
      </c>
      <c r="D831" s="233">
        <v>13105</v>
      </c>
      <c r="E831" s="237" t="s">
        <v>31</v>
      </c>
      <c r="F831" s="238">
        <v>62719</v>
      </c>
      <c r="G831" s="242">
        <v>1883.33</v>
      </c>
      <c r="H831" s="79"/>
      <c r="I831" s="79"/>
    </row>
    <row r="832" spans="1:9" ht="28.5" hidden="1" customHeight="1">
      <c r="A832" s="79"/>
      <c r="B832" s="239"/>
      <c r="C832" s="239"/>
      <c r="D832" s="239"/>
      <c r="E832" s="234" t="s">
        <v>65</v>
      </c>
      <c r="F832" s="234"/>
      <c r="G832" s="240"/>
      <c r="H832" s="79"/>
      <c r="I832" s="79"/>
    </row>
    <row r="833" spans="1:9" ht="15.75" hidden="1" customHeight="1">
      <c r="A833" s="79"/>
      <c r="B833" s="232">
        <v>45835</v>
      </c>
      <c r="C833" s="233">
        <v>0</v>
      </c>
      <c r="D833" s="233">
        <v>13105</v>
      </c>
      <c r="E833" s="237" t="s">
        <v>31</v>
      </c>
      <c r="F833" s="238">
        <v>62720</v>
      </c>
      <c r="G833" s="242">
        <v>3427.02</v>
      </c>
      <c r="H833" s="79"/>
      <c r="I833" s="79"/>
    </row>
    <row r="834" spans="1:9" ht="28.5" hidden="1" customHeight="1">
      <c r="A834" s="79"/>
      <c r="B834" s="239"/>
      <c r="C834" s="239"/>
      <c r="D834" s="239"/>
      <c r="E834" s="234" t="s">
        <v>65</v>
      </c>
      <c r="F834" s="234"/>
      <c r="G834" s="240"/>
      <c r="H834" s="79"/>
      <c r="I834" s="79"/>
    </row>
    <row r="835" spans="1:9" ht="15.75" hidden="1" customHeight="1">
      <c r="A835" s="79"/>
      <c r="B835" s="232">
        <v>45835</v>
      </c>
      <c r="C835" s="233">
        <v>0</v>
      </c>
      <c r="D835" s="233">
        <v>13105</v>
      </c>
      <c r="E835" s="237" t="s">
        <v>31</v>
      </c>
      <c r="F835" s="238">
        <v>62721</v>
      </c>
      <c r="G835" s="242">
        <v>677.1</v>
      </c>
      <c r="H835" s="79"/>
      <c r="I835" s="79"/>
    </row>
    <row r="836" spans="1:9" ht="15.75" hidden="1" customHeight="1">
      <c r="A836" s="79"/>
      <c r="B836" s="239"/>
      <c r="C836" s="239"/>
      <c r="D836" s="239"/>
      <c r="E836" s="234" t="s">
        <v>340</v>
      </c>
      <c r="F836" s="234"/>
      <c r="G836" s="240"/>
      <c r="H836" s="79"/>
      <c r="I836" s="79"/>
    </row>
    <row r="837" spans="1:9" ht="15.75" hidden="1" customHeight="1">
      <c r="A837" s="79"/>
      <c r="B837" s="232">
        <v>45835</v>
      </c>
      <c r="C837" s="233">
        <v>0</v>
      </c>
      <c r="D837" s="233">
        <v>13105</v>
      </c>
      <c r="E837" s="237" t="s">
        <v>31</v>
      </c>
      <c r="F837" s="238">
        <v>62722</v>
      </c>
      <c r="G837" s="242">
        <v>357.91</v>
      </c>
      <c r="H837" s="79"/>
      <c r="I837" s="79"/>
    </row>
    <row r="838" spans="1:9" ht="28.5" hidden="1" customHeight="1">
      <c r="A838" s="79"/>
      <c r="B838" s="239"/>
      <c r="C838" s="239"/>
      <c r="D838" s="239"/>
      <c r="E838" s="234" t="s">
        <v>45</v>
      </c>
      <c r="F838" s="234"/>
      <c r="G838" s="240"/>
      <c r="H838" s="79"/>
      <c r="I838" s="79"/>
    </row>
    <row r="839" spans="1:9" ht="15.75" hidden="1" customHeight="1">
      <c r="A839" s="79"/>
      <c r="B839" s="232">
        <v>45835</v>
      </c>
      <c r="C839" s="233">
        <v>0</v>
      </c>
      <c r="D839" s="233">
        <v>13105</v>
      </c>
      <c r="E839" s="237" t="s">
        <v>31</v>
      </c>
      <c r="F839" s="238">
        <v>62723</v>
      </c>
      <c r="G839" s="242">
        <v>417.64</v>
      </c>
      <c r="H839" s="79"/>
      <c r="I839" s="79"/>
    </row>
    <row r="840" spans="1:9" ht="28.5" hidden="1" customHeight="1">
      <c r="A840" s="79"/>
      <c r="B840" s="239"/>
      <c r="C840" s="239"/>
      <c r="D840" s="239"/>
      <c r="E840" s="234" t="s">
        <v>45</v>
      </c>
      <c r="F840" s="234"/>
      <c r="G840" s="240"/>
      <c r="H840" s="79"/>
      <c r="I840" s="79"/>
    </row>
    <row r="841" spans="1:9" ht="15.75" hidden="1" customHeight="1">
      <c r="A841" s="79"/>
      <c r="B841" s="232">
        <v>45835</v>
      </c>
      <c r="C841" s="233">
        <v>0</v>
      </c>
      <c r="D841" s="233">
        <v>13105</v>
      </c>
      <c r="E841" s="237" t="s">
        <v>31</v>
      </c>
      <c r="F841" s="238">
        <v>62724</v>
      </c>
      <c r="G841" s="242">
        <v>113.52</v>
      </c>
      <c r="H841" s="79"/>
      <c r="I841" s="79"/>
    </row>
    <row r="842" spans="1:9" ht="15.75" hidden="1" customHeight="1">
      <c r="A842" s="79"/>
      <c r="B842" s="239"/>
      <c r="C842" s="239"/>
      <c r="D842" s="239"/>
      <c r="E842" s="234" t="s">
        <v>56</v>
      </c>
      <c r="F842" s="234"/>
      <c r="G842" s="240"/>
      <c r="H842" s="79"/>
      <c r="I842" s="79"/>
    </row>
    <row r="843" spans="1:9" ht="15.75" hidden="1" customHeight="1">
      <c r="A843" s="79"/>
      <c r="B843" s="232">
        <v>45835</v>
      </c>
      <c r="C843" s="233">
        <v>0</v>
      </c>
      <c r="D843" s="233">
        <v>13105</v>
      </c>
      <c r="E843" s="237" t="s">
        <v>31</v>
      </c>
      <c r="F843" s="238">
        <v>62725</v>
      </c>
      <c r="G843" s="242">
        <v>33.909999999999997</v>
      </c>
      <c r="H843" s="79"/>
      <c r="I843" s="79"/>
    </row>
    <row r="844" spans="1:9" ht="15.75" hidden="1" customHeight="1">
      <c r="A844" s="79"/>
      <c r="B844" s="239"/>
      <c r="C844" s="239"/>
      <c r="D844" s="239"/>
      <c r="E844" s="234" t="s">
        <v>56</v>
      </c>
      <c r="F844" s="234"/>
      <c r="G844" s="240"/>
      <c r="H844" s="79"/>
      <c r="I844" s="79"/>
    </row>
    <row r="845" spans="1:9" ht="15.75" hidden="1" customHeight="1">
      <c r="A845" s="79"/>
      <c r="B845" s="232">
        <v>45835</v>
      </c>
      <c r="C845" s="233">
        <v>0</v>
      </c>
      <c r="D845" s="233">
        <v>13105</v>
      </c>
      <c r="E845" s="237" t="s">
        <v>31</v>
      </c>
      <c r="F845" s="238">
        <v>62726</v>
      </c>
      <c r="G845" s="242">
        <v>195.99</v>
      </c>
      <c r="H845" s="79"/>
      <c r="I845" s="79"/>
    </row>
    <row r="846" spans="1:9" ht="28.5" hidden="1" customHeight="1">
      <c r="A846" s="79"/>
      <c r="B846" s="239"/>
      <c r="C846" s="239"/>
      <c r="D846" s="239"/>
      <c r="E846" s="234" t="s">
        <v>755</v>
      </c>
      <c r="F846" s="234"/>
      <c r="G846" s="240"/>
      <c r="H846" s="79"/>
      <c r="I846" s="79"/>
    </row>
    <row r="847" spans="1:9" ht="15.75" hidden="1" customHeight="1">
      <c r="A847" s="79"/>
      <c r="B847" s="232">
        <v>45835</v>
      </c>
      <c r="C847" s="233">
        <v>0</v>
      </c>
      <c r="D847" s="233">
        <v>13105</v>
      </c>
      <c r="E847" s="237" t="s">
        <v>31</v>
      </c>
      <c r="F847" s="238">
        <v>62727</v>
      </c>
      <c r="G847" s="242">
        <v>240.44</v>
      </c>
      <c r="H847" s="79"/>
      <c r="I847" s="79"/>
    </row>
    <row r="848" spans="1:9" ht="15.75" hidden="1" customHeight="1">
      <c r="A848" s="79"/>
      <c r="B848" s="239"/>
      <c r="C848" s="239"/>
      <c r="D848" s="239"/>
      <c r="E848" s="234" t="s">
        <v>111</v>
      </c>
      <c r="F848" s="234"/>
      <c r="G848" s="240"/>
      <c r="H848" s="79"/>
      <c r="I848" s="79"/>
    </row>
    <row r="849" spans="1:9" ht="15.75" hidden="1" customHeight="1">
      <c r="A849" s="79"/>
      <c r="B849" s="232">
        <v>45835</v>
      </c>
      <c r="C849" s="233">
        <v>0</v>
      </c>
      <c r="D849" s="233">
        <v>13105</v>
      </c>
      <c r="E849" s="237" t="s">
        <v>31</v>
      </c>
      <c r="F849" s="238">
        <v>62728</v>
      </c>
      <c r="G849" s="242">
        <v>289.8</v>
      </c>
      <c r="H849" s="79"/>
      <c r="I849" s="79"/>
    </row>
    <row r="850" spans="1:9" ht="28.5" hidden="1" customHeight="1">
      <c r="A850" s="79"/>
      <c r="B850" s="239"/>
      <c r="C850" s="239"/>
      <c r="D850" s="239"/>
      <c r="E850" s="234" t="s">
        <v>41</v>
      </c>
      <c r="F850" s="234"/>
      <c r="G850" s="240"/>
      <c r="H850" s="79"/>
      <c r="I850" s="79"/>
    </row>
    <row r="851" spans="1:9" ht="15.75" hidden="1" customHeight="1">
      <c r="A851" s="79"/>
      <c r="B851" s="232">
        <v>45835</v>
      </c>
      <c r="C851" s="233">
        <v>0</v>
      </c>
      <c r="D851" s="233">
        <v>13105</v>
      </c>
      <c r="E851" s="237" t="s">
        <v>31</v>
      </c>
      <c r="F851" s="238">
        <v>62729</v>
      </c>
      <c r="G851" s="242">
        <v>313.26</v>
      </c>
      <c r="H851" s="79"/>
      <c r="I851" s="79"/>
    </row>
    <row r="852" spans="1:9" ht="15.75" hidden="1" customHeight="1">
      <c r="A852" s="79"/>
      <c r="B852" s="239"/>
      <c r="C852" s="239"/>
      <c r="D852" s="239"/>
      <c r="E852" s="234" t="s">
        <v>165</v>
      </c>
      <c r="F852" s="234"/>
      <c r="G852" s="240"/>
      <c r="H852" s="79"/>
      <c r="I852" s="79"/>
    </row>
    <row r="853" spans="1:9" ht="15.75" hidden="1" customHeight="1">
      <c r="A853" s="79"/>
      <c r="B853" s="232">
        <v>45835</v>
      </c>
      <c r="C853" s="233">
        <v>0</v>
      </c>
      <c r="D853" s="233">
        <v>13105</v>
      </c>
      <c r="E853" s="237" t="s">
        <v>31</v>
      </c>
      <c r="F853" s="238">
        <v>62730</v>
      </c>
      <c r="G853" s="242">
        <v>144.18</v>
      </c>
      <c r="H853" s="79"/>
      <c r="I853" s="79"/>
    </row>
    <row r="854" spans="1:9" ht="15.75" hidden="1" customHeight="1">
      <c r="A854" s="79"/>
      <c r="B854" s="239"/>
      <c r="C854" s="239"/>
      <c r="D854" s="239"/>
      <c r="E854" s="234" t="s">
        <v>200</v>
      </c>
      <c r="F854" s="234"/>
      <c r="G854" s="240"/>
      <c r="H854" s="79"/>
      <c r="I854" s="79"/>
    </row>
    <row r="855" spans="1:9" ht="15.75" hidden="1" customHeight="1">
      <c r="A855" s="79"/>
      <c r="B855" s="232">
        <v>45835</v>
      </c>
      <c r="C855" s="233">
        <v>0</v>
      </c>
      <c r="D855" s="233">
        <v>13105</v>
      </c>
      <c r="E855" s="237" t="s">
        <v>31</v>
      </c>
      <c r="F855" s="238">
        <v>62731</v>
      </c>
      <c r="G855" s="242">
        <v>95</v>
      </c>
      <c r="H855" s="79"/>
      <c r="I855" s="79"/>
    </row>
    <row r="856" spans="1:9" ht="15.75" hidden="1" customHeight="1">
      <c r="A856" s="79"/>
      <c r="B856" s="239"/>
      <c r="C856" s="239"/>
      <c r="D856" s="239"/>
      <c r="E856" s="234" t="s">
        <v>43</v>
      </c>
      <c r="F856" s="234"/>
      <c r="G856" s="240"/>
      <c r="H856" s="79"/>
      <c r="I856" s="79"/>
    </row>
    <row r="857" spans="1:9" ht="15.75" hidden="1" customHeight="1">
      <c r="A857" s="79"/>
      <c r="B857" s="232">
        <v>45835</v>
      </c>
      <c r="C857" s="233">
        <v>0</v>
      </c>
      <c r="D857" s="233">
        <v>13105</v>
      </c>
      <c r="E857" s="237" t="s">
        <v>31</v>
      </c>
      <c r="F857" s="238">
        <v>62732</v>
      </c>
      <c r="G857" s="242">
        <v>510.33</v>
      </c>
      <c r="H857" s="79"/>
      <c r="I857" s="79"/>
    </row>
    <row r="858" spans="1:9" ht="28.5" hidden="1" customHeight="1">
      <c r="A858" s="79"/>
      <c r="B858" s="239"/>
      <c r="C858" s="239"/>
      <c r="D858" s="239"/>
      <c r="E858" s="234" t="s">
        <v>762</v>
      </c>
      <c r="F858" s="234"/>
      <c r="G858" s="240"/>
      <c r="H858" s="79"/>
      <c r="I858" s="79"/>
    </row>
    <row r="859" spans="1:9" ht="15.75" hidden="1" customHeight="1">
      <c r="A859" s="79"/>
      <c r="B859" s="232">
        <v>45835</v>
      </c>
      <c r="C859" s="233">
        <v>0</v>
      </c>
      <c r="D859" s="233">
        <v>13105</v>
      </c>
      <c r="E859" s="237" t="s">
        <v>31</v>
      </c>
      <c r="F859" s="238">
        <v>62733</v>
      </c>
      <c r="G859" s="242">
        <v>314.94</v>
      </c>
      <c r="H859" s="79"/>
      <c r="I859" s="79"/>
    </row>
    <row r="860" spans="1:9" ht="15.75" hidden="1" customHeight="1">
      <c r="A860" s="79"/>
      <c r="B860" s="239"/>
      <c r="C860" s="239"/>
      <c r="D860" s="239"/>
      <c r="E860" s="234" t="s">
        <v>78</v>
      </c>
      <c r="F860" s="234"/>
      <c r="G860" s="240"/>
      <c r="H860" s="79"/>
      <c r="I860" s="79"/>
    </row>
    <row r="861" spans="1:9" ht="15.75" hidden="1" customHeight="1">
      <c r="A861" s="79"/>
      <c r="B861" s="232">
        <v>45835</v>
      </c>
      <c r="C861" s="233">
        <v>0</v>
      </c>
      <c r="D861" s="233">
        <v>13105</v>
      </c>
      <c r="E861" s="237" t="s">
        <v>31</v>
      </c>
      <c r="F861" s="238">
        <v>62734</v>
      </c>
      <c r="G861" s="242">
        <v>421.45</v>
      </c>
      <c r="H861" s="79"/>
      <c r="I861" s="79"/>
    </row>
    <row r="862" spans="1:9" ht="15.75" hidden="1" customHeight="1">
      <c r="A862" s="79"/>
      <c r="B862" s="239"/>
      <c r="C862" s="239"/>
      <c r="D862" s="239"/>
      <c r="E862" s="234" t="s">
        <v>231</v>
      </c>
      <c r="F862" s="234"/>
      <c r="G862" s="240"/>
      <c r="H862" s="79"/>
      <c r="I862" s="79"/>
    </row>
    <row r="863" spans="1:9" ht="15.75" hidden="1" customHeight="1">
      <c r="A863" s="79"/>
      <c r="B863" s="232">
        <v>45835</v>
      </c>
      <c r="C863" s="233">
        <v>0</v>
      </c>
      <c r="D863" s="233">
        <v>13105</v>
      </c>
      <c r="E863" s="237" t="s">
        <v>31</v>
      </c>
      <c r="F863" s="238">
        <v>62735</v>
      </c>
      <c r="G863" s="242">
        <v>306.33999999999997</v>
      </c>
      <c r="H863" s="79"/>
      <c r="I863" s="79"/>
    </row>
    <row r="864" spans="1:9" ht="15.75" hidden="1" customHeight="1">
      <c r="A864" s="79"/>
      <c r="B864" s="239"/>
      <c r="C864" s="239"/>
      <c r="D864" s="239"/>
      <c r="E864" s="234" t="s">
        <v>231</v>
      </c>
      <c r="F864" s="234"/>
      <c r="G864" s="240"/>
      <c r="H864" s="79"/>
      <c r="I864" s="79"/>
    </row>
    <row r="865" spans="1:19" ht="15.75" hidden="1" customHeight="1">
      <c r="A865" s="79"/>
      <c r="B865" s="232">
        <v>45835</v>
      </c>
      <c r="C865" s="233">
        <v>0</v>
      </c>
      <c r="D865" s="233">
        <v>13105</v>
      </c>
      <c r="E865" s="237" t="s">
        <v>31</v>
      </c>
      <c r="F865" s="238">
        <v>62736</v>
      </c>
      <c r="G865" s="242">
        <v>1093.47</v>
      </c>
      <c r="H865" s="79"/>
      <c r="I865" s="79"/>
    </row>
    <row r="866" spans="1:19" ht="15.75" hidden="1" customHeight="1">
      <c r="A866" s="79"/>
      <c r="B866" s="239"/>
      <c r="C866" s="239"/>
      <c r="D866" s="239"/>
      <c r="E866" s="234" t="s">
        <v>441</v>
      </c>
      <c r="F866" s="234"/>
      <c r="G866" s="240"/>
      <c r="H866" s="79"/>
      <c r="I866" s="79"/>
    </row>
    <row r="867" spans="1:19" ht="15.75" hidden="1" customHeight="1">
      <c r="A867" s="79"/>
      <c r="B867" s="232">
        <v>45835</v>
      </c>
      <c r="C867" s="233">
        <v>0</v>
      </c>
      <c r="D867" s="233">
        <v>13113</v>
      </c>
      <c r="E867" s="237" t="s">
        <v>511</v>
      </c>
      <c r="F867" s="238">
        <v>871781200189858</v>
      </c>
      <c r="G867" s="242">
        <v>13</v>
      </c>
      <c r="H867" s="79"/>
      <c r="I867" s="79"/>
    </row>
    <row r="868" spans="1:19" ht="15.75" hidden="1" customHeight="1">
      <c r="A868" s="79"/>
      <c r="B868" s="239"/>
      <c r="C868" s="239"/>
      <c r="D868" s="239"/>
      <c r="E868" s="234" t="s">
        <v>791</v>
      </c>
      <c r="F868" s="234"/>
      <c r="G868" s="240"/>
      <c r="H868" s="79"/>
      <c r="I868" s="79"/>
    </row>
    <row r="869" spans="1:19" ht="15.75" hidden="1" customHeight="1">
      <c r="A869" s="79"/>
      <c r="B869" s="232">
        <v>45835</v>
      </c>
      <c r="C869" s="233">
        <v>0</v>
      </c>
      <c r="D869" s="233">
        <v>13113</v>
      </c>
      <c r="E869" s="237" t="s">
        <v>511</v>
      </c>
      <c r="F869" s="238">
        <v>871781200189859</v>
      </c>
      <c r="G869" s="242">
        <v>13</v>
      </c>
      <c r="H869" s="79"/>
      <c r="I869" s="79"/>
    </row>
    <row r="870" spans="1:19" ht="15.75" hidden="1" customHeight="1">
      <c r="A870" s="79"/>
      <c r="B870" s="239"/>
      <c r="C870" s="239"/>
      <c r="D870" s="239"/>
      <c r="E870" s="234" t="s">
        <v>791</v>
      </c>
      <c r="F870" s="234"/>
      <c r="G870" s="240"/>
      <c r="H870" s="79"/>
      <c r="I870" s="79"/>
    </row>
    <row r="871" spans="1:19" ht="15.75" hidden="1" customHeight="1">
      <c r="A871" s="79"/>
      <c r="B871" s="232">
        <v>45835</v>
      </c>
      <c r="C871" s="233">
        <v>0</v>
      </c>
      <c r="D871" s="233">
        <v>0</v>
      </c>
      <c r="E871" s="237" t="s">
        <v>52</v>
      </c>
      <c r="F871" s="238">
        <v>9903</v>
      </c>
      <c r="G871" s="236">
        <v>56493.27</v>
      </c>
      <c r="H871" s="79"/>
      <c r="I871" s="79"/>
    </row>
    <row r="872" spans="1:19" ht="15.75" hidden="1" customHeight="1">
      <c r="A872" s="79"/>
      <c r="B872" s="239"/>
      <c r="C872" s="239"/>
      <c r="D872" s="239"/>
      <c r="E872" s="234" t="s">
        <v>53</v>
      </c>
      <c r="F872" s="234"/>
      <c r="G872" s="240"/>
      <c r="H872" s="79"/>
      <c r="I872" s="79"/>
    </row>
    <row r="873" spans="1:19" ht="15.75" hidden="1" customHeight="1">
      <c r="A873" s="79"/>
      <c r="B873" s="232">
        <v>45838</v>
      </c>
      <c r="C873" s="233">
        <v>0</v>
      </c>
      <c r="D873" s="233">
        <v>14175</v>
      </c>
      <c r="E873" s="237" t="s">
        <v>62</v>
      </c>
      <c r="F873" s="238">
        <v>386067928</v>
      </c>
      <c r="G873" s="236">
        <v>6128</v>
      </c>
      <c r="H873" s="79"/>
      <c r="I873" s="79"/>
    </row>
    <row r="874" spans="1:19" ht="28.5" hidden="1" customHeight="1">
      <c r="A874" s="79"/>
      <c r="B874" s="239"/>
      <c r="C874" s="239"/>
      <c r="D874" s="239"/>
      <c r="E874" s="234" t="s">
        <v>97</v>
      </c>
      <c r="F874" s="234"/>
      <c r="G874" s="240"/>
      <c r="H874" s="79"/>
      <c r="I874" s="79"/>
    </row>
    <row r="875" spans="1:19" ht="15.75" customHeight="1">
      <c r="A875" s="130" t="s">
        <v>140</v>
      </c>
      <c r="B875" s="232">
        <v>45838</v>
      </c>
      <c r="C875" s="233">
        <v>0</v>
      </c>
      <c r="D875" s="233">
        <v>14138</v>
      </c>
      <c r="E875" s="241" t="s">
        <v>141</v>
      </c>
      <c r="F875" s="238">
        <v>202506270000068</v>
      </c>
      <c r="G875" s="236">
        <v>1403.25</v>
      </c>
      <c r="H875" s="2">
        <v>2583</v>
      </c>
      <c r="I875" s="79" t="s">
        <v>428</v>
      </c>
      <c r="J875" s="79"/>
      <c r="K875" s="79"/>
      <c r="L875" s="79"/>
      <c r="M875" s="79"/>
      <c r="N875" s="79"/>
      <c r="O875" s="79"/>
      <c r="P875" s="79"/>
      <c r="Q875" s="79"/>
      <c r="R875" s="79"/>
      <c r="S875" s="79"/>
    </row>
    <row r="876" spans="1:19" ht="15.75" hidden="1" customHeight="1">
      <c r="A876" s="79"/>
      <c r="B876" s="239"/>
      <c r="C876" s="239"/>
      <c r="D876" s="239"/>
      <c r="E876" s="234" t="s">
        <v>143</v>
      </c>
      <c r="F876" s="234"/>
      <c r="G876" s="240"/>
      <c r="H876" s="79"/>
      <c r="I876" s="79"/>
    </row>
    <row r="877" spans="1:19" ht="15.75" customHeight="1">
      <c r="A877" s="130" t="s">
        <v>140</v>
      </c>
      <c r="B877" s="232">
        <v>45838</v>
      </c>
      <c r="C877" s="233">
        <v>0</v>
      </c>
      <c r="D877" s="233">
        <v>14138</v>
      </c>
      <c r="E877" s="241" t="s">
        <v>141</v>
      </c>
      <c r="F877" s="238">
        <v>202506270091053</v>
      </c>
      <c r="G877" s="236">
        <v>403.1</v>
      </c>
      <c r="H877" s="2">
        <v>3676</v>
      </c>
      <c r="I877" s="79" t="s">
        <v>595</v>
      </c>
      <c r="J877" s="79"/>
      <c r="K877" s="79"/>
      <c r="L877" s="79"/>
      <c r="M877" s="79"/>
      <c r="N877" s="79"/>
      <c r="O877" s="79"/>
      <c r="P877" s="79"/>
      <c r="Q877" s="79"/>
      <c r="R877" s="79"/>
      <c r="S877" s="79"/>
    </row>
    <row r="878" spans="1:19" ht="15.75" hidden="1" customHeight="1">
      <c r="A878" s="79"/>
      <c r="B878" s="239"/>
      <c r="C878" s="239"/>
      <c r="D878" s="239"/>
      <c r="E878" s="234" t="s">
        <v>143</v>
      </c>
      <c r="F878" s="234"/>
      <c r="G878" s="240"/>
      <c r="H878" s="79"/>
      <c r="I878" s="79"/>
    </row>
    <row r="879" spans="1:19" ht="15.75" customHeight="1">
      <c r="A879" s="130" t="s">
        <v>140</v>
      </c>
      <c r="B879" s="232">
        <v>45838</v>
      </c>
      <c r="C879" s="233">
        <v>0</v>
      </c>
      <c r="D879" s="233">
        <v>14138</v>
      </c>
      <c r="E879" s="241" t="s">
        <v>141</v>
      </c>
      <c r="F879" s="238">
        <v>202506270091054</v>
      </c>
      <c r="G879" s="236">
        <v>403.1</v>
      </c>
      <c r="H879" s="2">
        <v>3697</v>
      </c>
      <c r="I879" s="79" t="s">
        <v>595</v>
      </c>
      <c r="J879" s="79"/>
      <c r="K879" s="79"/>
      <c r="L879" s="79"/>
      <c r="M879" s="79"/>
      <c r="N879" s="79"/>
      <c r="O879" s="79"/>
      <c r="P879" s="79"/>
      <c r="Q879" s="79"/>
      <c r="R879" s="79"/>
      <c r="S879" s="79"/>
    </row>
    <row r="880" spans="1:19" ht="15.75" hidden="1" customHeight="1">
      <c r="A880" s="79"/>
      <c r="B880" s="239"/>
      <c r="C880" s="239"/>
      <c r="D880" s="239"/>
      <c r="E880" s="234" t="s">
        <v>143</v>
      </c>
      <c r="F880" s="234"/>
      <c r="G880" s="240"/>
      <c r="H880" s="79"/>
      <c r="I880" s="79"/>
    </row>
    <row r="881" spans="1:19" ht="15.75" customHeight="1">
      <c r="A881" s="130" t="s">
        <v>140</v>
      </c>
      <c r="B881" s="232">
        <v>45838</v>
      </c>
      <c r="C881" s="233">
        <v>0</v>
      </c>
      <c r="D881" s="233">
        <v>14138</v>
      </c>
      <c r="E881" s="241" t="s">
        <v>141</v>
      </c>
      <c r="F881" s="238">
        <v>202506270091055</v>
      </c>
      <c r="G881" s="236">
        <v>403.1</v>
      </c>
      <c r="H881" s="2">
        <v>3606</v>
      </c>
      <c r="I881" s="79" t="s">
        <v>595</v>
      </c>
      <c r="J881" s="79"/>
      <c r="K881" s="79"/>
      <c r="L881" s="79"/>
      <c r="M881" s="79"/>
      <c r="N881" s="79"/>
      <c r="O881" s="79"/>
      <c r="P881" s="79"/>
      <c r="Q881" s="79"/>
      <c r="R881" s="79"/>
      <c r="S881" s="79"/>
    </row>
    <row r="882" spans="1:19" ht="15.75" hidden="1" customHeight="1">
      <c r="A882" s="79"/>
      <c r="B882" s="239"/>
      <c r="C882" s="239"/>
      <c r="D882" s="239"/>
      <c r="E882" s="234" t="s">
        <v>143</v>
      </c>
      <c r="F882" s="234"/>
      <c r="G882" s="240"/>
      <c r="H882" s="79"/>
      <c r="I882" s="79"/>
    </row>
    <row r="883" spans="1:19" ht="15.75" customHeight="1">
      <c r="A883" s="130" t="s">
        <v>140</v>
      </c>
      <c r="B883" s="232">
        <v>45838</v>
      </c>
      <c r="C883" s="233">
        <v>0</v>
      </c>
      <c r="D883" s="233">
        <v>14138</v>
      </c>
      <c r="E883" s="241" t="s">
        <v>141</v>
      </c>
      <c r="F883" s="238">
        <v>202506270091061</v>
      </c>
      <c r="G883" s="236">
        <v>178.09</v>
      </c>
      <c r="H883" s="2">
        <v>3717</v>
      </c>
      <c r="I883" s="79" t="s">
        <v>419</v>
      </c>
      <c r="J883" s="79"/>
      <c r="K883" s="79"/>
      <c r="L883" s="79"/>
      <c r="M883" s="79"/>
      <c r="N883" s="79"/>
      <c r="O883" s="79"/>
      <c r="P883" s="79"/>
      <c r="Q883" s="79"/>
      <c r="R883" s="79"/>
      <c r="S883" s="79"/>
    </row>
    <row r="884" spans="1:19" ht="15.75" hidden="1" customHeight="1">
      <c r="A884" s="79"/>
      <c r="B884" s="239"/>
      <c r="C884" s="239"/>
      <c r="D884" s="239"/>
      <c r="E884" s="234" t="s">
        <v>143</v>
      </c>
      <c r="F884" s="234"/>
      <c r="G884" s="240"/>
      <c r="H884" s="79"/>
      <c r="I884" s="79"/>
    </row>
    <row r="885" spans="1:19" ht="15.75" customHeight="1">
      <c r="A885" s="130" t="s">
        <v>140</v>
      </c>
      <c r="B885" s="232">
        <v>45838</v>
      </c>
      <c r="C885" s="233">
        <v>0</v>
      </c>
      <c r="D885" s="233">
        <v>14138</v>
      </c>
      <c r="E885" s="241" t="s">
        <v>141</v>
      </c>
      <c r="F885" s="238">
        <v>202506270091063</v>
      </c>
      <c r="G885" s="236">
        <v>403.1</v>
      </c>
      <c r="H885" s="2">
        <v>3650</v>
      </c>
      <c r="I885" s="79" t="s">
        <v>595</v>
      </c>
      <c r="J885" s="79"/>
      <c r="K885" s="79"/>
      <c r="L885" s="79"/>
      <c r="M885" s="79"/>
      <c r="N885" s="79"/>
      <c r="O885" s="79"/>
      <c r="P885" s="79"/>
      <c r="Q885" s="79"/>
      <c r="R885" s="79"/>
      <c r="S885" s="79"/>
    </row>
    <row r="886" spans="1:19" ht="15.75" hidden="1" customHeight="1">
      <c r="A886" s="79"/>
      <c r="B886" s="239"/>
      <c r="C886" s="239"/>
      <c r="D886" s="239"/>
      <c r="E886" s="234" t="s">
        <v>143</v>
      </c>
      <c r="F886" s="234"/>
      <c r="G886" s="240"/>
      <c r="H886" s="79"/>
      <c r="I886" s="79"/>
    </row>
    <row r="887" spans="1:19" ht="15.75" customHeight="1">
      <c r="A887" s="130" t="s">
        <v>140</v>
      </c>
      <c r="B887" s="232">
        <v>45838</v>
      </c>
      <c r="C887" s="233">
        <v>0</v>
      </c>
      <c r="D887" s="233">
        <v>14138</v>
      </c>
      <c r="E887" s="241" t="s">
        <v>141</v>
      </c>
      <c r="F887" s="238">
        <v>202506270091088</v>
      </c>
      <c r="G887" s="236">
        <v>1668.08</v>
      </c>
      <c r="H887" s="2">
        <v>3555</v>
      </c>
      <c r="I887" s="79" t="s">
        <v>428</v>
      </c>
      <c r="J887" s="79"/>
      <c r="K887" s="79"/>
      <c r="L887" s="79"/>
      <c r="M887" s="79"/>
      <c r="N887" s="79"/>
      <c r="O887" s="79"/>
      <c r="P887" s="79"/>
      <c r="Q887" s="79"/>
      <c r="R887" s="79"/>
      <c r="S887" s="79"/>
    </row>
    <row r="888" spans="1:19" ht="15.75" hidden="1" customHeight="1">
      <c r="A888" s="79"/>
      <c r="B888" s="239"/>
      <c r="C888" s="239"/>
      <c r="D888" s="239"/>
      <c r="E888" s="234" t="s">
        <v>143</v>
      </c>
      <c r="F888" s="234"/>
      <c r="G888" s="240"/>
      <c r="H888" s="79"/>
      <c r="I888" s="79"/>
    </row>
    <row r="889" spans="1:19" ht="15.75" customHeight="1">
      <c r="A889" s="130" t="s">
        <v>140</v>
      </c>
      <c r="B889" s="232">
        <v>45838</v>
      </c>
      <c r="C889" s="233">
        <v>0</v>
      </c>
      <c r="D889" s="233">
        <v>14138</v>
      </c>
      <c r="E889" s="241" t="s">
        <v>141</v>
      </c>
      <c r="F889" s="238">
        <v>202506270091094</v>
      </c>
      <c r="G889" s="236">
        <v>1654.58</v>
      </c>
      <c r="H889" s="2">
        <v>3623</v>
      </c>
      <c r="I889" s="79" t="s">
        <v>428</v>
      </c>
      <c r="J889" s="79"/>
      <c r="K889" s="79"/>
      <c r="L889" s="79"/>
      <c r="M889" s="79"/>
      <c r="N889" s="79"/>
      <c r="O889" s="79"/>
      <c r="P889" s="79"/>
      <c r="Q889" s="79"/>
      <c r="R889" s="79"/>
      <c r="S889" s="79"/>
    </row>
    <row r="890" spans="1:19" ht="15.75" hidden="1" customHeight="1">
      <c r="A890" s="79"/>
      <c r="B890" s="239"/>
      <c r="C890" s="239"/>
      <c r="D890" s="239"/>
      <c r="E890" s="234" t="s">
        <v>143</v>
      </c>
      <c r="F890" s="234"/>
      <c r="G890" s="240"/>
      <c r="H890" s="79"/>
      <c r="I890" s="79"/>
    </row>
    <row r="891" spans="1:19" ht="15.75" customHeight="1">
      <c r="A891" s="130" t="s">
        <v>140</v>
      </c>
      <c r="B891" s="232">
        <v>45838</v>
      </c>
      <c r="C891" s="233">
        <v>0</v>
      </c>
      <c r="D891" s="233">
        <v>14138</v>
      </c>
      <c r="E891" s="241" t="s">
        <v>141</v>
      </c>
      <c r="F891" s="238">
        <v>202506270091101</v>
      </c>
      <c r="G891" s="236">
        <v>1668.08</v>
      </c>
      <c r="H891" s="2">
        <v>3553</v>
      </c>
      <c r="I891" s="79" t="s">
        <v>428</v>
      </c>
      <c r="J891" s="79"/>
      <c r="K891" s="79"/>
      <c r="L891" s="79"/>
      <c r="M891" s="79"/>
      <c r="N891" s="79"/>
      <c r="O891" s="79"/>
      <c r="P891" s="79"/>
      <c r="Q891" s="79"/>
      <c r="R891" s="79"/>
      <c r="S891" s="79"/>
    </row>
    <row r="892" spans="1:19" ht="15.75" hidden="1" customHeight="1">
      <c r="A892" s="79"/>
      <c r="B892" s="239"/>
      <c r="C892" s="239"/>
      <c r="D892" s="239"/>
      <c r="E892" s="234" t="s">
        <v>143</v>
      </c>
      <c r="F892" s="234"/>
      <c r="G892" s="240"/>
      <c r="H892" s="79"/>
      <c r="I892" s="79"/>
    </row>
    <row r="893" spans="1:19" ht="15.75" customHeight="1">
      <c r="A893" s="130" t="s">
        <v>140</v>
      </c>
      <c r="B893" s="232">
        <v>45838</v>
      </c>
      <c r="C893" s="233">
        <v>0</v>
      </c>
      <c r="D893" s="233">
        <v>14138</v>
      </c>
      <c r="E893" s="241" t="s">
        <v>141</v>
      </c>
      <c r="F893" s="238">
        <v>202506270091106</v>
      </c>
      <c r="G893" s="236">
        <v>1292.24</v>
      </c>
      <c r="H893" s="2">
        <v>3617</v>
      </c>
      <c r="I893" s="79" t="s">
        <v>428</v>
      </c>
      <c r="J893" s="79"/>
      <c r="K893" s="79"/>
      <c r="L893" s="79"/>
      <c r="M893" s="79"/>
      <c r="N893" s="79"/>
      <c r="O893" s="79"/>
      <c r="P893" s="79"/>
      <c r="Q893" s="79"/>
      <c r="R893" s="79"/>
      <c r="S893" s="79"/>
    </row>
    <row r="894" spans="1:19" ht="15.75" hidden="1" customHeight="1">
      <c r="A894" s="79"/>
      <c r="B894" s="239"/>
      <c r="C894" s="239"/>
      <c r="D894" s="239"/>
      <c r="E894" s="234" t="s">
        <v>143</v>
      </c>
      <c r="F894" s="234"/>
      <c r="G894" s="240"/>
      <c r="H894" s="79"/>
      <c r="I894" s="79"/>
    </row>
    <row r="895" spans="1:19" ht="15.75" customHeight="1">
      <c r="A895" s="130" t="s">
        <v>140</v>
      </c>
      <c r="B895" s="232">
        <v>45838</v>
      </c>
      <c r="C895" s="233">
        <v>0</v>
      </c>
      <c r="D895" s="233">
        <v>14138</v>
      </c>
      <c r="E895" s="241" t="s">
        <v>141</v>
      </c>
      <c r="F895" s="238">
        <v>202506270091113</v>
      </c>
      <c r="G895" s="236">
        <v>1218.94</v>
      </c>
      <c r="H895" s="2">
        <v>3531</v>
      </c>
      <c r="I895" s="79" t="s">
        <v>428</v>
      </c>
      <c r="J895" s="79"/>
      <c r="K895" s="79"/>
      <c r="L895" s="79"/>
      <c r="M895" s="79"/>
      <c r="N895" s="79"/>
      <c r="O895" s="79"/>
      <c r="P895" s="79"/>
      <c r="Q895" s="79"/>
      <c r="R895" s="79"/>
      <c r="S895" s="79"/>
    </row>
    <row r="896" spans="1:19" ht="15.75" hidden="1" customHeight="1">
      <c r="A896" s="79"/>
      <c r="B896" s="239"/>
      <c r="C896" s="239"/>
      <c r="D896" s="239"/>
      <c r="E896" s="234" t="s">
        <v>143</v>
      </c>
      <c r="F896" s="234"/>
      <c r="G896" s="240"/>
      <c r="H896" s="79"/>
      <c r="I896" s="79"/>
    </row>
    <row r="897" spans="1:19" ht="15.75" customHeight="1">
      <c r="A897" s="130" t="s">
        <v>140</v>
      </c>
      <c r="B897" s="232">
        <v>45838</v>
      </c>
      <c r="C897" s="233">
        <v>0</v>
      </c>
      <c r="D897" s="233">
        <v>14138</v>
      </c>
      <c r="E897" s="241" t="s">
        <v>141</v>
      </c>
      <c r="F897" s="238">
        <v>202506270091121</v>
      </c>
      <c r="G897" s="236">
        <v>1668.08</v>
      </c>
      <c r="H897" s="2">
        <v>3488</v>
      </c>
      <c r="I897" s="79" t="s">
        <v>428</v>
      </c>
      <c r="J897" s="79"/>
      <c r="K897" s="79"/>
      <c r="L897" s="79"/>
      <c r="M897" s="79"/>
      <c r="N897" s="79"/>
      <c r="O897" s="79"/>
      <c r="P897" s="79"/>
      <c r="Q897" s="79"/>
      <c r="R897" s="79"/>
      <c r="S897" s="79"/>
    </row>
    <row r="898" spans="1:19" ht="15.75" hidden="1" customHeight="1">
      <c r="A898" s="79"/>
      <c r="B898" s="239"/>
      <c r="C898" s="239"/>
      <c r="D898" s="239"/>
      <c r="E898" s="234" t="s">
        <v>143</v>
      </c>
      <c r="F898" s="234"/>
      <c r="G898" s="240"/>
      <c r="H898" s="79"/>
      <c r="I898" s="79"/>
    </row>
    <row r="899" spans="1:19" ht="15.75" customHeight="1">
      <c r="A899" s="130" t="s">
        <v>140</v>
      </c>
      <c r="B899" s="232">
        <v>45838</v>
      </c>
      <c r="C899" s="233">
        <v>0</v>
      </c>
      <c r="D899" s="233">
        <v>14138</v>
      </c>
      <c r="E899" s="241" t="s">
        <v>141</v>
      </c>
      <c r="F899" s="238">
        <v>202506270091157</v>
      </c>
      <c r="G899" s="236">
        <v>609.28</v>
      </c>
      <c r="H899" s="2">
        <v>3500</v>
      </c>
      <c r="I899" s="79" t="s">
        <v>419</v>
      </c>
      <c r="J899" s="79"/>
      <c r="K899" s="79"/>
      <c r="L899" s="79"/>
      <c r="M899" s="79"/>
      <c r="N899" s="79"/>
      <c r="O899" s="79"/>
      <c r="P899" s="79"/>
      <c r="Q899" s="79"/>
      <c r="R899" s="79"/>
      <c r="S899" s="79"/>
    </row>
    <row r="900" spans="1:19" ht="15.75" hidden="1" customHeight="1">
      <c r="A900" s="79"/>
      <c r="B900" s="141"/>
      <c r="C900" s="141"/>
      <c r="D900" s="141"/>
      <c r="E900" s="142" t="s">
        <v>143</v>
      </c>
      <c r="F900" s="142"/>
      <c r="G900" s="143"/>
      <c r="H900" s="79"/>
      <c r="I900" s="79"/>
    </row>
    <row r="901" spans="1:19" ht="15.75" hidden="1" customHeight="1">
      <c r="A901" s="79"/>
      <c r="B901" s="133">
        <v>45838</v>
      </c>
      <c r="C901" s="134">
        <v>0</v>
      </c>
      <c r="D901" s="134">
        <v>14397</v>
      </c>
      <c r="E901" s="144" t="s">
        <v>57</v>
      </c>
      <c r="F901" s="145">
        <v>301606586091802</v>
      </c>
      <c r="G901" s="136">
        <v>8000</v>
      </c>
      <c r="H901" s="79"/>
      <c r="I901" s="79"/>
    </row>
    <row r="902" spans="1:19" ht="28.5" hidden="1" customHeight="1">
      <c r="A902" s="79"/>
      <c r="B902" s="146"/>
      <c r="C902" s="146"/>
      <c r="D902" s="146"/>
      <c r="E902" s="135" t="s">
        <v>792</v>
      </c>
      <c r="F902" s="135"/>
      <c r="G902" s="147"/>
      <c r="H902" s="79"/>
      <c r="I902" s="79"/>
    </row>
    <row r="903" spans="1:19" ht="15.75" hidden="1" customHeight="1">
      <c r="A903" s="79"/>
      <c r="B903" s="137">
        <v>45838</v>
      </c>
      <c r="C903" s="138">
        <v>1533</v>
      </c>
      <c r="D903" s="138">
        <v>99008</v>
      </c>
      <c r="E903" s="139" t="s">
        <v>29</v>
      </c>
      <c r="F903" s="140">
        <v>28540</v>
      </c>
      <c r="G903" s="148">
        <v>129.08000000000001</v>
      </c>
      <c r="H903" s="79"/>
      <c r="I903" s="79"/>
    </row>
    <row r="904" spans="1:19" ht="28.5" hidden="1" customHeight="1">
      <c r="A904" s="79"/>
      <c r="B904" s="141"/>
      <c r="C904" s="141"/>
      <c r="D904" s="141"/>
      <c r="E904" s="142" t="s">
        <v>793</v>
      </c>
      <c r="F904" s="142"/>
      <c r="G904" s="143"/>
      <c r="H904" s="79"/>
      <c r="I904" s="79"/>
    </row>
    <row r="905" spans="1:19" ht="15.75" hidden="1" customHeight="1">
      <c r="A905" s="79"/>
      <c r="B905" s="133">
        <v>45838</v>
      </c>
      <c r="C905" s="134">
        <v>1533</v>
      </c>
      <c r="D905" s="134">
        <v>99008</v>
      </c>
      <c r="E905" s="144" t="s">
        <v>29</v>
      </c>
      <c r="F905" s="145">
        <v>366260</v>
      </c>
      <c r="G905" s="149">
        <v>150.05000000000001</v>
      </c>
      <c r="H905" s="79"/>
      <c r="I905" s="79"/>
    </row>
    <row r="906" spans="1:19" ht="15.75" hidden="1" customHeight="1">
      <c r="A906" s="79"/>
      <c r="B906" s="146"/>
      <c r="C906" s="146"/>
      <c r="D906" s="146"/>
      <c r="E906" s="135" t="s">
        <v>794</v>
      </c>
      <c r="F906" s="135"/>
      <c r="G906" s="147"/>
      <c r="H906" s="79"/>
      <c r="I906" s="79"/>
    </row>
    <row r="907" spans="1:19" ht="15.75" hidden="1" customHeight="1">
      <c r="A907" s="79"/>
      <c r="B907" s="137">
        <v>45838</v>
      </c>
      <c r="C907" s="138">
        <v>1533</v>
      </c>
      <c r="D907" s="138">
        <v>99008</v>
      </c>
      <c r="E907" s="139" t="s">
        <v>29</v>
      </c>
      <c r="F907" s="140">
        <v>705727</v>
      </c>
      <c r="G907" s="148">
        <v>207.05</v>
      </c>
      <c r="H907" s="79"/>
      <c r="I907" s="79"/>
    </row>
    <row r="908" spans="1:19" ht="15.75" hidden="1" customHeight="1">
      <c r="A908" s="79"/>
      <c r="B908" s="141"/>
      <c r="C908" s="141"/>
      <c r="D908" s="141"/>
      <c r="E908" s="142" t="s">
        <v>795</v>
      </c>
      <c r="F908" s="142"/>
      <c r="G908" s="143"/>
      <c r="H908" s="79"/>
      <c r="I908" s="79"/>
    </row>
    <row r="909" spans="1:19" ht="15.75" hidden="1" customHeight="1">
      <c r="A909" s="79"/>
      <c r="B909" s="133">
        <v>45838</v>
      </c>
      <c r="C909" s="134">
        <v>1533</v>
      </c>
      <c r="D909" s="134">
        <v>99008</v>
      </c>
      <c r="E909" s="144" t="s">
        <v>29</v>
      </c>
      <c r="F909" s="145">
        <v>785008</v>
      </c>
      <c r="G909" s="149">
        <v>285.60000000000002</v>
      </c>
      <c r="H909" s="79"/>
      <c r="I909" s="79"/>
    </row>
    <row r="910" spans="1:19" ht="15.75" hidden="1" customHeight="1">
      <c r="A910" s="79"/>
      <c r="B910" s="146"/>
      <c r="C910" s="146"/>
      <c r="D910" s="146"/>
      <c r="E910" s="135" t="s">
        <v>796</v>
      </c>
      <c r="F910" s="135"/>
      <c r="G910" s="147"/>
      <c r="H910" s="79"/>
      <c r="I910" s="79"/>
    </row>
    <row r="911" spans="1:19" ht="15.75" hidden="1" customHeight="1">
      <c r="A911" s="79"/>
      <c r="B911" s="137">
        <v>45838</v>
      </c>
      <c r="C911" s="138">
        <v>0</v>
      </c>
      <c r="D911" s="138">
        <v>13105</v>
      </c>
      <c r="E911" s="139" t="s">
        <v>370</v>
      </c>
      <c r="F911" s="140">
        <v>63001</v>
      </c>
      <c r="G911" s="148">
        <v>21000</v>
      </c>
      <c r="H911" s="79"/>
      <c r="I911" s="79"/>
    </row>
    <row r="912" spans="1:19" ht="28.5" hidden="1" customHeight="1">
      <c r="A912" s="79"/>
      <c r="B912" s="141"/>
      <c r="C912" s="141"/>
      <c r="D912" s="141"/>
      <c r="E912" s="142" t="s">
        <v>371</v>
      </c>
      <c r="F912" s="142"/>
      <c r="G912" s="143"/>
      <c r="H912" s="79"/>
      <c r="I912" s="79"/>
    </row>
    <row r="913" spans="1:19" ht="15.75" hidden="1" customHeight="1">
      <c r="A913" s="79"/>
      <c r="B913" s="133">
        <v>45838</v>
      </c>
      <c r="C913" s="134">
        <v>0</v>
      </c>
      <c r="D913" s="134">
        <v>13113</v>
      </c>
      <c r="E913" s="144" t="s">
        <v>511</v>
      </c>
      <c r="F913" s="145">
        <v>871811100073150</v>
      </c>
      <c r="G913" s="149">
        <v>13</v>
      </c>
      <c r="H913" s="79"/>
      <c r="I913" s="79"/>
    </row>
    <row r="914" spans="1:19" ht="15.75" hidden="1" customHeight="1">
      <c r="A914" s="79"/>
      <c r="B914" s="146"/>
      <c r="C914" s="146"/>
      <c r="D914" s="146"/>
      <c r="E914" s="135" t="s">
        <v>797</v>
      </c>
      <c r="F914" s="135"/>
      <c r="G914" s="147"/>
      <c r="H914" s="79"/>
      <c r="I914" s="79"/>
    </row>
    <row r="915" spans="1:19" ht="15.75" hidden="1" customHeight="1">
      <c r="A915" s="79"/>
      <c r="B915" s="137">
        <v>45838</v>
      </c>
      <c r="C915" s="138">
        <v>0</v>
      </c>
      <c r="D915" s="138">
        <v>13013</v>
      </c>
      <c r="E915" s="139" t="s">
        <v>204</v>
      </c>
      <c r="F915" s="140">
        <v>3941</v>
      </c>
      <c r="G915" s="148">
        <v>2420.59</v>
      </c>
      <c r="H915" s="79"/>
      <c r="I915" s="79"/>
    </row>
    <row r="916" spans="1:19" ht="15.75" hidden="1" customHeight="1">
      <c r="A916" s="79"/>
      <c r="B916" s="141"/>
      <c r="C916" s="141"/>
      <c r="D916" s="141"/>
      <c r="E916" s="142" t="s">
        <v>205</v>
      </c>
      <c r="F916" s="142"/>
      <c r="G916" s="143"/>
      <c r="H916" s="79"/>
      <c r="I916" s="79"/>
    </row>
    <row r="917" spans="1:19" ht="15.75" hidden="1" customHeight="1">
      <c r="A917" s="79"/>
      <c r="B917" s="133">
        <v>45838</v>
      </c>
      <c r="C917" s="134">
        <v>0</v>
      </c>
      <c r="D917" s="134">
        <v>13013</v>
      </c>
      <c r="E917" s="144" t="s">
        <v>204</v>
      </c>
      <c r="F917" s="145">
        <v>3941</v>
      </c>
      <c r="G917" s="149">
        <v>840.41</v>
      </c>
      <c r="H917" s="79"/>
      <c r="I917" s="79"/>
    </row>
    <row r="918" spans="1:19" ht="15.75" hidden="1" customHeight="1">
      <c r="A918" s="79"/>
      <c r="B918" s="146"/>
      <c r="C918" s="146"/>
      <c r="D918" s="146"/>
      <c r="E918" s="135" t="s">
        <v>205</v>
      </c>
      <c r="F918" s="135"/>
      <c r="G918" s="147"/>
      <c r="H918" s="79"/>
      <c r="I918" s="79"/>
    </row>
    <row r="919" spans="1:19" ht="15.75" hidden="1" customHeight="1">
      <c r="A919" s="79"/>
      <c r="B919" s="137">
        <v>45838</v>
      </c>
      <c r="C919" s="138">
        <v>0</v>
      </c>
      <c r="D919" s="138">
        <v>13013</v>
      </c>
      <c r="E919" s="139" t="s">
        <v>204</v>
      </c>
      <c r="F919" s="140">
        <v>3941</v>
      </c>
      <c r="G919" s="148">
        <v>1028.8900000000001</v>
      </c>
      <c r="H919" s="79"/>
      <c r="I919" s="79"/>
    </row>
    <row r="920" spans="1:19" ht="15.75" hidden="1" customHeight="1">
      <c r="A920" s="79"/>
      <c r="B920" s="141"/>
      <c r="C920" s="141"/>
      <c r="D920" s="141"/>
      <c r="E920" s="142" t="s">
        <v>205</v>
      </c>
      <c r="F920" s="142"/>
      <c r="G920" s="143"/>
      <c r="H920" s="79"/>
      <c r="I920" s="79"/>
    </row>
    <row r="921" spans="1:19" ht="15.75" hidden="1" customHeight="1">
      <c r="A921" s="79"/>
      <c r="B921" s="133">
        <v>45838</v>
      </c>
      <c r="C921" s="134">
        <v>0</v>
      </c>
      <c r="D921" s="134">
        <v>13013</v>
      </c>
      <c r="E921" s="144" t="s">
        <v>204</v>
      </c>
      <c r="F921" s="145">
        <v>3941</v>
      </c>
      <c r="G921" s="149">
        <v>810.78</v>
      </c>
      <c r="H921" s="79"/>
      <c r="I921" s="79"/>
    </row>
    <row r="922" spans="1:19" ht="15.75" hidden="1" customHeight="1">
      <c r="A922" s="79"/>
      <c r="B922" s="146"/>
      <c r="C922" s="146"/>
      <c r="D922" s="146"/>
      <c r="E922" s="135" t="s">
        <v>205</v>
      </c>
      <c r="F922" s="135"/>
      <c r="G922" s="147"/>
      <c r="H922" s="79"/>
      <c r="I922" s="79"/>
    </row>
    <row r="923" spans="1:19" ht="15.75" customHeight="1">
      <c r="A923" s="79"/>
      <c r="B923" s="79"/>
      <c r="C923" s="79"/>
      <c r="D923" s="79"/>
      <c r="E923" s="79"/>
      <c r="F923" s="79"/>
      <c r="G923" s="81"/>
      <c r="H923" s="2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</row>
    <row r="924" spans="1:19" ht="15.75" customHeight="1">
      <c r="A924" s="79"/>
      <c r="B924" s="79"/>
      <c r="C924" s="79"/>
      <c r="D924" s="79"/>
      <c r="E924" s="79"/>
      <c r="F924" s="79"/>
      <c r="G924" s="81"/>
      <c r="H924" s="2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</row>
    <row r="925" spans="1:19" ht="15.75" customHeight="1">
      <c r="G925" s="81"/>
      <c r="H925" s="2"/>
    </row>
    <row r="926" spans="1:19" ht="15.75" customHeight="1">
      <c r="G926" s="81"/>
      <c r="H926" s="2"/>
    </row>
    <row r="927" spans="1:19" ht="15.75" customHeight="1">
      <c r="G927" s="81"/>
      <c r="H927" s="2"/>
    </row>
    <row r="928" spans="1:19" ht="15.75" customHeight="1">
      <c r="G928" s="81"/>
      <c r="H928" s="2"/>
    </row>
    <row r="929" spans="7:8" ht="15.75" customHeight="1">
      <c r="G929" s="81"/>
      <c r="H929" s="2"/>
    </row>
    <row r="930" spans="7:8" ht="15.75" customHeight="1">
      <c r="G930" s="81"/>
      <c r="H930" s="2"/>
    </row>
    <row r="931" spans="7:8" ht="15.75" customHeight="1">
      <c r="G931" s="81"/>
      <c r="H931" s="2"/>
    </row>
    <row r="932" spans="7:8" ht="15.75" customHeight="1">
      <c r="G932" s="81"/>
      <c r="H932" s="2"/>
    </row>
    <row r="933" spans="7:8" ht="15.75" customHeight="1">
      <c r="G933" s="81"/>
      <c r="H933" s="2"/>
    </row>
    <row r="934" spans="7:8" ht="15.75" customHeight="1">
      <c r="G934" s="81"/>
      <c r="H934" s="2"/>
    </row>
    <row r="935" spans="7:8" ht="15.75" customHeight="1">
      <c r="G935" s="81"/>
      <c r="H935" s="2"/>
    </row>
    <row r="936" spans="7:8" ht="15.75" customHeight="1">
      <c r="G936" s="81"/>
      <c r="H936" s="2"/>
    </row>
    <row r="937" spans="7:8" ht="15.75" customHeight="1">
      <c r="G937" s="81"/>
      <c r="H937" s="2"/>
    </row>
    <row r="938" spans="7:8" ht="15.75" customHeight="1">
      <c r="G938" s="81"/>
      <c r="H938" s="2"/>
    </row>
    <row r="939" spans="7:8" ht="15.75" customHeight="1">
      <c r="G939" s="81"/>
      <c r="H939" s="2"/>
    </row>
    <row r="940" spans="7:8" ht="15.75" customHeight="1">
      <c r="G940" s="81"/>
      <c r="H940" s="2"/>
    </row>
    <row r="941" spans="7:8" ht="15.75" customHeight="1">
      <c r="G941" s="81"/>
      <c r="H941" s="2"/>
    </row>
    <row r="942" spans="7:8" ht="15.75" customHeight="1">
      <c r="G942" s="81"/>
      <c r="H942" s="2"/>
    </row>
    <row r="943" spans="7:8" ht="15.75" customHeight="1">
      <c r="G943" s="81"/>
      <c r="H943" s="2"/>
    </row>
    <row r="944" spans="7:8" ht="15.75" customHeight="1">
      <c r="G944" s="81"/>
      <c r="H944" s="2"/>
    </row>
    <row r="945" spans="7:8" ht="15.75" customHeight="1">
      <c r="G945" s="81"/>
      <c r="H945" s="2"/>
    </row>
    <row r="946" spans="7:8" ht="15.75" customHeight="1">
      <c r="G946" s="81"/>
      <c r="H946" s="2"/>
    </row>
    <row r="947" spans="7:8" ht="15.75" customHeight="1">
      <c r="G947" s="81"/>
      <c r="H947" s="2"/>
    </row>
    <row r="948" spans="7:8" ht="15.75" customHeight="1">
      <c r="G948" s="81"/>
      <c r="H948" s="2"/>
    </row>
    <row r="949" spans="7:8" ht="15.75" customHeight="1">
      <c r="G949" s="81"/>
      <c r="H949" s="2"/>
    </row>
    <row r="950" spans="7:8" ht="15.75" customHeight="1">
      <c r="G950" s="81"/>
      <c r="H950" s="2"/>
    </row>
    <row r="951" spans="7:8" ht="15.75" customHeight="1">
      <c r="G951" s="81"/>
      <c r="H951" s="2"/>
    </row>
    <row r="952" spans="7:8" ht="15.75" customHeight="1">
      <c r="G952" s="81"/>
      <c r="H952" s="2"/>
    </row>
    <row r="953" spans="7:8" ht="15.75" customHeight="1">
      <c r="G953" s="81"/>
      <c r="H953" s="2"/>
    </row>
    <row r="954" spans="7:8" ht="15.75" customHeight="1">
      <c r="G954" s="81"/>
      <c r="H954" s="2"/>
    </row>
    <row r="955" spans="7:8" ht="15.75" customHeight="1">
      <c r="G955" s="81"/>
      <c r="H955" s="2"/>
    </row>
    <row r="956" spans="7:8" ht="15.75" customHeight="1">
      <c r="G956" s="81"/>
      <c r="H956" s="2"/>
    </row>
    <row r="957" spans="7:8" ht="15.75" customHeight="1">
      <c r="G957" s="81"/>
      <c r="H957" s="2"/>
    </row>
    <row r="958" spans="7:8" ht="15.75" customHeight="1">
      <c r="G958" s="81"/>
      <c r="H958" s="2"/>
    </row>
    <row r="959" spans="7:8" ht="15.75" customHeight="1">
      <c r="G959" s="81"/>
      <c r="H959" s="2"/>
    </row>
    <row r="960" spans="7:8" ht="15.75" customHeight="1">
      <c r="G960" s="81"/>
      <c r="H960" s="2"/>
    </row>
    <row r="961" spans="7:8" ht="15.75" customHeight="1">
      <c r="G961" s="81"/>
      <c r="H961" s="2"/>
    </row>
    <row r="962" spans="7:8" ht="15.75" customHeight="1">
      <c r="G962" s="81"/>
      <c r="H962" s="2"/>
    </row>
    <row r="963" spans="7:8" ht="15.75" customHeight="1">
      <c r="G963" s="81"/>
      <c r="H963" s="2"/>
    </row>
    <row r="964" spans="7:8" ht="15.75" customHeight="1">
      <c r="G964" s="81"/>
      <c r="H964" s="2"/>
    </row>
    <row r="965" spans="7:8" ht="15.75" customHeight="1">
      <c r="G965" s="81"/>
      <c r="H965" s="2"/>
    </row>
    <row r="966" spans="7:8" ht="15.75" customHeight="1">
      <c r="G966" s="81"/>
      <c r="H966" s="2"/>
    </row>
    <row r="967" spans="7:8" ht="15.75" customHeight="1">
      <c r="G967" s="81"/>
      <c r="H967" s="2"/>
    </row>
    <row r="968" spans="7:8" ht="15.75" customHeight="1">
      <c r="G968" s="81"/>
      <c r="H968" s="2"/>
    </row>
    <row r="969" spans="7:8" ht="15.75" customHeight="1">
      <c r="G969" s="81"/>
      <c r="H969" s="2"/>
    </row>
    <row r="970" spans="7:8" ht="15.75" customHeight="1">
      <c r="G970" s="81"/>
      <c r="H970" s="2"/>
    </row>
    <row r="971" spans="7:8" ht="15.75" customHeight="1">
      <c r="G971" s="81"/>
      <c r="H971" s="2"/>
    </row>
    <row r="972" spans="7:8" ht="15.75" customHeight="1">
      <c r="G972" s="81"/>
      <c r="H972" s="2"/>
    </row>
    <row r="973" spans="7:8" ht="15.75" customHeight="1">
      <c r="G973" s="81"/>
      <c r="H973" s="2"/>
    </row>
    <row r="974" spans="7:8" ht="15.75" customHeight="1">
      <c r="G974" s="81"/>
      <c r="H974" s="2"/>
    </row>
    <row r="975" spans="7:8" ht="15.75" customHeight="1">
      <c r="G975" s="81"/>
      <c r="H975" s="2"/>
    </row>
    <row r="976" spans="7:8" ht="15.75" customHeight="1">
      <c r="G976" s="81"/>
      <c r="H976" s="2"/>
    </row>
    <row r="977" spans="7:8" ht="15.75" customHeight="1">
      <c r="G977" s="81"/>
      <c r="H977" s="2"/>
    </row>
    <row r="978" spans="7:8" ht="15.75" customHeight="1">
      <c r="G978" s="81"/>
      <c r="H978" s="2"/>
    </row>
    <row r="979" spans="7:8" ht="15.75" customHeight="1">
      <c r="G979" s="81"/>
      <c r="H979" s="2"/>
    </row>
    <row r="980" spans="7:8" ht="15.75" customHeight="1">
      <c r="G980" s="81"/>
      <c r="H980" s="2"/>
    </row>
    <row r="981" spans="7:8" ht="15.75" customHeight="1">
      <c r="G981" s="81"/>
      <c r="H981" s="2"/>
    </row>
    <row r="982" spans="7:8" ht="15.75" customHeight="1">
      <c r="G982" s="81"/>
      <c r="H982" s="2"/>
    </row>
    <row r="983" spans="7:8" ht="15.75" customHeight="1">
      <c r="G983" s="81"/>
      <c r="H983" s="2"/>
    </row>
    <row r="984" spans="7:8" ht="15.75" customHeight="1">
      <c r="G984" s="81"/>
      <c r="H984" s="2"/>
    </row>
    <row r="985" spans="7:8" ht="15.75" customHeight="1">
      <c r="G985" s="81"/>
      <c r="H985" s="2"/>
    </row>
    <row r="986" spans="7:8" ht="15.75" customHeight="1">
      <c r="G986" s="81"/>
      <c r="H986" s="2"/>
    </row>
    <row r="987" spans="7:8" ht="15.75" customHeight="1">
      <c r="G987" s="81"/>
      <c r="H987" s="2"/>
    </row>
    <row r="988" spans="7:8" ht="15.75" customHeight="1">
      <c r="G988" s="81"/>
      <c r="H988" s="2"/>
    </row>
    <row r="989" spans="7:8" ht="15.75" customHeight="1">
      <c r="G989" s="81"/>
      <c r="H989" s="2"/>
    </row>
    <row r="990" spans="7:8" ht="15.75" customHeight="1">
      <c r="G990" s="81"/>
      <c r="H990" s="2"/>
    </row>
    <row r="991" spans="7:8" ht="15.75" customHeight="1">
      <c r="G991" s="81"/>
      <c r="H991" s="2"/>
    </row>
    <row r="992" spans="7:8" ht="15.75" customHeight="1">
      <c r="G992" s="81"/>
      <c r="H992" s="2"/>
    </row>
    <row r="993" spans="7:8" ht="15.75" customHeight="1">
      <c r="G993" s="81"/>
      <c r="H993" s="2"/>
    </row>
    <row r="994" spans="7:8" ht="15.75" customHeight="1">
      <c r="G994" s="81"/>
      <c r="H994" s="2"/>
    </row>
    <row r="995" spans="7:8" ht="15.75" customHeight="1">
      <c r="G995" s="81"/>
      <c r="H995" s="2"/>
    </row>
    <row r="996" spans="7:8" ht="15.75" customHeight="1">
      <c r="G996" s="81"/>
      <c r="H996" s="2"/>
    </row>
    <row r="997" spans="7:8" ht="15.75" customHeight="1">
      <c r="G997" s="81"/>
      <c r="H997" s="2"/>
    </row>
    <row r="998" spans="7:8" ht="15.75" customHeight="1">
      <c r="G998" s="81"/>
      <c r="H998" s="2"/>
    </row>
    <row r="999" spans="7:8" ht="15.75" customHeight="1">
      <c r="G999" s="81"/>
      <c r="H999" s="2"/>
    </row>
    <row r="1000" spans="7:8" ht="15.75" customHeight="1">
      <c r="G1000" s="81"/>
      <c r="H1000" s="2"/>
    </row>
  </sheetData>
  <pageMargins left="0.511811024" right="0.511811024" top="0.78740157499999996" bottom="0.78740157499999996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8"/>
  <dimension ref="A1:M1123"/>
  <sheetViews>
    <sheetView topLeftCell="B1" workbookViewId="0">
      <selection activeCell="F1" sqref="F1"/>
    </sheetView>
  </sheetViews>
  <sheetFormatPr defaultColWidth="14.42578125" defaultRowHeight="15" customHeight="1"/>
  <cols>
    <col min="1" max="1" width="8.7109375" customWidth="1"/>
    <col min="2" max="2" width="14" customWidth="1"/>
    <col min="3" max="3" width="5" customWidth="1"/>
    <col min="4" max="4" width="9.28515625" customWidth="1"/>
    <col min="5" max="5" width="30.140625" customWidth="1"/>
    <col min="6" max="6" width="18" customWidth="1"/>
    <col min="7" max="7" width="12.7109375" customWidth="1"/>
    <col min="8" max="8" width="36.140625" customWidth="1"/>
    <col min="9" max="9" width="14.5703125" customWidth="1"/>
    <col min="10" max="10" width="35.5703125" customWidth="1"/>
    <col min="11" max="11" width="15.28515625" customWidth="1"/>
    <col min="12" max="12" width="11.140625" customWidth="1"/>
    <col min="13" max="13" width="15.7109375" customWidth="1"/>
    <col min="14" max="26" width="8.7109375" customWidth="1"/>
  </cols>
  <sheetData>
    <row r="1" spans="1:13" ht="45">
      <c r="A1" s="152" t="s">
        <v>18</v>
      </c>
      <c r="B1" s="153" t="s">
        <v>19</v>
      </c>
      <c r="C1" s="153" t="s">
        <v>20</v>
      </c>
      <c r="D1" s="153" t="s">
        <v>21</v>
      </c>
      <c r="E1" s="153" t="s">
        <v>22</v>
      </c>
      <c r="F1" s="153" t="s">
        <v>23</v>
      </c>
      <c r="G1" s="154" t="s">
        <v>24</v>
      </c>
      <c r="H1" s="2" t="s">
        <v>404</v>
      </c>
      <c r="I1" s="2" t="s">
        <v>405</v>
      </c>
      <c r="J1" s="86" t="s">
        <v>798</v>
      </c>
      <c r="K1" s="3">
        <f>SUMIF(I7:I1064,"Hematologia", G7:G1095)</f>
        <v>123313.73000000004</v>
      </c>
      <c r="L1" s="86" t="s">
        <v>536</v>
      </c>
      <c r="M1" s="87">
        <f>SUBTOTAL(9,Jul!$G$2:$G$1080)</f>
        <v>1237754.3599999982</v>
      </c>
    </row>
    <row r="2" spans="1:13" hidden="1">
      <c r="A2" s="79"/>
      <c r="B2" s="155">
        <v>45839</v>
      </c>
      <c r="C2" s="156">
        <v>0</v>
      </c>
      <c r="D2" s="156">
        <v>14175</v>
      </c>
      <c r="E2" s="157" t="s">
        <v>166</v>
      </c>
      <c r="F2" s="158">
        <v>35224465</v>
      </c>
      <c r="G2" s="159">
        <v>26626.61</v>
      </c>
      <c r="H2" s="79"/>
      <c r="I2" s="79"/>
      <c r="J2" s="2"/>
      <c r="K2" s="79"/>
      <c r="L2" s="79"/>
      <c r="M2" s="2"/>
    </row>
    <row r="3" spans="1:13" ht="30" hidden="1">
      <c r="A3" s="79"/>
      <c r="B3" s="160"/>
      <c r="C3" s="160"/>
      <c r="D3" s="160"/>
      <c r="E3" s="161" t="s">
        <v>167</v>
      </c>
      <c r="F3" s="161"/>
      <c r="G3" s="162">
        <v>0</v>
      </c>
      <c r="H3" s="79"/>
      <c r="I3" s="79"/>
      <c r="J3" s="2"/>
      <c r="K3" s="79"/>
      <c r="L3" s="79"/>
      <c r="M3" s="2"/>
    </row>
    <row r="4" spans="1:13" hidden="1">
      <c r="A4" s="79"/>
      <c r="B4" s="155">
        <v>45839</v>
      </c>
      <c r="C4" s="156">
        <v>0</v>
      </c>
      <c r="D4" s="156">
        <v>14175</v>
      </c>
      <c r="E4" s="157" t="s">
        <v>166</v>
      </c>
      <c r="F4" s="158">
        <v>35224508</v>
      </c>
      <c r="G4" s="159">
        <v>23761.4</v>
      </c>
      <c r="H4" s="79"/>
      <c r="I4" s="79"/>
      <c r="J4" s="2"/>
      <c r="K4" s="79"/>
      <c r="L4" s="79"/>
      <c r="M4" s="2"/>
    </row>
    <row r="5" spans="1:13" ht="30" hidden="1">
      <c r="A5" s="79"/>
      <c r="B5" s="160"/>
      <c r="C5" s="160"/>
      <c r="D5" s="160"/>
      <c r="E5" s="161" t="s">
        <v>167</v>
      </c>
      <c r="F5" s="161"/>
      <c r="G5" s="162">
        <v>0</v>
      </c>
      <c r="H5" s="79"/>
      <c r="I5" s="79"/>
      <c r="J5" s="2"/>
      <c r="K5" s="79"/>
      <c r="L5" s="79"/>
      <c r="M5" s="2"/>
    </row>
    <row r="6" spans="1:13">
      <c r="A6" s="163" t="s">
        <v>140</v>
      </c>
      <c r="B6" s="155">
        <v>45839</v>
      </c>
      <c r="C6" s="156">
        <v>0</v>
      </c>
      <c r="D6" s="156">
        <v>14138</v>
      </c>
      <c r="E6" s="157" t="s">
        <v>141</v>
      </c>
      <c r="F6" s="158">
        <v>202506300112173</v>
      </c>
      <c r="G6" s="159">
        <v>875.17</v>
      </c>
      <c r="H6" s="164" t="s">
        <v>799</v>
      </c>
      <c r="I6" s="79" t="s">
        <v>419</v>
      </c>
      <c r="J6" s="86" t="s">
        <v>800</v>
      </c>
      <c r="K6" s="3">
        <f>SUMIF(I6:I1063,"Coagulação", G6:G1094)</f>
        <v>5655.44</v>
      </c>
      <c r="L6" s="1" t="s">
        <v>691</v>
      </c>
      <c r="M6" s="87">
        <f>SUMIF(A:A,"Baixado",G:G)</f>
        <v>239520.5799999997</v>
      </c>
    </row>
    <row r="7" spans="1:13" hidden="1">
      <c r="A7" s="79"/>
      <c r="B7" s="160"/>
      <c r="C7" s="160"/>
      <c r="D7" s="160"/>
      <c r="E7" s="161" t="s">
        <v>143</v>
      </c>
      <c r="F7" s="161"/>
      <c r="G7" s="162">
        <v>0</v>
      </c>
      <c r="H7" s="79"/>
      <c r="I7" s="79"/>
      <c r="J7" s="2"/>
      <c r="K7" s="79"/>
      <c r="L7" s="79"/>
      <c r="M7" s="2"/>
    </row>
    <row r="8" spans="1:13">
      <c r="A8" s="163" t="s">
        <v>140</v>
      </c>
      <c r="B8" s="155">
        <v>45839</v>
      </c>
      <c r="C8" s="156">
        <v>0</v>
      </c>
      <c r="D8" s="156">
        <v>14138</v>
      </c>
      <c r="E8" s="157" t="s">
        <v>141</v>
      </c>
      <c r="F8" s="158">
        <v>202506300132322</v>
      </c>
      <c r="G8" s="159">
        <v>3030.31</v>
      </c>
      <c r="H8" s="164" t="s">
        <v>801</v>
      </c>
      <c r="I8" s="79" t="s">
        <v>595</v>
      </c>
      <c r="J8" s="86" t="s">
        <v>543</v>
      </c>
      <c r="K8" s="3">
        <f>SUMIF(I6:I1063,"TT/TTPA", G6:G1094)</f>
        <v>0</v>
      </c>
      <c r="L8" s="1" t="s">
        <v>692</v>
      </c>
      <c r="M8" s="87">
        <f>SUMIF(A:A,"Pendente",G:G)</f>
        <v>10612.82</v>
      </c>
    </row>
    <row r="9" spans="1:13" hidden="1">
      <c r="A9" s="79"/>
      <c r="B9" s="160"/>
      <c r="C9" s="160"/>
      <c r="D9" s="160"/>
      <c r="E9" s="161" t="s">
        <v>143</v>
      </c>
      <c r="F9" s="161"/>
      <c r="G9" s="162">
        <v>0</v>
      </c>
      <c r="H9" s="79"/>
      <c r="I9" s="79"/>
      <c r="J9" s="2"/>
      <c r="K9" s="79"/>
      <c r="L9" s="79"/>
      <c r="M9" s="79"/>
    </row>
    <row r="10" spans="1:13">
      <c r="A10" s="163" t="s">
        <v>140</v>
      </c>
      <c r="B10" s="155">
        <v>45839</v>
      </c>
      <c r="C10" s="156">
        <v>0</v>
      </c>
      <c r="D10" s="156">
        <v>14138</v>
      </c>
      <c r="E10" s="157" t="s">
        <v>141</v>
      </c>
      <c r="F10" s="158">
        <v>202506300132335</v>
      </c>
      <c r="G10" s="159">
        <v>1476.65</v>
      </c>
      <c r="H10" s="164" t="s">
        <v>802</v>
      </c>
      <c r="I10" s="79" t="s">
        <v>595</v>
      </c>
      <c r="J10" s="86" t="s">
        <v>803</v>
      </c>
      <c r="K10" s="3">
        <f>SUMIF(I6:I1063,"Ionograma", G6:G1094)</f>
        <v>109946.13999999997</v>
      </c>
      <c r="L10" s="79"/>
      <c r="M10" s="79"/>
    </row>
    <row r="11" spans="1:13" hidden="1">
      <c r="A11" s="79"/>
      <c r="B11" s="160"/>
      <c r="C11" s="160"/>
      <c r="D11" s="160"/>
      <c r="E11" s="161" t="s">
        <v>143</v>
      </c>
      <c r="F11" s="161"/>
      <c r="G11" s="162">
        <v>0</v>
      </c>
      <c r="H11" s="79"/>
      <c r="I11" s="79"/>
      <c r="J11" s="79"/>
      <c r="K11" s="79"/>
      <c r="L11" s="79"/>
      <c r="M11" s="79"/>
    </row>
    <row r="12" spans="1:13">
      <c r="A12" s="163" t="s">
        <v>140</v>
      </c>
      <c r="B12" s="155">
        <v>45839</v>
      </c>
      <c r="C12" s="156">
        <v>0</v>
      </c>
      <c r="D12" s="156">
        <v>14138</v>
      </c>
      <c r="E12" s="157" t="s">
        <v>141</v>
      </c>
      <c r="F12" s="158">
        <v>202506300132337</v>
      </c>
      <c r="G12" s="159">
        <v>1612.42</v>
      </c>
      <c r="H12" s="164" t="s">
        <v>804</v>
      </c>
      <c r="I12" s="79" t="s">
        <v>595</v>
      </c>
      <c r="J12" s="79"/>
      <c r="K12" s="79"/>
      <c r="L12" s="79"/>
      <c r="M12" s="79"/>
    </row>
    <row r="13" spans="1:13" hidden="1">
      <c r="A13" s="79"/>
      <c r="B13" s="160"/>
      <c r="C13" s="160"/>
      <c r="D13" s="160"/>
      <c r="E13" s="161" t="s">
        <v>143</v>
      </c>
      <c r="F13" s="161"/>
      <c r="G13" s="162">
        <v>0</v>
      </c>
      <c r="H13" s="79"/>
      <c r="I13" s="79"/>
      <c r="J13" s="79"/>
      <c r="K13" s="79"/>
      <c r="L13" s="79"/>
      <c r="M13" s="79"/>
    </row>
    <row r="14" spans="1:13">
      <c r="A14" s="163" t="s">
        <v>140</v>
      </c>
      <c r="B14" s="155">
        <v>45839</v>
      </c>
      <c r="C14" s="156">
        <v>0</v>
      </c>
      <c r="D14" s="156">
        <v>14138</v>
      </c>
      <c r="E14" s="157" t="s">
        <v>141</v>
      </c>
      <c r="F14" s="158">
        <v>202506300132339</v>
      </c>
      <c r="G14" s="159">
        <v>1553.66</v>
      </c>
      <c r="H14" s="164" t="s">
        <v>805</v>
      </c>
      <c r="I14" s="79" t="s">
        <v>595</v>
      </c>
      <c r="J14" s="79"/>
      <c r="K14" s="79"/>
      <c r="L14" s="79"/>
      <c r="M14" s="79"/>
    </row>
    <row r="15" spans="1:13" hidden="1">
      <c r="A15" s="79"/>
      <c r="B15" s="160"/>
      <c r="C15" s="160"/>
      <c r="D15" s="160"/>
      <c r="E15" s="161" t="s">
        <v>143</v>
      </c>
      <c r="F15" s="161"/>
      <c r="G15" s="162">
        <v>0</v>
      </c>
      <c r="H15" s="79"/>
      <c r="I15" s="79"/>
      <c r="J15" s="79"/>
      <c r="K15" s="79"/>
      <c r="L15" s="79"/>
      <c r="M15" s="79"/>
    </row>
    <row r="16" spans="1:13">
      <c r="A16" s="163" t="s">
        <v>140</v>
      </c>
      <c r="B16" s="155">
        <v>45839</v>
      </c>
      <c r="C16" s="156">
        <v>0</v>
      </c>
      <c r="D16" s="156">
        <v>14138</v>
      </c>
      <c r="E16" s="157" t="s">
        <v>141</v>
      </c>
      <c r="F16" s="158">
        <v>202506300132346</v>
      </c>
      <c r="G16" s="159">
        <v>1476.65</v>
      </c>
      <c r="H16" s="164" t="s">
        <v>806</v>
      </c>
      <c r="I16" s="79" t="s">
        <v>595</v>
      </c>
      <c r="J16" s="79"/>
      <c r="K16" s="79"/>
      <c r="L16" s="79"/>
      <c r="M16" s="79"/>
    </row>
    <row r="17" spans="1:13" hidden="1">
      <c r="A17" s="79"/>
      <c r="B17" s="160"/>
      <c r="C17" s="160"/>
      <c r="D17" s="160"/>
      <c r="E17" s="161" t="s">
        <v>143</v>
      </c>
      <c r="F17" s="161"/>
      <c r="G17" s="162">
        <v>0</v>
      </c>
      <c r="H17" s="79"/>
      <c r="I17" s="79"/>
      <c r="J17" s="79"/>
      <c r="K17" s="79"/>
      <c r="L17" s="79"/>
      <c r="M17" s="79"/>
    </row>
    <row r="18" spans="1:13">
      <c r="A18" s="163" t="s">
        <v>140</v>
      </c>
      <c r="B18" s="155">
        <v>45839</v>
      </c>
      <c r="C18" s="156">
        <v>0</v>
      </c>
      <c r="D18" s="156">
        <v>14138</v>
      </c>
      <c r="E18" s="157" t="s">
        <v>141</v>
      </c>
      <c r="F18" s="158">
        <v>202506300132347</v>
      </c>
      <c r="G18" s="159">
        <v>589.59</v>
      </c>
      <c r="H18" s="164" t="s">
        <v>807</v>
      </c>
      <c r="I18" s="79" t="s">
        <v>419</v>
      </c>
      <c r="J18" s="165"/>
      <c r="K18" s="79"/>
      <c r="L18" s="79"/>
      <c r="M18" s="79"/>
    </row>
    <row r="19" spans="1:13" hidden="1">
      <c r="A19" s="79"/>
      <c r="B19" s="160"/>
      <c r="C19" s="160"/>
      <c r="D19" s="160"/>
      <c r="E19" s="161" t="s">
        <v>143</v>
      </c>
      <c r="F19" s="161"/>
      <c r="G19" s="162">
        <v>0</v>
      </c>
      <c r="H19" s="79"/>
      <c r="I19" s="79"/>
      <c r="J19" s="79"/>
      <c r="K19" s="79"/>
      <c r="L19" s="79"/>
      <c r="M19" s="79"/>
    </row>
    <row r="20" spans="1:13">
      <c r="A20" s="163" t="s">
        <v>140</v>
      </c>
      <c r="B20" s="166">
        <v>45839</v>
      </c>
      <c r="C20" s="167">
        <v>0</v>
      </c>
      <c r="D20" s="167">
        <v>14138</v>
      </c>
      <c r="E20" s="168" t="s">
        <v>141</v>
      </c>
      <c r="F20" s="169">
        <v>202506300132351</v>
      </c>
      <c r="G20" s="170">
        <v>17518.900000000001</v>
      </c>
      <c r="H20" s="171" t="s">
        <v>808</v>
      </c>
      <c r="I20" s="100" t="s">
        <v>595</v>
      </c>
      <c r="J20" s="79" t="s">
        <v>809</v>
      </c>
      <c r="K20" s="79"/>
      <c r="L20" s="79"/>
      <c r="M20" s="79"/>
    </row>
    <row r="21" spans="1:13" ht="15.75" hidden="1" customHeight="1">
      <c r="A21" s="79"/>
      <c r="B21" s="160"/>
      <c r="C21" s="160"/>
      <c r="D21" s="160"/>
      <c r="E21" s="161" t="s">
        <v>143</v>
      </c>
      <c r="F21" s="161"/>
      <c r="G21" s="162">
        <v>0</v>
      </c>
      <c r="H21" s="79"/>
      <c r="I21" s="79"/>
      <c r="J21" s="79"/>
      <c r="K21" s="79"/>
      <c r="L21" s="79"/>
      <c r="M21" s="79"/>
    </row>
    <row r="22" spans="1:13" ht="15.75" customHeight="1">
      <c r="A22" s="163" t="s">
        <v>140</v>
      </c>
      <c r="B22" s="155">
        <v>45839</v>
      </c>
      <c r="C22" s="156">
        <v>0</v>
      </c>
      <c r="D22" s="156">
        <v>14138</v>
      </c>
      <c r="E22" s="157" t="s">
        <v>141</v>
      </c>
      <c r="F22" s="158">
        <v>202506300132352</v>
      </c>
      <c r="G22" s="159">
        <v>6164.33</v>
      </c>
      <c r="H22" s="79" t="s">
        <v>810</v>
      </c>
      <c r="I22" s="79" t="s">
        <v>428</v>
      </c>
      <c r="J22" s="79"/>
      <c r="K22" s="79"/>
      <c r="L22" s="79"/>
      <c r="M22" s="79"/>
    </row>
    <row r="23" spans="1:13" ht="15.75" hidden="1" customHeight="1">
      <c r="A23" s="79"/>
      <c r="B23" s="160"/>
      <c r="C23" s="160"/>
      <c r="D23" s="160"/>
      <c r="E23" s="161" t="s">
        <v>143</v>
      </c>
      <c r="F23" s="161"/>
      <c r="G23" s="162">
        <v>0</v>
      </c>
      <c r="H23" s="79"/>
      <c r="I23" s="79"/>
      <c r="J23" s="79"/>
      <c r="K23" s="79"/>
      <c r="L23" s="79"/>
      <c r="M23" s="79"/>
    </row>
    <row r="24" spans="1:13" ht="15.75" customHeight="1">
      <c r="A24" s="163" t="s">
        <v>140</v>
      </c>
      <c r="B24" s="155">
        <v>45839</v>
      </c>
      <c r="C24" s="156">
        <v>0</v>
      </c>
      <c r="D24" s="156">
        <v>14138</v>
      </c>
      <c r="E24" s="157" t="s">
        <v>141</v>
      </c>
      <c r="F24" s="158">
        <v>202506300132354</v>
      </c>
      <c r="G24" s="159">
        <v>1553.66</v>
      </c>
      <c r="H24" s="79" t="s">
        <v>811</v>
      </c>
      <c r="I24" s="79" t="s">
        <v>595</v>
      </c>
      <c r="J24" s="79"/>
      <c r="K24" s="79"/>
      <c r="L24" s="79"/>
      <c r="M24" s="79"/>
    </row>
    <row r="25" spans="1:13" ht="15.75" hidden="1" customHeight="1">
      <c r="A25" s="79"/>
      <c r="B25" s="160"/>
      <c r="C25" s="160"/>
      <c r="D25" s="160"/>
      <c r="E25" s="161" t="s">
        <v>143</v>
      </c>
      <c r="F25" s="161"/>
      <c r="G25" s="162">
        <v>0</v>
      </c>
      <c r="H25" s="79"/>
      <c r="I25" s="79"/>
      <c r="J25" s="79"/>
      <c r="K25" s="79"/>
      <c r="L25" s="79"/>
      <c r="M25" s="79"/>
    </row>
    <row r="26" spans="1:13" ht="15.75" customHeight="1">
      <c r="A26" s="163" t="s">
        <v>140</v>
      </c>
      <c r="B26" s="155">
        <v>45839</v>
      </c>
      <c r="C26" s="156">
        <v>0</v>
      </c>
      <c r="D26" s="156">
        <v>14138</v>
      </c>
      <c r="E26" s="157" t="s">
        <v>141</v>
      </c>
      <c r="F26" s="158">
        <v>202506300132359</v>
      </c>
      <c r="G26" s="159">
        <v>1476.65</v>
      </c>
      <c r="H26" s="79" t="s">
        <v>812</v>
      </c>
      <c r="I26" s="79" t="s">
        <v>595</v>
      </c>
      <c r="J26" s="79"/>
      <c r="K26" s="79"/>
      <c r="L26" s="79"/>
      <c r="M26" s="79"/>
    </row>
    <row r="27" spans="1:13" ht="15.75" hidden="1" customHeight="1">
      <c r="A27" s="79"/>
      <c r="B27" s="160"/>
      <c r="C27" s="160"/>
      <c r="D27" s="160"/>
      <c r="E27" s="161" t="s">
        <v>143</v>
      </c>
      <c r="F27" s="161"/>
      <c r="G27" s="162">
        <v>0</v>
      </c>
      <c r="H27" s="79"/>
      <c r="I27" s="79"/>
      <c r="J27" s="79"/>
      <c r="K27" s="79"/>
      <c r="L27" s="79"/>
      <c r="M27" s="79"/>
    </row>
    <row r="28" spans="1:13" ht="15.75" customHeight="1">
      <c r="A28" s="163" t="s">
        <v>140</v>
      </c>
      <c r="B28" s="155">
        <v>45839</v>
      </c>
      <c r="C28" s="156">
        <v>0</v>
      </c>
      <c r="D28" s="156">
        <v>14138</v>
      </c>
      <c r="E28" s="157" t="s">
        <v>141</v>
      </c>
      <c r="F28" s="158">
        <v>202506300132363</v>
      </c>
      <c r="G28" s="159">
        <v>1476.65</v>
      </c>
      <c r="H28" s="79" t="s">
        <v>813</v>
      </c>
      <c r="I28" s="79" t="s">
        <v>595</v>
      </c>
      <c r="J28" s="79"/>
      <c r="K28" s="79"/>
      <c r="L28" s="79"/>
      <c r="M28" s="79"/>
    </row>
    <row r="29" spans="1:13" ht="15.75" hidden="1" customHeight="1">
      <c r="A29" s="79"/>
      <c r="B29" s="160"/>
      <c r="C29" s="160"/>
      <c r="D29" s="160"/>
      <c r="E29" s="161" t="s">
        <v>143</v>
      </c>
      <c r="F29" s="161"/>
      <c r="G29" s="162">
        <v>0</v>
      </c>
      <c r="H29" s="79"/>
      <c r="I29" s="79"/>
      <c r="J29" s="79"/>
      <c r="K29" s="79"/>
      <c r="L29" s="79"/>
      <c r="M29" s="79"/>
    </row>
    <row r="30" spans="1:13" ht="15.75" customHeight="1">
      <c r="A30" s="163" t="s">
        <v>140</v>
      </c>
      <c r="B30" s="155">
        <v>45839</v>
      </c>
      <c r="C30" s="156">
        <v>0</v>
      </c>
      <c r="D30" s="156">
        <v>14138</v>
      </c>
      <c r="E30" s="157" t="s">
        <v>141</v>
      </c>
      <c r="F30" s="158">
        <v>202506300132365</v>
      </c>
      <c r="G30" s="159">
        <v>1553.66</v>
      </c>
      <c r="H30" s="79" t="s">
        <v>814</v>
      </c>
      <c r="I30" s="79" t="s">
        <v>595</v>
      </c>
      <c r="J30" s="79"/>
      <c r="K30" s="79"/>
      <c r="L30" s="79"/>
      <c r="M30" s="79"/>
    </row>
    <row r="31" spans="1:13" ht="15.75" hidden="1" customHeight="1">
      <c r="A31" s="79"/>
      <c r="B31" s="160"/>
      <c r="C31" s="160"/>
      <c r="D31" s="160"/>
      <c r="E31" s="161" t="s">
        <v>143</v>
      </c>
      <c r="F31" s="161"/>
      <c r="G31" s="162">
        <v>0</v>
      </c>
      <c r="H31" s="79"/>
      <c r="I31" s="79"/>
      <c r="J31" s="79"/>
      <c r="K31" s="79"/>
      <c r="L31" s="79"/>
      <c r="M31" s="79"/>
    </row>
    <row r="32" spans="1:13" ht="15.75" customHeight="1">
      <c r="A32" s="163" t="s">
        <v>140</v>
      </c>
      <c r="B32" s="155">
        <v>45839</v>
      </c>
      <c r="C32" s="156">
        <v>0</v>
      </c>
      <c r="D32" s="156">
        <v>14138</v>
      </c>
      <c r="E32" s="157" t="s">
        <v>141</v>
      </c>
      <c r="F32" s="158">
        <v>202506300132367</v>
      </c>
      <c r="G32" s="159">
        <v>1476.65</v>
      </c>
      <c r="H32" s="79" t="s">
        <v>815</v>
      </c>
      <c r="I32" s="79" t="s">
        <v>595</v>
      </c>
      <c r="J32" s="79"/>
      <c r="K32" s="79"/>
      <c r="L32" s="79"/>
      <c r="M32" s="79"/>
    </row>
    <row r="33" spans="1:13" ht="15.75" hidden="1" customHeight="1">
      <c r="A33" s="79"/>
      <c r="B33" s="160"/>
      <c r="C33" s="160"/>
      <c r="D33" s="160"/>
      <c r="E33" s="161" t="s">
        <v>143</v>
      </c>
      <c r="F33" s="161"/>
      <c r="G33" s="162">
        <v>0</v>
      </c>
      <c r="H33" s="79"/>
      <c r="I33" s="79"/>
      <c r="J33" s="79"/>
      <c r="K33" s="79"/>
      <c r="L33" s="79"/>
      <c r="M33" s="79"/>
    </row>
    <row r="34" spans="1:13" ht="15.75" customHeight="1">
      <c r="A34" s="163" t="s">
        <v>140</v>
      </c>
      <c r="B34" s="155">
        <v>45839</v>
      </c>
      <c r="C34" s="156">
        <v>0</v>
      </c>
      <c r="D34" s="156">
        <v>14138</v>
      </c>
      <c r="E34" s="157" t="s">
        <v>141</v>
      </c>
      <c r="F34" s="158">
        <v>202506300132369</v>
      </c>
      <c r="G34" s="159">
        <v>1476.65</v>
      </c>
      <c r="H34" s="79" t="s">
        <v>816</v>
      </c>
      <c r="I34" s="79" t="s">
        <v>595</v>
      </c>
      <c r="J34" s="79"/>
      <c r="K34" s="79"/>
      <c r="L34" s="79"/>
      <c r="M34" s="79"/>
    </row>
    <row r="35" spans="1:13" ht="15.75" hidden="1" customHeight="1">
      <c r="A35" s="79"/>
      <c r="B35" s="160"/>
      <c r="C35" s="160"/>
      <c r="D35" s="160"/>
      <c r="E35" s="161" t="s">
        <v>143</v>
      </c>
      <c r="F35" s="161"/>
      <c r="G35" s="162">
        <v>0</v>
      </c>
      <c r="H35" s="79"/>
      <c r="I35" s="79"/>
      <c r="J35" s="79"/>
      <c r="K35" s="79"/>
      <c r="L35" s="79"/>
      <c r="M35" s="79"/>
    </row>
    <row r="36" spans="1:13" ht="15.75" customHeight="1">
      <c r="A36" s="163" t="s">
        <v>140</v>
      </c>
      <c r="B36" s="155">
        <v>45839</v>
      </c>
      <c r="C36" s="156">
        <v>0</v>
      </c>
      <c r="D36" s="156">
        <v>14138</v>
      </c>
      <c r="E36" s="157" t="s">
        <v>141</v>
      </c>
      <c r="F36" s="158">
        <v>202506300132371</v>
      </c>
      <c r="G36" s="159">
        <v>3237.94</v>
      </c>
      <c r="H36" s="79" t="s">
        <v>817</v>
      </c>
      <c r="I36" s="79" t="s">
        <v>428</v>
      </c>
      <c r="J36" s="79"/>
      <c r="K36" s="79"/>
      <c r="L36" s="79"/>
      <c r="M36" s="79"/>
    </row>
    <row r="37" spans="1:13" ht="15.75" hidden="1" customHeight="1">
      <c r="A37" s="79"/>
      <c r="B37" s="160"/>
      <c r="C37" s="160"/>
      <c r="D37" s="160"/>
      <c r="E37" s="161" t="s">
        <v>143</v>
      </c>
      <c r="F37" s="161"/>
      <c r="G37" s="162">
        <v>0</v>
      </c>
      <c r="H37" s="79"/>
      <c r="I37" s="79"/>
      <c r="J37" s="79"/>
      <c r="K37" s="79"/>
      <c r="L37" s="79"/>
      <c r="M37" s="79"/>
    </row>
    <row r="38" spans="1:13" ht="15.75" customHeight="1">
      <c r="A38" s="163" t="s">
        <v>140</v>
      </c>
      <c r="B38" s="155">
        <v>45839</v>
      </c>
      <c r="C38" s="156">
        <v>0</v>
      </c>
      <c r="D38" s="156">
        <v>14138</v>
      </c>
      <c r="E38" s="157" t="s">
        <v>141</v>
      </c>
      <c r="F38" s="158">
        <v>202506300132372</v>
      </c>
      <c r="G38" s="159">
        <v>1668.08</v>
      </c>
      <c r="H38" s="79" t="s">
        <v>818</v>
      </c>
      <c r="I38" s="79" t="s">
        <v>428</v>
      </c>
      <c r="J38" s="79"/>
      <c r="K38" s="79"/>
      <c r="L38" s="79"/>
      <c r="M38" s="79"/>
    </row>
    <row r="39" spans="1:13" ht="15.75" hidden="1" customHeight="1">
      <c r="A39" s="79"/>
      <c r="B39" s="160"/>
      <c r="C39" s="160"/>
      <c r="D39" s="160"/>
      <c r="E39" s="161" t="s">
        <v>143</v>
      </c>
      <c r="F39" s="161"/>
      <c r="G39" s="162">
        <v>0</v>
      </c>
      <c r="H39" s="79"/>
      <c r="I39" s="79"/>
      <c r="J39" s="79"/>
      <c r="K39" s="79"/>
      <c r="L39" s="79"/>
      <c r="M39" s="79"/>
    </row>
    <row r="40" spans="1:13" ht="15.75" hidden="1" customHeight="1">
      <c r="A40" s="79"/>
      <c r="B40" s="155">
        <v>45839</v>
      </c>
      <c r="C40" s="156">
        <v>1533</v>
      </c>
      <c r="D40" s="156">
        <v>99015</v>
      </c>
      <c r="E40" s="157" t="s">
        <v>195</v>
      </c>
      <c r="F40" s="158">
        <v>551845000113366</v>
      </c>
      <c r="G40" s="172">
        <v>3605.31</v>
      </c>
      <c r="H40" s="79"/>
      <c r="I40" s="79"/>
      <c r="J40" s="79"/>
      <c r="K40" s="79"/>
      <c r="L40" s="79"/>
      <c r="M40" s="79"/>
    </row>
    <row r="41" spans="1:13" ht="15.75" hidden="1" customHeight="1">
      <c r="A41" s="79"/>
      <c r="B41" s="160"/>
      <c r="C41" s="160"/>
      <c r="D41" s="160"/>
      <c r="E41" s="161" t="s">
        <v>819</v>
      </c>
      <c r="F41" s="161"/>
      <c r="G41" s="162">
        <v>0</v>
      </c>
      <c r="H41" s="79"/>
      <c r="I41" s="79"/>
      <c r="J41" s="79"/>
      <c r="K41" s="79"/>
      <c r="L41" s="79"/>
      <c r="M41" s="79"/>
    </row>
    <row r="42" spans="1:13" ht="15.75" hidden="1" customHeight="1">
      <c r="A42" s="79"/>
      <c r="B42" s="155">
        <v>45839</v>
      </c>
      <c r="C42" s="156">
        <v>1533</v>
      </c>
      <c r="D42" s="156">
        <v>99015</v>
      </c>
      <c r="E42" s="157" t="s">
        <v>195</v>
      </c>
      <c r="F42" s="158">
        <v>552035000108588</v>
      </c>
      <c r="G42" s="172">
        <v>3687.48</v>
      </c>
      <c r="H42" s="79"/>
      <c r="I42" s="79"/>
      <c r="J42" s="79"/>
      <c r="K42" s="79"/>
      <c r="L42" s="79"/>
      <c r="M42" s="79"/>
    </row>
    <row r="43" spans="1:13" ht="15.75" hidden="1" customHeight="1">
      <c r="A43" s="79"/>
      <c r="B43" s="160"/>
      <c r="C43" s="160"/>
      <c r="D43" s="160"/>
      <c r="E43" s="161" t="s">
        <v>820</v>
      </c>
      <c r="F43" s="161"/>
      <c r="G43" s="162">
        <v>0</v>
      </c>
      <c r="H43" s="79"/>
      <c r="I43" s="79"/>
      <c r="J43" s="79"/>
      <c r="K43" s="79"/>
      <c r="L43" s="79"/>
      <c r="M43" s="79"/>
    </row>
    <row r="44" spans="1:13" ht="15.75" hidden="1" customHeight="1">
      <c r="A44" s="79"/>
      <c r="B44" s="155">
        <v>45839</v>
      </c>
      <c r="C44" s="156">
        <v>1533</v>
      </c>
      <c r="D44" s="156">
        <v>99015</v>
      </c>
      <c r="E44" s="157" t="s">
        <v>195</v>
      </c>
      <c r="F44" s="158">
        <v>552878000021801</v>
      </c>
      <c r="G44" s="172">
        <v>20000</v>
      </c>
      <c r="H44" s="79"/>
      <c r="I44" s="79"/>
      <c r="J44" s="79"/>
      <c r="K44" s="79"/>
      <c r="L44" s="79"/>
      <c r="M44" s="79"/>
    </row>
    <row r="45" spans="1:13" ht="15.75" hidden="1" customHeight="1">
      <c r="A45" s="79"/>
      <c r="B45" s="160"/>
      <c r="C45" s="160"/>
      <c r="D45" s="160"/>
      <c r="E45" s="161" t="s">
        <v>821</v>
      </c>
      <c r="F45" s="161"/>
      <c r="G45" s="162">
        <v>0</v>
      </c>
      <c r="H45" s="79"/>
      <c r="I45" s="79"/>
      <c r="J45" s="79"/>
      <c r="K45" s="79"/>
      <c r="L45" s="79"/>
      <c r="M45" s="79"/>
    </row>
    <row r="46" spans="1:13" ht="15.75" hidden="1" customHeight="1">
      <c r="A46" s="79"/>
      <c r="B46" s="155">
        <v>45839</v>
      </c>
      <c r="C46" s="156">
        <v>1533</v>
      </c>
      <c r="D46" s="156">
        <v>99015</v>
      </c>
      <c r="E46" s="157" t="s">
        <v>195</v>
      </c>
      <c r="F46" s="158">
        <v>552878000021801</v>
      </c>
      <c r="G46" s="172">
        <v>9660.7099999999991</v>
      </c>
      <c r="H46" s="79"/>
      <c r="I46" s="79"/>
      <c r="J46" s="79"/>
      <c r="K46" s="79"/>
      <c r="L46" s="79"/>
      <c r="M46" s="79"/>
    </row>
    <row r="47" spans="1:13" ht="15.75" hidden="1" customHeight="1">
      <c r="A47" s="79"/>
      <c r="B47" s="160"/>
      <c r="C47" s="160"/>
      <c r="D47" s="160"/>
      <c r="E47" s="161" t="s">
        <v>822</v>
      </c>
      <c r="F47" s="161"/>
      <c r="G47" s="162">
        <v>0</v>
      </c>
      <c r="H47" s="79"/>
      <c r="I47" s="79"/>
      <c r="J47" s="79"/>
      <c r="K47" s="79"/>
      <c r="L47" s="79"/>
      <c r="M47" s="79"/>
    </row>
    <row r="48" spans="1:13" ht="15.75" hidden="1" customHeight="1">
      <c r="A48" s="79"/>
      <c r="B48" s="155">
        <v>45839</v>
      </c>
      <c r="C48" s="156">
        <v>0</v>
      </c>
      <c r="D48" s="156">
        <v>13105</v>
      </c>
      <c r="E48" s="157" t="s">
        <v>118</v>
      </c>
      <c r="F48" s="158">
        <v>70101</v>
      </c>
      <c r="G48" s="172">
        <v>15000</v>
      </c>
      <c r="H48" s="79"/>
      <c r="I48" s="79"/>
      <c r="J48" s="79"/>
      <c r="K48" s="79"/>
      <c r="L48" s="79"/>
      <c r="M48" s="79"/>
    </row>
    <row r="49" spans="1:13" ht="22.5" hidden="1" customHeight="1">
      <c r="A49" s="79"/>
      <c r="B49" s="160"/>
      <c r="C49" s="160"/>
      <c r="D49" s="160"/>
      <c r="E49" s="161" t="s">
        <v>823</v>
      </c>
      <c r="F49" s="161"/>
      <c r="G49" s="162">
        <v>0</v>
      </c>
      <c r="H49" s="79"/>
      <c r="I49" s="79"/>
      <c r="J49" s="79"/>
      <c r="K49" s="79"/>
      <c r="L49" s="79"/>
      <c r="M49" s="79"/>
    </row>
    <row r="50" spans="1:13" ht="15.75" hidden="1" customHeight="1">
      <c r="A50" s="79"/>
      <c r="B50" s="155">
        <v>45839</v>
      </c>
      <c r="C50" s="156">
        <v>0</v>
      </c>
      <c r="D50" s="156">
        <v>13105</v>
      </c>
      <c r="E50" s="157" t="s">
        <v>31</v>
      </c>
      <c r="F50" s="158">
        <v>70102</v>
      </c>
      <c r="G50" s="172">
        <v>149.97999999999999</v>
      </c>
      <c r="H50" s="79"/>
      <c r="I50" s="79"/>
      <c r="J50" s="79"/>
      <c r="K50" s="79"/>
      <c r="L50" s="79"/>
      <c r="M50" s="79"/>
    </row>
    <row r="51" spans="1:13" ht="15.75" hidden="1" customHeight="1">
      <c r="A51" s="79"/>
      <c r="B51" s="160"/>
      <c r="C51" s="160"/>
      <c r="D51" s="160"/>
      <c r="E51" s="161" t="s">
        <v>51</v>
      </c>
      <c r="F51" s="161"/>
      <c r="G51" s="162">
        <v>0</v>
      </c>
      <c r="H51" s="79"/>
      <c r="I51" s="79"/>
      <c r="J51" s="79"/>
      <c r="K51" s="79"/>
      <c r="L51" s="79"/>
      <c r="M51" s="79"/>
    </row>
    <row r="52" spans="1:13" ht="15.75" hidden="1" customHeight="1">
      <c r="A52" s="79"/>
      <c r="B52" s="155">
        <v>45839</v>
      </c>
      <c r="C52" s="156">
        <v>0</v>
      </c>
      <c r="D52" s="156">
        <v>13105</v>
      </c>
      <c r="E52" s="157" t="s">
        <v>80</v>
      </c>
      <c r="F52" s="158">
        <v>70103</v>
      </c>
      <c r="G52" s="172">
        <v>111.8</v>
      </c>
      <c r="H52" s="79"/>
      <c r="I52" s="79"/>
      <c r="J52" s="79"/>
      <c r="K52" s="79"/>
      <c r="L52" s="79"/>
      <c r="M52" s="79"/>
    </row>
    <row r="53" spans="1:13" ht="15.75" hidden="1" customHeight="1">
      <c r="A53" s="79"/>
      <c r="B53" s="160"/>
      <c r="C53" s="160"/>
      <c r="D53" s="160"/>
      <c r="E53" s="161" t="s">
        <v>81</v>
      </c>
      <c r="F53" s="161"/>
      <c r="G53" s="162">
        <v>0</v>
      </c>
      <c r="H53" s="79"/>
      <c r="I53" s="79"/>
      <c r="J53" s="79"/>
      <c r="K53" s="79"/>
      <c r="L53" s="79"/>
      <c r="M53" s="79"/>
    </row>
    <row r="54" spans="1:13" ht="15.75" hidden="1" customHeight="1">
      <c r="A54" s="79"/>
      <c r="B54" s="155">
        <v>45839</v>
      </c>
      <c r="C54" s="156">
        <v>0</v>
      </c>
      <c r="D54" s="156">
        <v>13105</v>
      </c>
      <c r="E54" s="157" t="s">
        <v>80</v>
      </c>
      <c r="F54" s="158">
        <v>70104</v>
      </c>
      <c r="G54" s="172">
        <v>492.46</v>
      </c>
      <c r="H54" s="79"/>
      <c r="I54" s="79"/>
      <c r="J54" s="79"/>
      <c r="K54" s="79"/>
      <c r="L54" s="79"/>
      <c r="M54" s="79"/>
    </row>
    <row r="55" spans="1:13" ht="15.75" hidden="1" customHeight="1">
      <c r="A55" s="79"/>
      <c r="B55" s="160"/>
      <c r="C55" s="160"/>
      <c r="D55" s="160"/>
      <c r="E55" s="161" t="s">
        <v>81</v>
      </c>
      <c r="F55" s="161"/>
      <c r="G55" s="162">
        <v>0</v>
      </c>
      <c r="H55" s="79"/>
      <c r="I55" s="79"/>
      <c r="J55" s="79"/>
      <c r="K55" s="79"/>
      <c r="L55" s="79"/>
      <c r="M55" s="79"/>
    </row>
    <row r="56" spans="1:13" ht="15.75" hidden="1" customHeight="1">
      <c r="A56" s="79"/>
      <c r="B56" s="155">
        <v>45839</v>
      </c>
      <c r="C56" s="156">
        <v>0</v>
      </c>
      <c r="D56" s="156">
        <v>13105</v>
      </c>
      <c r="E56" s="157" t="s">
        <v>31</v>
      </c>
      <c r="F56" s="158">
        <v>70105</v>
      </c>
      <c r="G56" s="172">
        <v>327.23</v>
      </c>
      <c r="H56" s="79"/>
      <c r="I56" s="79"/>
      <c r="J56" s="79"/>
      <c r="K56" s="79"/>
      <c r="L56" s="79"/>
      <c r="M56" s="79"/>
    </row>
    <row r="57" spans="1:13" ht="15.75" hidden="1" customHeight="1">
      <c r="A57" s="79"/>
      <c r="B57" s="160"/>
      <c r="C57" s="160"/>
      <c r="D57" s="160"/>
      <c r="E57" s="161" t="s">
        <v>200</v>
      </c>
      <c r="F57" s="161"/>
      <c r="G57" s="162">
        <v>0</v>
      </c>
      <c r="H57" s="79"/>
      <c r="I57" s="79"/>
      <c r="J57" s="79"/>
      <c r="K57" s="79"/>
      <c r="L57" s="79"/>
      <c r="M57" s="79"/>
    </row>
    <row r="58" spans="1:13" ht="15.75" hidden="1" customHeight="1">
      <c r="A58" s="79"/>
      <c r="B58" s="155">
        <v>45839</v>
      </c>
      <c r="C58" s="156">
        <v>0</v>
      </c>
      <c r="D58" s="156">
        <v>13105</v>
      </c>
      <c r="E58" s="157" t="s">
        <v>31</v>
      </c>
      <c r="F58" s="158">
        <v>70106</v>
      </c>
      <c r="G58" s="172">
        <v>1117.53</v>
      </c>
      <c r="H58" s="79"/>
      <c r="I58" s="79"/>
      <c r="J58" s="79"/>
      <c r="K58" s="79"/>
      <c r="L58" s="79"/>
      <c r="M58" s="79"/>
    </row>
    <row r="59" spans="1:13" ht="15.75" hidden="1" customHeight="1">
      <c r="A59" s="79"/>
      <c r="B59" s="160"/>
      <c r="C59" s="160"/>
      <c r="D59" s="160"/>
      <c r="E59" s="161" t="s">
        <v>95</v>
      </c>
      <c r="F59" s="161"/>
      <c r="G59" s="162">
        <v>0</v>
      </c>
      <c r="H59" s="79"/>
      <c r="I59" s="79"/>
      <c r="J59" s="79"/>
      <c r="K59" s="79"/>
      <c r="L59" s="79"/>
      <c r="M59" s="79"/>
    </row>
    <row r="60" spans="1:13" ht="15.75" hidden="1" customHeight="1">
      <c r="A60" s="79"/>
      <c r="B60" s="155">
        <v>45839</v>
      </c>
      <c r="C60" s="156">
        <v>0</v>
      </c>
      <c r="D60" s="156">
        <v>13105</v>
      </c>
      <c r="E60" s="157" t="s">
        <v>31</v>
      </c>
      <c r="F60" s="158">
        <v>70107</v>
      </c>
      <c r="G60" s="172">
        <v>626.49</v>
      </c>
      <c r="H60" s="79"/>
      <c r="I60" s="79"/>
      <c r="J60" s="79"/>
      <c r="K60" s="79"/>
      <c r="L60" s="79"/>
      <c r="M60" s="79"/>
    </row>
    <row r="61" spans="1:13" ht="15.75" hidden="1" customHeight="1">
      <c r="A61" s="79"/>
      <c r="B61" s="160"/>
      <c r="C61" s="160"/>
      <c r="D61" s="160"/>
      <c r="E61" s="161" t="s">
        <v>46</v>
      </c>
      <c r="F61" s="161"/>
      <c r="G61" s="162">
        <v>0</v>
      </c>
      <c r="H61" s="79"/>
      <c r="I61" s="79"/>
      <c r="J61" s="79"/>
      <c r="K61" s="79"/>
      <c r="L61" s="79"/>
      <c r="M61" s="79"/>
    </row>
    <row r="62" spans="1:13" ht="15.75" hidden="1" customHeight="1">
      <c r="A62" s="79"/>
      <c r="B62" s="155">
        <v>45839</v>
      </c>
      <c r="C62" s="156">
        <v>0</v>
      </c>
      <c r="D62" s="156">
        <v>13105</v>
      </c>
      <c r="E62" s="157" t="s">
        <v>31</v>
      </c>
      <c r="F62" s="158">
        <v>70108</v>
      </c>
      <c r="G62" s="172">
        <v>266.12</v>
      </c>
      <c r="H62" s="79"/>
      <c r="I62" s="79"/>
      <c r="J62" s="79"/>
      <c r="K62" s="79"/>
      <c r="L62" s="79"/>
      <c r="M62" s="79"/>
    </row>
    <row r="63" spans="1:13" ht="15.75" hidden="1" customHeight="1">
      <c r="A63" s="79"/>
      <c r="B63" s="160"/>
      <c r="C63" s="160"/>
      <c r="D63" s="160"/>
      <c r="E63" s="161" t="s">
        <v>340</v>
      </c>
      <c r="F63" s="161"/>
      <c r="G63" s="162">
        <v>0</v>
      </c>
      <c r="H63" s="79"/>
      <c r="I63" s="79"/>
      <c r="J63" s="79"/>
      <c r="K63" s="79"/>
      <c r="L63" s="79"/>
      <c r="M63" s="79"/>
    </row>
    <row r="64" spans="1:13" ht="15.75" hidden="1" customHeight="1">
      <c r="A64" s="79"/>
      <c r="B64" s="155">
        <v>45839</v>
      </c>
      <c r="C64" s="156">
        <v>0</v>
      </c>
      <c r="D64" s="156">
        <v>13105</v>
      </c>
      <c r="E64" s="157" t="s">
        <v>118</v>
      </c>
      <c r="F64" s="158">
        <v>70109</v>
      </c>
      <c r="G64" s="172">
        <v>10000</v>
      </c>
      <c r="H64" s="79"/>
      <c r="I64" s="79"/>
      <c r="J64" s="79"/>
      <c r="K64" s="79"/>
      <c r="L64" s="79"/>
      <c r="M64" s="79"/>
    </row>
    <row r="65" spans="1:13" ht="15.75" hidden="1" customHeight="1">
      <c r="A65" s="79"/>
      <c r="B65" s="160"/>
      <c r="C65" s="160"/>
      <c r="D65" s="160"/>
      <c r="E65" s="161" t="s">
        <v>824</v>
      </c>
      <c r="F65" s="161"/>
      <c r="G65" s="162">
        <v>0</v>
      </c>
      <c r="H65" s="79"/>
      <c r="I65" s="79"/>
      <c r="J65" s="79"/>
      <c r="K65" s="79"/>
      <c r="L65" s="79"/>
      <c r="M65" s="79"/>
    </row>
    <row r="66" spans="1:13" ht="15.75" hidden="1" customHeight="1">
      <c r="A66" s="79"/>
      <c r="B66" s="155">
        <v>45839</v>
      </c>
      <c r="C66" s="156">
        <v>0</v>
      </c>
      <c r="D66" s="156">
        <v>13105</v>
      </c>
      <c r="E66" s="157" t="s">
        <v>31</v>
      </c>
      <c r="F66" s="158">
        <v>70110</v>
      </c>
      <c r="G66" s="172">
        <v>5118.2</v>
      </c>
      <c r="H66" s="79"/>
      <c r="I66" s="79"/>
      <c r="J66" s="79"/>
      <c r="K66" s="79"/>
      <c r="L66" s="79"/>
      <c r="M66" s="79"/>
    </row>
    <row r="67" spans="1:13" ht="15.75" hidden="1" customHeight="1">
      <c r="A67" s="79"/>
      <c r="B67" s="160"/>
      <c r="C67" s="160"/>
      <c r="D67" s="160"/>
      <c r="E67" s="161" t="s">
        <v>32</v>
      </c>
      <c r="F67" s="161"/>
      <c r="G67" s="162">
        <v>0</v>
      </c>
      <c r="H67" s="79"/>
      <c r="I67" s="79"/>
      <c r="J67" s="79"/>
      <c r="K67" s="79"/>
      <c r="L67" s="79"/>
      <c r="M67" s="79"/>
    </row>
    <row r="68" spans="1:13" ht="15.75" hidden="1" customHeight="1">
      <c r="A68" s="79"/>
      <c r="B68" s="155">
        <v>45839</v>
      </c>
      <c r="C68" s="156">
        <v>0</v>
      </c>
      <c r="D68" s="156">
        <v>13105</v>
      </c>
      <c r="E68" s="157" t="s">
        <v>31</v>
      </c>
      <c r="F68" s="158">
        <v>70111</v>
      </c>
      <c r="G68" s="172">
        <v>5069.3</v>
      </c>
      <c r="H68" s="79"/>
      <c r="I68" s="79"/>
      <c r="J68" s="79"/>
      <c r="K68" s="79"/>
      <c r="L68" s="79"/>
      <c r="M68" s="79"/>
    </row>
    <row r="69" spans="1:13" ht="15.75" hidden="1" customHeight="1">
      <c r="A69" s="79"/>
      <c r="B69" s="160"/>
      <c r="C69" s="160"/>
      <c r="D69" s="160"/>
      <c r="E69" s="161" t="s">
        <v>32</v>
      </c>
      <c r="F69" s="161"/>
      <c r="G69" s="162">
        <v>0</v>
      </c>
      <c r="H69" s="79"/>
      <c r="I69" s="79"/>
      <c r="J69" s="79"/>
      <c r="K69" s="79"/>
      <c r="L69" s="79"/>
      <c r="M69" s="79"/>
    </row>
    <row r="70" spans="1:13" ht="15.75" hidden="1" customHeight="1">
      <c r="A70" s="79"/>
      <c r="B70" s="155">
        <v>45839</v>
      </c>
      <c r="C70" s="156">
        <v>0</v>
      </c>
      <c r="D70" s="156">
        <v>13105</v>
      </c>
      <c r="E70" s="157" t="s">
        <v>31</v>
      </c>
      <c r="F70" s="158">
        <v>70112</v>
      </c>
      <c r="G70" s="172">
        <v>2026.96</v>
      </c>
      <c r="H70" s="79"/>
      <c r="I70" s="79"/>
      <c r="J70" s="79"/>
      <c r="K70" s="79"/>
      <c r="L70" s="79"/>
      <c r="M70" s="79"/>
    </row>
    <row r="71" spans="1:13" ht="15.75" hidden="1" customHeight="1">
      <c r="A71" s="79"/>
      <c r="B71" s="160"/>
      <c r="C71" s="160"/>
      <c r="D71" s="160"/>
      <c r="E71" s="161" t="s">
        <v>32</v>
      </c>
      <c r="F71" s="161"/>
      <c r="G71" s="162">
        <v>0</v>
      </c>
      <c r="H71" s="79"/>
      <c r="I71" s="79"/>
      <c r="J71" s="79"/>
      <c r="K71" s="79"/>
      <c r="L71" s="79"/>
      <c r="M71" s="79"/>
    </row>
    <row r="72" spans="1:13" ht="15.75" hidden="1" customHeight="1">
      <c r="A72" s="79"/>
      <c r="B72" s="155">
        <v>45839</v>
      </c>
      <c r="C72" s="156">
        <v>0</v>
      </c>
      <c r="D72" s="156">
        <v>13105</v>
      </c>
      <c r="E72" s="157" t="s">
        <v>31</v>
      </c>
      <c r="F72" s="158">
        <v>70113</v>
      </c>
      <c r="G72" s="172">
        <v>8761.11</v>
      </c>
      <c r="H72" s="79"/>
      <c r="I72" s="79"/>
      <c r="J72" s="79"/>
      <c r="K72" s="79"/>
      <c r="L72" s="79"/>
      <c r="M72" s="79"/>
    </row>
    <row r="73" spans="1:13" ht="15.75" hidden="1" customHeight="1">
      <c r="A73" s="79"/>
      <c r="B73" s="160"/>
      <c r="C73" s="160"/>
      <c r="D73" s="160"/>
      <c r="E73" s="161" t="s">
        <v>32</v>
      </c>
      <c r="F73" s="161"/>
      <c r="G73" s="162">
        <v>0</v>
      </c>
      <c r="H73" s="79"/>
      <c r="I73" s="79"/>
      <c r="J73" s="79"/>
      <c r="K73" s="79"/>
      <c r="L73" s="79"/>
      <c r="M73" s="79"/>
    </row>
    <row r="74" spans="1:13" ht="15.75" hidden="1" customHeight="1">
      <c r="A74" s="79"/>
      <c r="B74" s="155">
        <v>45839</v>
      </c>
      <c r="C74" s="156">
        <v>0</v>
      </c>
      <c r="D74" s="156">
        <v>13105</v>
      </c>
      <c r="E74" s="157" t="s">
        <v>31</v>
      </c>
      <c r="F74" s="158">
        <v>70114</v>
      </c>
      <c r="G74" s="172">
        <v>6606.81</v>
      </c>
      <c r="H74" s="79"/>
      <c r="I74" s="79"/>
      <c r="J74" s="79"/>
      <c r="K74" s="79"/>
      <c r="L74" s="79"/>
      <c r="M74" s="79"/>
    </row>
    <row r="75" spans="1:13" ht="15.75" hidden="1" customHeight="1">
      <c r="A75" s="79"/>
      <c r="B75" s="160"/>
      <c r="C75" s="160"/>
      <c r="D75" s="160"/>
      <c r="E75" s="161" t="s">
        <v>32</v>
      </c>
      <c r="F75" s="161"/>
      <c r="G75" s="162">
        <v>0</v>
      </c>
      <c r="H75" s="79"/>
      <c r="I75" s="79"/>
      <c r="J75" s="79"/>
      <c r="K75" s="79"/>
      <c r="L75" s="79"/>
      <c r="M75" s="79"/>
    </row>
    <row r="76" spans="1:13" ht="15.75" hidden="1" customHeight="1">
      <c r="A76" s="79"/>
      <c r="B76" s="155">
        <v>45839</v>
      </c>
      <c r="C76" s="156">
        <v>0</v>
      </c>
      <c r="D76" s="156">
        <v>13105</v>
      </c>
      <c r="E76" s="157" t="s">
        <v>118</v>
      </c>
      <c r="F76" s="158">
        <v>70115</v>
      </c>
      <c r="G76" s="172">
        <v>6005.16</v>
      </c>
      <c r="H76" s="79"/>
      <c r="I76" s="79"/>
      <c r="J76" s="79"/>
      <c r="K76" s="79"/>
      <c r="L76" s="79"/>
      <c r="M76" s="79"/>
    </row>
    <row r="77" spans="1:13" ht="22.5" hidden="1" customHeight="1">
      <c r="A77" s="79"/>
      <c r="B77" s="160"/>
      <c r="C77" s="160"/>
      <c r="D77" s="160"/>
      <c r="E77" s="161" t="s">
        <v>825</v>
      </c>
      <c r="F77" s="161"/>
      <c r="G77" s="162">
        <v>0</v>
      </c>
      <c r="H77" s="79"/>
      <c r="I77" s="79"/>
      <c r="J77" s="79"/>
      <c r="K77" s="79"/>
      <c r="L77" s="79"/>
      <c r="M77" s="79"/>
    </row>
    <row r="78" spans="1:13" ht="15.75" hidden="1" customHeight="1">
      <c r="A78" s="79"/>
      <c r="B78" s="155">
        <v>45839</v>
      </c>
      <c r="C78" s="156">
        <v>0</v>
      </c>
      <c r="D78" s="156">
        <v>0</v>
      </c>
      <c r="E78" s="157" t="s">
        <v>52</v>
      </c>
      <c r="F78" s="158">
        <v>9903</v>
      </c>
      <c r="G78" s="159">
        <v>27.02</v>
      </c>
      <c r="H78" s="79"/>
      <c r="I78" s="79"/>
      <c r="J78" s="79"/>
      <c r="K78" s="79"/>
      <c r="L78" s="79"/>
      <c r="M78" s="79"/>
    </row>
    <row r="79" spans="1:13" ht="15.75" hidden="1" customHeight="1">
      <c r="A79" s="79"/>
      <c r="B79" s="160"/>
      <c r="C79" s="160"/>
      <c r="D79" s="160"/>
      <c r="E79" s="161" t="s">
        <v>53</v>
      </c>
      <c r="F79" s="161"/>
      <c r="G79" s="162">
        <v>0</v>
      </c>
      <c r="H79" s="79"/>
      <c r="I79" s="79"/>
      <c r="J79" s="79"/>
      <c r="K79" s="79"/>
      <c r="L79" s="79"/>
      <c r="M79" s="79"/>
    </row>
    <row r="80" spans="1:13" ht="15.75" hidden="1" customHeight="1">
      <c r="A80" s="79"/>
      <c r="B80" s="155">
        <v>45840</v>
      </c>
      <c r="C80" s="156">
        <v>0</v>
      </c>
      <c r="D80" s="156">
        <v>14397</v>
      </c>
      <c r="E80" s="157" t="s">
        <v>57</v>
      </c>
      <c r="F80" s="158">
        <v>21129211427881</v>
      </c>
      <c r="G80" s="159">
        <v>13503.68</v>
      </c>
      <c r="H80" s="79"/>
      <c r="I80" s="79"/>
      <c r="J80" s="79"/>
      <c r="K80" s="79"/>
      <c r="L80" s="79"/>
      <c r="M80" s="79"/>
    </row>
    <row r="81" spans="1:13" ht="15.75" hidden="1" customHeight="1">
      <c r="A81" s="79"/>
      <c r="B81" s="160"/>
      <c r="C81" s="160"/>
      <c r="D81" s="160"/>
      <c r="E81" s="161" t="s">
        <v>826</v>
      </c>
      <c r="F81" s="161"/>
      <c r="G81" s="162">
        <v>0</v>
      </c>
      <c r="H81" s="79"/>
      <c r="I81" s="79"/>
      <c r="J81" s="79"/>
      <c r="K81" s="79"/>
      <c r="L81" s="79"/>
      <c r="M81" s="79"/>
    </row>
    <row r="82" spans="1:13" ht="15.75" hidden="1" customHeight="1">
      <c r="A82" s="79"/>
      <c r="B82" s="155">
        <v>45840</v>
      </c>
      <c r="C82" s="156">
        <v>0</v>
      </c>
      <c r="D82" s="156">
        <v>14397</v>
      </c>
      <c r="E82" s="157" t="s">
        <v>57</v>
      </c>
      <c r="F82" s="158">
        <v>21516512740112</v>
      </c>
      <c r="G82" s="159">
        <v>163.63999999999999</v>
      </c>
      <c r="H82" s="79"/>
      <c r="I82" s="79"/>
      <c r="J82" s="79"/>
      <c r="K82" s="79"/>
      <c r="L82" s="79"/>
      <c r="M82" s="79"/>
    </row>
    <row r="83" spans="1:13" ht="15.75" hidden="1" customHeight="1">
      <c r="A83" s="79"/>
      <c r="B83" s="160"/>
      <c r="C83" s="160"/>
      <c r="D83" s="160"/>
      <c r="E83" s="161" t="s">
        <v>827</v>
      </c>
      <c r="F83" s="161"/>
      <c r="G83" s="162">
        <v>0</v>
      </c>
      <c r="H83" s="79"/>
      <c r="I83" s="79"/>
      <c r="J83" s="79"/>
      <c r="K83" s="79"/>
      <c r="L83" s="79"/>
      <c r="M83" s="79"/>
    </row>
    <row r="84" spans="1:13" ht="15.75" hidden="1" customHeight="1">
      <c r="A84" s="79"/>
      <c r="B84" s="155">
        <v>45840</v>
      </c>
      <c r="C84" s="156">
        <v>0</v>
      </c>
      <c r="D84" s="156">
        <v>14397</v>
      </c>
      <c r="E84" s="157" t="s">
        <v>57</v>
      </c>
      <c r="F84" s="158">
        <v>21557052280201</v>
      </c>
      <c r="G84" s="159">
        <v>91.54</v>
      </c>
      <c r="H84" s="79"/>
      <c r="I84" s="79"/>
      <c r="J84" s="79"/>
      <c r="K84" s="79"/>
      <c r="L84" s="79"/>
      <c r="M84" s="79"/>
    </row>
    <row r="85" spans="1:13" ht="15.75" hidden="1" customHeight="1">
      <c r="A85" s="79"/>
      <c r="B85" s="160"/>
      <c r="C85" s="160"/>
      <c r="D85" s="160"/>
      <c r="E85" s="161" t="s">
        <v>828</v>
      </c>
      <c r="F85" s="161"/>
      <c r="G85" s="162">
        <v>0</v>
      </c>
      <c r="H85" s="79"/>
      <c r="I85" s="79"/>
      <c r="J85" s="79"/>
      <c r="K85" s="79"/>
      <c r="L85" s="79"/>
      <c r="M85" s="79"/>
    </row>
    <row r="86" spans="1:13" ht="15.75" customHeight="1">
      <c r="A86" s="163" t="s">
        <v>140</v>
      </c>
      <c r="B86" s="155">
        <v>45840</v>
      </c>
      <c r="C86" s="156">
        <v>0</v>
      </c>
      <c r="D86" s="156">
        <v>14138</v>
      </c>
      <c r="E86" s="157" t="s">
        <v>141</v>
      </c>
      <c r="F86" s="158">
        <v>202507010020205</v>
      </c>
      <c r="G86" s="159">
        <v>1612.42</v>
      </c>
      <c r="H86" s="79" t="s">
        <v>829</v>
      </c>
      <c r="I86" s="79" t="s">
        <v>595</v>
      </c>
      <c r="J86" s="79"/>
      <c r="K86" s="79"/>
      <c r="L86" s="79"/>
      <c r="M86" s="79"/>
    </row>
    <row r="87" spans="1:13" ht="15.75" hidden="1" customHeight="1">
      <c r="A87" s="79"/>
      <c r="B87" s="160"/>
      <c r="C87" s="160"/>
      <c r="D87" s="160"/>
      <c r="E87" s="161" t="s">
        <v>143</v>
      </c>
      <c r="F87" s="161"/>
      <c r="G87" s="162">
        <v>0</v>
      </c>
      <c r="H87" s="79"/>
      <c r="I87" s="79"/>
      <c r="J87" s="79"/>
      <c r="K87" s="79"/>
      <c r="L87" s="79"/>
      <c r="M87" s="79"/>
    </row>
    <row r="88" spans="1:13" ht="15.75" customHeight="1">
      <c r="A88" s="163" t="s">
        <v>140</v>
      </c>
      <c r="B88" s="155">
        <v>45840</v>
      </c>
      <c r="C88" s="156">
        <v>0</v>
      </c>
      <c r="D88" s="156">
        <v>14138</v>
      </c>
      <c r="E88" s="157" t="s">
        <v>141</v>
      </c>
      <c r="F88" s="158">
        <v>202507010020206</v>
      </c>
      <c r="G88" s="159">
        <v>1476.65</v>
      </c>
      <c r="H88" s="160" t="s">
        <v>830</v>
      </c>
      <c r="I88" s="160" t="s">
        <v>595</v>
      </c>
      <c r="J88" s="79"/>
      <c r="K88" s="79"/>
      <c r="L88" s="79"/>
      <c r="M88" s="79"/>
    </row>
    <row r="89" spans="1:13" ht="15.75" hidden="1" customHeight="1">
      <c r="A89" s="79"/>
      <c r="B89" s="160"/>
      <c r="C89" s="160"/>
      <c r="D89" s="160"/>
      <c r="E89" s="161" t="s">
        <v>143</v>
      </c>
      <c r="F89" s="161"/>
      <c r="G89" s="162">
        <v>0</v>
      </c>
      <c r="H89" s="79"/>
      <c r="I89" s="79"/>
      <c r="J89" s="79"/>
      <c r="K89" s="79"/>
      <c r="L89" s="79"/>
      <c r="M89" s="79"/>
    </row>
    <row r="90" spans="1:13" ht="15.75" customHeight="1">
      <c r="A90" s="163" t="s">
        <v>140</v>
      </c>
      <c r="B90" s="155">
        <v>45840</v>
      </c>
      <c r="C90" s="156">
        <v>0</v>
      </c>
      <c r="D90" s="156">
        <v>14138</v>
      </c>
      <c r="E90" s="157" t="s">
        <v>141</v>
      </c>
      <c r="F90" s="158">
        <v>202507010032241</v>
      </c>
      <c r="G90" s="159">
        <v>759.93</v>
      </c>
      <c r="H90" s="79" t="s">
        <v>831</v>
      </c>
      <c r="I90" s="79" t="s">
        <v>419</v>
      </c>
      <c r="J90" s="79"/>
      <c r="K90" s="79"/>
      <c r="L90" s="79"/>
      <c r="M90" s="79"/>
    </row>
    <row r="91" spans="1:13" ht="15.75" hidden="1" customHeight="1">
      <c r="A91" s="79"/>
      <c r="B91" s="160"/>
      <c r="C91" s="160"/>
      <c r="D91" s="160"/>
      <c r="E91" s="161" t="s">
        <v>143</v>
      </c>
      <c r="F91" s="161"/>
      <c r="G91" s="162">
        <v>0</v>
      </c>
      <c r="H91" s="79"/>
      <c r="I91" s="79"/>
      <c r="J91" s="79"/>
      <c r="K91" s="79"/>
      <c r="L91" s="79"/>
      <c r="M91" s="79"/>
    </row>
    <row r="92" spans="1:13" ht="15.75" customHeight="1">
      <c r="A92" s="163" t="s">
        <v>140</v>
      </c>
      <c r="B92" s="155">
        <v>45840</v>
      </c>
      <c r="C92" s="156">
        <v>0</v>
      </c>
      <c r="D92" s="156">
        <v>14138</v>
      </c>
      <c r="E92" s="157" t="s">
        <v>141</v>
      </c>
      <c r="F92" s="158">
        <v>202507010032246</v>
      </c>
      <c r="G92" s="159">
        <v>34.92</v>
      </c>
      <c r="H92" s="160" t="s">
        <v>832</v>
      </c>
      <c r="I92" s="160" t="s">
        <v>419</v>
      </c>
      <c r="J92" s="79"/>
      <c r="K92" s="79"/>
      <c r="L92" s="79"/>
      <c r="M92" s="79"/>
    </row>
    <row r="93" spans="1:13" ht="15.75" hidden="1" customHeight="1">
      <c r="A93" s="79"/>
      <c r="B93" s="160"/>
      <c r="C93" s="160"/>
      <c r="D93" s="160"/>
      <c r="E93" s="161" t="s">
        <v>143</v>
      </c>
      <c r="F93" s="161"/>
      <c r="G93" s="162">
        <v>0</v>
      </c>
      <c r="H93" s="79"/>
      <c r="I93" s="79"/>
      <c r="J93" s="79"/>
      <c r="K93" s="79"/>
      <c r="L93" s="79"/>
      <c r="M93" s="79"/>
    </row>
    <row r="94" spans="1:13" ht="15.75" customHeight="1">
      <c r="A94" s="163" t="s">
        <v>140</v>
      </c>
      <c r="B94" s="155">
        <v>45840</v>
      </c>
      <c r="C94" s="156">
        <v>0</v>
      </c>
      <c r="D94" s="156">
        <v>14138</v>
      </c>
      <c r="E94" s="157" t="s">
        <v>141</v>
      </c>
      <c r="F94" s="158">
        <v>202507010032256</v>
      </c>
      <c r="G94" s="159">
        <v>1553.66</v>
      </c>
      <c r="H94" s="164" t="s">
        <v>833</v>
      </c>
      <c r="I94" s="79" t="s">
        <v>595</v>
      </c>
      <c r="J94" s="79"/>
      <c r="K94" s="79"/>
      <c r="L94" s="79"/>
      <c r="M94" s="79"/>
    </row>
    <row r="95" spans="1:13" ht="15.75" hidden="1" customHeight="1">
      <c r="A95" s="79"/>
      <c r="B95" s="160"/>
      <c r="C95" s="160"/>
      <c r="D95" s="160"/>
      <c r="E95" s="161" t="s">
        <v>143</v>
      </c>
      <c r="F95" s="161"/>
      <c r="G95" s="162">
        <v>0</v>
      </c>
      <c r="H95" s="79"/>
      <c r="I95" s="79"/>
      <c r="J95" s="79"/>
      <c r="K95" s="79"/>
      <c r="L95" s="79"/>
      <c r="M95" s="79"/>
    </row>
    <row r="96" spans="1:13" ht="15.75" customHeight="1">
      <c r="A96" s="163" t="s">
        <v>140</v>
      </c>
      <c r="B96" s="155">
        <v>45840</v>
      </c>
      <c r="C96" s="156">
        <v>0</v>
      </c>
      <c r="D96" s="156">
        <v>14138</v>
      </c>
      <c r="E96" s="157" t="s">
        <v>141</v>
      </c>
      <c r="F96" s="158">
        <v>202507010032258</v>
      </c>
      <c r="G96" s="159">
        <v>1476.65</v>
      </c>
      <c r="H96" s="79" t="s">
        <v>834</v>
      </c>
      <c r="I96" s="79" t="s">
        <v>595</v>
      </c>
      <c r="J96" s="79"/>
      <c r="K96" s="79"/>
      <c r="L96" s="79"/>
      <c r="M96" s="79"/>
    </row>
    <row r="97" spans="1:13" ht="15.75" hidden="1" customHeight="1">
      <c r="A97" s="79"/>
      <c r="B97" s="160"/>
      <c r="C97" s="160"/>
      <c r="D97" s="160"/>
      <c r="E97" s="161" t="s">
        <v>143</v>
      </c>
      <c r="F97" s="161"/>
      <c r="G97" s="162">
        <v>0</v>
      </c>
      <c r="H97" s="79"/>
      <c r="I97" s="79"/>
      <c r="J97" s="79"/>
      <c r="K97" s="79"/>
      <c r="L97" s="79"/>
      <c r="M97" s="79"/>
    </row>
    <row r="98" spans="1:13" ht="15.75" customHeight="1">
      <c r="A98" s="163" t="s">
        <v>140</v>
      </c>
      <c r="B98" s="166">
        <v>45840</v>
      </c>
      <c r="C98" s="167">
        <v>0</v>
      </c>
      <c r="D98" s="167">
        <v>14138</v>
      </c>
      <c r="E98" s="168" t="s">
        <v>141</v>
      </c>
      <c r="F98" s="169">
        <v>202507010032260</v>
      </c>
      <c r="G98" s="170">
        <v>1553.66</v>
      </c>
      <c r="H98" s="100" t="s">
        <v>835</v>
      </c>
      <c r="I98" s="100" t="s">
        <v>595</v>
      </c>
      <c r="J98" s="79" t="s">
        <v>836</v>
      </c>
      <c r="K98" s="79"/>
      <c r="L98" s="79"/>
      <c r="M98" s="79"/>
    </row>
    <row r="99" spans="1:13" ht="15.75" hidden="1" customHeight="1">
      <c r="A99" s="79"/>
      <c r="B99" s="160"/>
      <c r="C99" s="160"/>
      <c r="D99" s="160"/>
      <c r="E99" s="161" t="s">
        <v>143</v>
      </c>
      <c r="F99" s="161"/>
      <c r="G99" s="162">
        <v>0</v>
      </c>
      <c r="H99" s="79"/>
      <c r="I99" s="79"/>
      <c r="J99" s="79"/>
      <c r="K99" s="79"/>
      <c r="L99" s="79"/>
      <c r="M99" s="79"/>
    </row>
    <row r="100" spans="1:13" ht="15.75" customHeight="1">
      <c r="A100" s="163" t="s">
        <v>140</v>
      </c>
      <c r="B100" s="155">
        <v>45840</v>
      </c>
      <c r="C100" s="156">
        <v>0</v>
      </c>
      <c r="D100" s="156">
        <v>14138</v>
      </c>
      <c r="E100" s="157" t="s">
        <v>141</v>
      </c>
      <c r="F100" s="158">
        <v>202507010032261</v>
      </c>
      <c r="G100" s="159">
        <v>2305.38</v>
      </c>
      <c r="H100" s="79" t="s">
        <v>837</v>
      </c>
      <c r="I100" s="79" t="s">
        <v>595</v>
      </c>
      <c r="J100" s="79"/>
      <c r="K100" s="79"/>
      <c r="L100" s="79"/>
      <c r="M100" s="79"/>
    </row>
    <row r="101" spans="1:13" ht="15.75" hidden="1" customHeight="1">
      <c r="A101" s="79"/>
      <c r="B101" s="160"/>
      <c r="C101" s="160"/>
      <c r="D101" s="160"/>
      <c r="E101" s="161" t="s">
        <v>143</v>
      </c>
      <c r="F101" s="161"/>
      <c r="G101" s="162">
        <v>0</v>
      </c>
      <c r="H101" s="79"/>
      <c r="I101" s="79"/>
      <c r="J101" s="79"/>
      <c r="K101" s="79"/>
      <c r="L101" s="79"/>
      <c r="M101" s="79"/>
    </row>
    <row r="102" spans="1:13" ht="15.75" customHeight="1">
      <c r="A102" s="163" t="s">
        <v>140</v>
      </c>
      <c r="B102" s="166">
        <v>45840</v>
      </c>
      <c r="C102" s="167">
        <v>0</v>
      </c>
      <c r="D102" s="167">
        <v>14138</v>
      </c>
      <c r="E102" s="168" t="s">
        <v>141</v>
      </c>
      <c r="F102" s="169">
        <v>202507010032263</v>
      </c>
      <c r="G102" s="170">
        <v>1476.65</v>
      </c>
      <c r="H102" s="100" t="s">
        <v>835</v>
      </c>
      <c r="I102" s="100" t="s">
        <v>595</v>
      </c>
      <c r="J102" s="79" t="s">
        <v>714</v>
      </c>
      <c r="K102" s="79"/>
      <c r="L102" s="79"/>
      <c r="M102" s="79"/>
    </row>
    <row r="103" spans="1:13" ht="15.75" hidden="1" customHeight="1">
      <c r="A103" s="79"/>
      <c r="B103" s="160"/>
      <c r="C103" s="160"/>
      <c r="D103" s="160"/>
      <c r="E103" s="161" t="s">
        <v>143</v>
      </c>
      <c r="F103" s="161"/>
      <c r="G103" s="162">
        <v>0</v>
      </c>
      <c r="H103" s="79"/>
      <c r="I103" s="79"/>
      <c r="J103" s="79"/>
      <c r="K103" s="79"/>
      <c r="L103" s="79"/>
      <c r="M103" s="79"/>
    </row>
    <row r="104" spans="1:13" ht="15.75" customHeight="1">
      <c r="A104" s="163" t="s">
        <v>140</v>
      </c>
      <c r="B104" s="155">
        <v>45840</v>
      </c>
      <c r="C104" s="156">
        <v>0</v>
      </c>
      <c r="D104" s="156">
        <v>14138</v>
      </c>
      <c r="E104" s="157" t="s">
        <v>141</v>
      </c>
      <c r="F104" s="158">
        <v>202507010032266</v>
      </c>
      <c r="G104" s="159">
        <v>1553.66</v>
      </c>
      <c r="H104" s="79" t="s">
        <v>838</v>
      </c>
      <c r="I104" s="79" t="s">
        <v>595</v>
      </c>
      <c r="J104" s="79"/>
      <c r="K104" s="79"/>
      <c r="L104" s="79"/>
      <c r="M104" s="79"/>
    </row>
    <row r="105" spans="1:13" ht="15.75" hidden="1" customHeight="1">
      <c r="A105" s="79"/>
      <c r="B105" s="160"/>
      <c r="C105" s="160"/>
      <c r="D105" s="160"/>
      <c r="E105" s="161" t="s">
        <v>143</v>
      </c>
      <c r="F105" s="161"/>
      <c r="G105" s="162">
        <v>0</v>
      </c>
      <c r="H105" s="79"/>
      <c r="I105" s="79"/>
      <c r="J105" s="79"/>
      <c r="K105" s="79"/>
      <c r="L105" s="79"/>
      <c r="M105" s="79"/>
    </row>
    <row r="106" spans="1:13" ht="15.75" customHeight="1">
      <c r="A106" s="163" t="s">
        <v>140</v>
      </c>
      <c r="B106" s="155">
        <v>45840</v>
      </c>
      <c r="C106" s="156">
        <v>0</v>
      </c>
      <c r="D106" s="156">
        <v>14138</v>
      </c>
      <c r="E106" s="157" t="s">
        <v>141</v>
      </c>
      <c r="F106" s="158">
        <v>202507010032268</v>
      </c>
      <c r="G106" s="159">
        <v>1476.65</v>
      </c>
      <c r="H106" s="79" t="s">
        <v>839</v>
      </c>
      <c r="I106" s="79" t="s">
        <v>595</v>
      </c>
      <c r="J106" s="79"/>
      <c r="K106" s="79"/>
      <c r="L106" s="79"/>
      <c r="M106" s="79"/>
    </row>
    <row r="107" spans="1:13" ht="15.75" hidden="1" customHeight="1">
      <c r="A107" s="79"/>
      <c r="B107" s="160"/>
      <c r="C107" s="160"/>
      <c r="D107" s="160"/>
      <c r="E107" s="161" t="s">
        <v>143</v>
      </c>
      <c r="F107" s="161"/>
      <c r="G107" s="162">
        <v>0</v>
      </c>
      <c r="H107" s="79"/>
      <c r="I107" s="79"/>
      <c r="J107" s="79"/>
      <c r="K107" s="79"/>
      <c r="L107" s="79"/>
      <c r="M107" s="79"/>
    </row>
    <row r="108" spans="1:13" ht="15.75" customHeight="1">
      <c r="A108" s="163" t="s">
        <v>140</v>
      </c>
      <c r="B108" s="155">
        <v>45840</v>
      </c>
      <c r="C108" s="156">
        <v>0</v>
      </c>
      <c r="D108" s="156">
        <v>14138</v>
      </c>
      <c r="E108" s="157" t="s">
        <v>141</v>
      </c>
      <c r="F108" s="158">
        <v>202507010032270</v>
      </c>
      <c r="G108" s="159">
        <v>1553.66</v>
      </c>
      <c r="H108" s="79" t="s">
        <v>840</v>
      </c>
      <c r="I108" s="79" t="s">
        <v>595</v>
      </c>
      <c r="J108" s="79"/>
      <c r="K108" s="79"/>
      <c r="L108" s="79"/>
      <c r="M108" s="79"/>
    </row>
    <row r="109" spans="1:13" ht="15.75" hidden="1" customHeight="1">
      <c r="A109" s="79"/>
      <c r="B109" s="160"/>
      <c r="C109" s="160"/>
      <c r="D109" s="160"/>
      <c r="E109" s="161" t="s">
        <v>143</v>
      </c>
      <c r="F109" s="161"/>
      <c r="G109" s="162">
        <v>0</v>
      </c>
      <c r="H109" s="79"/>
      <c r="I109" s="79"/>
      <c r="J109" s="79"/>
      <c r="K109" s="79"/>
      <c r="L109" s="79"/>
      <c r="M109" s="79"/>
    </row>
    <row r="110" spans="1:13" ht="15.75" customHeight="1">
      <c r="A110" s="163" t="s">
        <v>140</v>
      </c>
      <c r="B110" s="155">
        <v>45840</v>
      </c>
      <c r="C110" s="156">
        <v>0</v>
      </c>
      <c r="D110" s="156">
        <v>14138</v>
      </c>
      <c r="E110" s="157" t="s">
        <v>141</v>
      </c>
      <c r="F110" s="158">
        <v>202507010032274</v>
      </c>
      <c r="G110" s="159">
        <v>1476.65</v>
      </c>
      <c r="H110" s="79" t="s">
        <v>841</v>
      </c>
      <c r="I110" s="79" t="s">
        <v>595</v>
      </c>
      <c r="J110" s="79"/>
      <c r="K110" s="79"/>
      <c r="L110" s="79"/>
      <c r="M110" s="79"/>
    </row>
    <row r="111" spans="1:13" ht="15.75" hidden="1" customHeight="1">
      <c r="A111" s="79"/>
      <c r="B111" s="160"/>
      <c r="C111" s="160"/>
      <c r="D111" s="160"/>
      <c r="E111" s="161" t="s">
        <v>143</v>
      </c>
      <c r="F111" s="161"/>
      <c r="G111" s="162">
        <v>0</v>
      </c>
      <c r="H111" s="79"/>
      <c r="I111" s="79"/>
      <c r="J111" s="79"/>
      <c r="K111" s="79"/>
      <c r="L111" s="79"/>
      <c r="M111" s="79"/>
    </row>
    <row r="112" spans="1:13" ht="15.75" customHeight="1">
      <c r="A112" s="163" t="s">
        <v>140</v>
      </c>
      <c r="B112" s="155">
        <v>45840</v>
      </c>
      <c r="C112" s="156">
        <v>0</v>
      </c>
      <c r="D112" s="156">
        <v>14138</v>
      </c>
      <c r="E112" s="157" t="s">
        <v>141</v>
      </c>
      <c r="F112" s="158">
        <v>202507010032278</v>
      </c>
      <c r="G112" s="159">
        <v>1410.86</v>
      </c>
      <c r="H112" s="160" t="s">
        <v>842</v>
      </c>
      <c r="I112" s="160" t="s">
        <v>595</v>
      </c>
      <c r="J112" s="79"/>
      <c r="K112" s="79"/>
      <c r="L112" s="79"/>
      <c r="M112" s="79"/>
    </row>
    <row r="113" spans="1:13" ht="15.75" hidden="1" customHeight="1">
      <c r="A113" s="79"/>
      <c r="B113" s="160"/>
      <c r="C113" s="160"/>
      <c r="D113" s="160"/>
      <c r="E113" s="161" t="s">
        <v>143</v>
      </c>
      <c r="F113" s="161"/>
      <c r="G113" s="162">
        <v>0</v>
      </c>
      <c r="H113" s="79"/>
      <c r="I113" s="79"/>
      <c r="J113" s="79"/>
      <c r="K113" s="79"/>
      <c r="L113" s="79"/>
      <c r="M113" s="79"/>
    </row>
    <row r="114" spans="1:13" ht="15.75" customHeight="1">
      <c r="A114" s="163" t="s">
        <v>140</v>
      </c>
      <c r="B114" s="155">
        <v>45840</v>
      </c>
      <c r="C114" s="156">
        <v>0</v>
      </c>
      <c r="D114" s="156">
        <v>14138</v>
      </c>
      <c r="E114" s="157" t="s">
        <v>141</v>
      </c>
      <c r="F114" s="158">
        <v>202507010032279</v>
      </c>
      <c r="G114" s="159">
        <v>1476.65</v>
      </c>
      <c r="H114" s="79" t="s">
        <v>843</v>
      </c>
      <c r="I114" s="79" t="s">
        <v>595</v>
      </c>
      <c r="J114" s="79"/>
      <c r="K114" s="79"/>
      <c r="L114" s="79"/>
      <c r="M114" s="79"/>
    </row>
    <row r="115" spans="1:13" ht="15.75" hidden="1" customHeight="1">
      <c r="A115" s="79"/>
      <c r="B115" s="160"/>
      <c r="C115" s="160"/>
      <c r="D115" s="160"/>
      <c r="E115" s="161" t="s">
        <v>143</v>
      </c>
      <c r="F115" s="161"/>
      <c r="G115" s="162">
        <v>0</v>
      </c>
      <c r="H115" s="79"/>
      <c r="I115" s="79"/>
      <c r="J115" s="79"/>
      <c r="K115" s="79"/>
      <c r="L115" s="79"/>
      <c r="M115" s="79"/>
    </row>
    <row r="116" spans="1:13" ht="15.75" customHeight="1">
      <c r="A116" s="163" t="s">
        <v>140</v>
      </c>
      <c r="B116" s="155">
        <v>45840</v>
      </c>
      <c r="C116" s="156">
        <v>0</v>
      </c>
      <c r="D116" s="156">
        <v>14138</v>
      </c>
      <c r="E116" s="157" t="s">
        <v>141</v>
      </c>
      <c r="F116" s="158">
        <v>202507010032293</v>
      </c>
      <c r="G116" s="159">
        <v>1000.3</v>
      </c>
      <c r="H116" s="79" t="s">
        <v>844</v>
      </c>
      <c r="I116" s="79" t="s">
        <v>595</v>
      </c>
      <c r="J116" s="79"/>
      <c r="K116" s="79"/>
      <c r="L116" s="79"/>
      <c r="M116" s="79"/>
    </row>
    <row r="117" spans="1:13" ht="15.75" hidden="1" customHeight="1">
      <c r="A117" s="79"/>
      <c r="B117" s="160"/>
      <c r="C117" s="160"/>
      <c r="D117" s="160"/>
      <c r="E117" s="161" t="s">
        <v>143</v>
      </c>
      <c r="F117" s="161"/>
      <c r="G117" s="162">
        <v>0</v>
      </c>
      <c r="H117" s="79"/>
      <c r="I117" s="79"/>
      <c r="J117" s="79"/>
      <c r="K117" s="79"/>
      <c r="L117" s="79"/>
      <c r="M117" s="79"/>
    </row>
    <row r="118" spans="1:13" ht="15.75" customHeight="1">
      <c r="A118" s="163" t="s">
        <v>140</v>
      </c>
      <c r="B118" s="155">
        <v>45840</v>
      </c>
      <c r="C118" s="156">
        <v>0</v>
      </c>
      <c r="D118" s="156">
        <v>14138</v>
      </c>
      <c r="E118" s="157" t="s">
        <v>141</v>
      </c>
      <c r="F118" s="158">
        <v>202507010032294</v>
      </c>
      <c r="G118" s="159">
        <v>1476.65</v>
      </c>
      <c r="H118" s="160" t="s">
        <v>845</v>
      </c>
      <c r="I118" s="79" t="s">
        <v>595</v>
      </c>
      <c r="J118" s="79"/>
      <c r="K118" s="79"/>
      <c r="L118" s="79"/>
      <c r="M118" s="79"/>
    </row>
    <row r="119" spans="1:13" ht="15.75" hidden="1" customHeight="1">
      <c r="A119" s="79"/>
      <c r="B119" s="160"/>
      <c r="C119" s="160"/>
      <c r="D119" s="160"/>
      <c r="E119" s="161" t="s">
        <v>143</v>
      </c>
      <c r="F119" s="161"/>
      <c r="G119" s="162">
        <v>0</v>
      </c>
      <c r="H119" s="79"/>
      <c r="I119" s="79"/>
      <c r="J119" s="79"/>
      <c r="K119" s="79"/>
      <c r="L119" s="79"/>
      <c r="M119" s="79"/>
    </row>
    <row r="120" spans="1:13" ht="15.75" customHeight="1">
      <c r="A120" s="163" t="s">
        <v>140</v>
      </c>
      <c r="B120" s="155">
        <v>45840</v>
      </c>
      <c r="C120" s="156">
        <v>0</v>
      </c>
      <c r="D120" s="156">
        <v>14138</v>
      </c>
      <c r="E120" s="157" t="s">
        <v>141</v>
      </c>
      <c r="F120" s="158">
        <v>202507010032295</v>
      </c>
      <c r="G120" s="159">
        <v>1476.65</v>
      </c>
      <c r="H120" s="160" t="s">
        <v>846</v>
      </c>
      <c r="I120" s="160" t="s">
        <v>595</v>
      </c>
      <c r="J120" s="79"/>
      <c r="K120" s="79"/>
      <c r="L120" s="79"/>
      <c r="M120" s="79"/>
    </row>
    <row r="121" spans="1:13" ht="15.75" hidden="1" customHeight="1">
      <c r="A121" s="79"/>
      <c r="B121" s="160"/>
      <c r="C121" s="160"/>
      <c r="D121" s="160"/>
      <c r="E121" s="161" t="s">
        <v>143</v>
      </c>
      <c r="F121" s="161"/>
      <c r="G121" s="162">
        <v>0</v>
      </c>
      <c r="H121" s="79"/>
      <c r="I121" s="79"/>
      <c r="J121" s="79"/>
      <c r="K121" s="79"/>
      <c r="L121" s="79"/>
      <c r="M121" s="79"/>
    </row>
    <row r="122" spans="1:13" ht="15.75" customHeight="1">
      <c r="A122" s="163" t="s">
        <v>140</v>
      </c>
      <c r="B122" s="155">
        <v>45840</v>
      </c>
      <c r="C122" s="156">
        <v>0</v>
      </c>
      <c r="D122" s="156">
        <v>14138</v>
      </c>
      <c r="E122" s="157" t="s">
        <v>141</v>
      </c>
      <c r="F122" s="158">
        <v>202507010032296</v>
      </c>
      <c r="G122" s="159">
        <v>1476.65</v>
      </c>
      <c r="H122" s="79" t="s">
        <v>847</v>
      </c>
      <c r="I122" s="79" t="s">
        <v>595</v>
      </c>
      <c r="J122" s="79"/>
      <c r="K122" s="79"/>
      <c r="L122" s="79"/>
      <c r="M122" s="79"/>
    </row>
    <row r="123" spans="1:13" ht="15.75" hidden="1" customHeight="1">
      <c r="A123" s="79"/>
      <c r="B123" s="160"/>
      <c r="C123" s="160"/>
      <c r="D123" s="160"/>
      <c r="E123" s="161" t="s">
        <v>143</v>
      </c>
      <c r="F123" s="161"/>
      <c r="G123" s="162">
        <v>0</v>
      </c>
      <c r="H123" s="79"/>
      <c r="I123" s="79"/>
      <c r="J123" s="79"/>
      <c r="K123" s="79"/>
      <c r="L123" s="79"/>
      <c r="M123" s="79"/>
    </row>
    <row r="124" spans="1:13" ht="15.75" customHeight="1">
      <c r="A124" s="163" t="s">
        <v>140</v>
      </c>
      <c r="B124" s="155">
        <v>45840</v>
      </c>
      <c r="C124" s="156">
        <v>0</v>
      </c>
      <c r="D124" s="156">
        <v>14138</v>
      </c>
      <c r="E124" s="157" t="s">
        <v>141</v>
      </c>
      <c r="F124" s="158">
        <v>202507010032297</v>
      </c>
      <c r="G124" s="159">
        <v>1476.65</v>
      </c>
      <c r="H124" s="79" t="s">
        <v>848</v>
      </c>
      <c r="I124" s="79" t="s">
        <v>595</v>
      </c>
      <c r="J124" s="79"/>
      <c r="K124" s="79"/>
      <c r="L124" s="79"/>
      <c r="M124" s="79"/>
    </row>
    <row r="125" spans="1:13" ht="15.75" hidden="1" customHeight="1">
      <c r="A125" s="79"/>
      <c r="B125" s="160"/>
      <c r="C125" s="160"/>
      <c r="D125" s="160"/>
      <c r="E125" s="161" t="s">
        <v>143</v>
      </c>
      <c r="F125" s="161"/>
      <c r="G125" s="162">
        <v>0</v>
      </c>
      <c r="H125" s="79"/>
      <c r="I125" s="79"/>
      <c r="J125" s="79"/>
      <c r="K125" s="79"/>
      <c r="L125" s="79"/>
      <c r="M125" s="79"/>
    </row>
    <row r="126" spans="1:13" ht="15.75" customHeight="1">
      <c r="A126" s="163" t="s">
        <v>140</v>
      </c>
      <c r="B126" s="155">
        <v>45840</v>
      </c>
      <c r="C126" s="156">
        <v>0</v>
      </c>
      <c r="D126" s="156">
        <v>14138</v>
      </c>
      <c r="E126" s="157" t="s">
        <v>141</v>
      </c>
      <c r="F126" s="158">
        <v>202507010032298</v>
      </c>
      <c r="G126" s="159">
        <v>1476.65</v>
      </c>
      <c r="H126" s="79" t="s">
        <v>849</v>
      </c>
      <c r="I126" s="79" t="s">
        <v>595</v>
      </c>
      <c r="J126" s="79"/>
      <c r="K126" s="79"/>
      <c r="L126" s="79"/>
      <c r="M126" s="79"/>
    </row>
    <row r="127" spans="1:13" ht="15.75" hidden="1" customHeight="1">
      <c r="A127" s="79"/>
      <c r="B127" s="160"/>
      <c r="C127" s="160"/>
      <c r="D127" s="160"/>
      <c r="E127" s="161" t="s">
        <v>143</v>
      </c>
      <c r="F127" s="161"/>
      <c r="G127" s="162">
        <v>0</v>
      </c>
      <c r="H127" s="79"/>
      <c r="I127" s="79"/>
      <c r="J127" s="79"/>
      <c r="K127" s="79"/>
      <c r="L127" s="79"/>
      <c r="M127" s="79"/>
    </row>
    <row r="128" spans="1:13" ht="15.75" customHeight="1">
      <c r="A128" s="163" t="s">
        <v>140</v>
      </c>
      <c r="B128" s="155">
        <v>45840</v>
      </c>
      <c r="C128" s="156">
        <v>0</v>
      </c>
      <c r="D128" s="156">
        <v>14138</v>
      </c>
      <c r="E128" s="157" t="s">
        <v>141</v>
      </c>
      <c r="F128" s="158">
        <v>202507010032299</v>
      </c>
      <c r="G128" s="159">
        <v>1476.65</v>
      </c>
      <c r="H128" s="79" t="s">
        <v>850</v>
      </c>
      <c r="I128" s="79" t="s">
        <v>595</v>
      </c>
      <c r="J128" s="79"/>
      <c r="K128" s="79"/>
      <c r="L128" s="79"/>
      <c r="M128" s="79"/>
    </row>
    <row r="129" spans="1:13" ht="15.75" hidden="1" customHeight="1">
      <c r="A129" s="79"/>
      <c r="B129" s="160"/>
      <c r="C129" s="160"/>
      <c r="D129" s="160"/>
      <c r="E129" s="161" t="s">
        <v>143</v>
      </c>
      <c r="F129" s="161"/>
      <c r="G129" s="162">
        <v>0</v>
      </c>
      <c r="H129" s="79"/>
      <c r="I129" s="79"/>
      <c r="J129" s="79"/>
      <c r="K129" s="79"/>
      <c r="L129" s="79"/>
      <c r="M129" s="79"/>
    </row>
    <row r="130" spans="1:13" ht="15.75" customHeight="1">
      <c r="A130" s="163" t="s">
        <v>140</v>
      </c>
      <c r="B130" s="155">
        <v>45840</v>
      </c>
      <c r="C130" s="156">
        <v>0</v>
      </c>
      <c r="D130" s="156">
        <v>14138</v>
      </c>
      <c r="E130" s="157" t="s">
        <v>141</v>
      </c>
      <c r="F130" s="158">
        <v>202507010032300</v>
      </c>
      <c r="G130" s="159">
        <v>1476.65</v>
      </c>
      <c r="H130" s="160" t="s">
        <v>851</v>
      </c>
      <c r="I130" s="160" t="s">
        <v>595</v>
      </c>
      <c r="J130" s="79"/>
      <c r="K130" s="79"/>
      <c r="L130" s="79"/>
      <c r="M130" s="79"/>
    </row>
    <row r="131" spans="1:13" ht="15.75" hidden="1" customHeight="1">
      <c r="A131" s="79"/>
      <c r="B131" s="160"/>
      <c r="C131" s="160"/>
      <c r="D131" s="160"/>
      <c r="E131" s="161" t="s">
        <v>143</v>
      </c>
      <c r="F131" s="161"/>
      <c r="G131" s="162">
        <v>0</v>
      </c>
      <c r="H131" s="79"/>
      <c r="I131" s="79"/>
      <c r="J131" s="79"/>
      <c r="K131" s="79"/>
      <c r="L131" s="79"/>
      <c r="M131" s="79"/>
    </row>
    <row r="132" spans="1:13" ht="15.75" hidden="1" customHeight="1">
      <c r="A132" s="79"/>
      <c r="B132" s="155">
        <v>45840</v>
      </c>
      <c r="C132" s="156">
        <v>1533</v>
      </c>
      <c r="D132" s="156">
        <v>99008</v>
      </c>
      <c r="E132" s="157" t="s">
        <v>29</v>
      </c>
      <c r="F132" s="158">
        <v>432565</v>
      </c>
      <c r="G132" s="172">
        <v>63.9</v>
      </c>
      <c r="H132" s="79"/>
      <c r="I132" s="79"/>
      <c r="J132" s="79"/>
      <c r="K132" s="79"/>
      <c r="L132" s="79"/>
      <c r="M132" s="79"/>
    </row>
    <row r="133" spans="1:13" ht="15.75" hidden="1" customHeight="1">
      <c r="A133" s="79"/>
      <c r="B133" s="160"/>
      <c r="C133" s="160"/>
      <c r="D133" s="160"/>
      <c r="E133" s="161" t="s">
        <v>852</v>
      </c>
      <c r="F133" s="161"/>
      <c r="G133" s="162">
        <v>0</v>
      </c>
      <c r="H133" s="79"/>
      <c r="I133" s="79"/>
      <c r="J133" s="79"/>
      <c r="K133" s="79"/>
      <c r="L133" s="79"/>
      <c r="M133" s="79"/>
    </row>
    <row r="134" spans="1:13" ht="15.75" hidden="1" customHeight="1">
      <c r="A134" s="79"/>
      <c r="B134" s="155">
        <v>45840</v>
      </c>
      <c r="C134" s="156">
        <v>1533</v>
      </c>
      <c r="D134" s="156">
        <v>99008</v>
      </c>
      <c r="E134" s="157" t="s">
        <v>29</v>
      </c>
      <c r="F134" s="158">
        <v>938753</v>
      </c>
      <c r="G134" s="172">
        <v>292.61</v>
      </c>
      <c r="H134" s="79"/>
      <c r="I134" s="79"/>
      <c r="J134" s="79"/>
      <c r="K134" s="79"/>
      <c r="L134" s="79"/>
      <c r="M134" s="79"/>
    </row>
    <row r="135" spans="1:13" ht="15.75" hidden="1" customHeight="1">
      <c r="A135" s="79"/>
      <c r="B135" s="160"/>
      <c r="C135" s="160"/>
      <c r="D135" s="160"/>
      <c r="E135" s="161" t="s">
        <v>853</v>
      </c>
      <c r="F135" s="161"/>
      <c r="G135" s="162">
        <v>0</v>
      </c>
      <c r="H135" s="79"/>
      <c r="I135" s="79"/>
      <c r="J135" s="79"/>
      <c r="K135" s="79"/>
      <c r="L135" s="79"/>
      <c r="M135" s="79"/>
    </row>
    <row r="136" spans="1:13" ht="15.75" hidden="1" customHeight="1">
      <c r="A136" s="79"/>
      <c r="B136" s="155">
        <v>45840</v>
      </c>
      <c r="C136" s="156">
        <v>1533</v>
      </c>
      <c r="D136" s="156">
        <v>99015</v>
      </c>
      <c r="E136" s="157" t="s">
        <v>195</v>
      </c>
      <c r="F136" s="158">
        <v>551668000038630</v>
      </c>
      <c r="G136" s="172">
        <v>4500</v>
      </c>
      <c r="H136" s="79"/>
      <c r="I136" s="79"/>
      <c r="J136" s="79"/>
      <c r="K136" s="79"/>
      <c r="L136" s="79"/>
      <c r="M136" s="79"/>
    </row>
    <row r="137" spans="1:13" ht="15.75" hidden="1" customHeight="1">
      <c r="A137" s="79"/>
      <c r="B137" s="160"/>
      <c r="C137" s="160"/>
      <c r="D137" s="160"/>
      <c r="E137" s="161" t="s">
        <v>854</v>
      </c>
      <c r="F137" s="161"/>
      <c r="G137" s="162">
        <v>0</v>
      </c>
      <c r="H137" s="79"/>
      <c r="I137" s="79"/>
      <c r="J137" s="79"/>
      <c r="K137" s="79"/>
      <c r="L137" s="79"/>
      <c r="M137" s="79"/>
    </row>
    <row r="138" spans="1:13" ht="15.75" hidden="1" customHeight="1">
      <c r="A138" s="79"/>
      <c r="B138" s="155">
        <v>45840</v>
      </c>
      <c r="C138" s="156">
        <v>1533</v>
      </c>
      <c r="D138" s="156">
        <v>99015</v>
      </c>
      <c r="E138" s="157" t="s">
        <v>195</v>
      </c>
      <c r="F138" s="158">
        <v>552035000092019</v>
      </c>
      <c r="G138" s="172">
        <v>5000</v>
      </c>
      <c r="H138" s="79"/>
      <c r="I138" s="79"/>
      <c r="J138" s="79"/>
      <c r="K138" s="79"/>
      <c r="L138" s="79"/>
      <c r="M138" s="79"/>
    </row>
    <row r="139" spans="1:13" ht="15.75" hidden="1" customHeight="1">
      <c r="A139" s="79"/>
      <c r="B139" s="160"/>
      <c r="C139" s="160"/>
      <c r="D139" s="160"/>
      <c r="E139" s="161" t="s">
        <v>855</v>
      </c>
      <c r="F139" s="161"/>
      <c r="G139" s="162">
        <v>0</v>
      </c>
      <c r="H139" s="79"/>
      <c r="I139" s="79"/>
      <c r="J139" s="79"/>
      <c r="K139" s="79"/>
      <c r="L139" s="79"/>
      <c r="M139" s="79"/>
    </row>
    <row r="140" spans="1:13" ht="15.75" hidden="1" customHeight="1">
      <c r="A140" s="79"/>
      <c r="B140" s="155">
        <v>45840</v>
      </c>
      <c r="C140" s="156">
        <v>0</v>
      </c>
      <c r="D140" s="156">
        <v>13105</v>
      </c>
      <c r="E140" s="157" t="s">
        <v>31</v>
      </c>
      <c r="F140" s="158">
        <v>70201</v>
      </c>
      <c r="G140" s="172">
        <v>1056</v>
      </c>
      <c r="H140" s="79"/>
      <c r="I140" s="79"/>
      <c r="J140" s="79"/>
      <c r="K140" s="79"/>
      <c r="L140" s="79"/>
      <c r="M140" s="79"/>
    </row>
    <row r="141" spans="1:13" ht="15.75" hidden="1" customHeight="1">
      <c r="A141" s="79"/>
      <c r="B141" s="160"/>
      <c r="C141" s="160"/>
      <c r="D141" s="160"/>
      <c r="E141" s="161" t="s">
        <v>769</v>
      </c>
      <c r="F141" s="161"/>
      <c r="G141" s="162">
        <v>0</v>
      </c>
      <c r="H141" s="79"/>
      <c r="I141" s="79"/>
      <c r="J141" s="79"/>
      <c r="K141" s="79"/>
      <c r="L141" s="79"/>
      <c r="M141" s="79"/>
    </row>
    <row r="142" spans="1:13" ht="15.75" hidden="1" customHeight="1">
      <c r="A142" s="79"/>
      <c r="B142" s="155">
        <v>45840</v>
      </c>
      <c r="C142" s="156">
        <v>0</v>
      </c>
      <c r="D142" s="156">
        <v>13105</v>
      </c>
      <c r="E142" s="157" t="s">
        <v>31</v>
      </c>
      <c r="F142" s="158">
        <v>70202</v>
      </c>
      <c r="G142" s="172">
        <v>1518</v>
      </c>
      <c r="H142" s="79"/>
      <c r="I142" s="79"/>
      <c r="J142" s="79"/>
      <c r="K142" s="79"/>
      <c r="L142" s="79"/>
      <c r="M142" s="79"/>
    </row>
    <row r="143" spans="1:13" ht="15.75" hidden="1" customHeight="1">
      <c r="A143" s="79"/>
      <c r="B143" s="160"/>
      <c r="C143" s="160"/>
      <c r="D143" s="160"/>
      <c r="E143" s="161" t="s">
        <v>68</v>
      </c>
      <c r="F143" s="161"/>
      <c r="G143" s="162">
        <v>0</v>
      </c>
      <c r="H143" s="79"/>
      <c r="I143" s="79"/>
      <c r="J143" s="79"/>
      <c r="K143" s="79"/>
      <c r="L143" s="79"/>
      <c r="M143" s="79"/>
    </row>
    <row r="144" spans="1:13" ht="15.75" hidden="1" customHeight="1">
      <c r="A144" s="79"/>
      <c r="B144" s="155">
        <v>45840</v>
      </c>
      <c r="C144" s="156">
        <v>0</v>
      </c>
      <c r="D144" s="156">
        <v>13105</v>
      </c>
      <c r="E144" s="157" t="s">
        <v>31</v>
      </c>
      <c r="F144" s="158">
        <v>70203</v>
      </c>
      <c r="G144" s="172">
        <v>1088.1500000000001</v>
      </c>
      <c r="H144" s="79"/>
      <c r="I144" s="79"/>
      <c r="J144" s="79"/>
      <c r="K144" s="79"/>
      <c r="L144" s="79"/>
      <c r="M144" s="79"/>
    </row>
    <row r="145" spans="1:13" ht="15.75" hidden="1" customHeight="1">
      <c r="A145" s="79"/>
      <c r="B145" s="160"/>
      <c r="C145" s="160"/>
      <c r="D145" s="160"/>
      <c r="E145" s="161" t="s">
        <v>109</v>
      </c>
      <c r="F145" s="161"/>
      <c r="G145" s="162">
        <v>0</v>
      </c>
      <c r="H145" s="79"/>
      <c r="I145" s="79"/>
      <c r="J145" s="79"/>
      <c r="K145" s="79"/>
      <c r="L145" s="79"/>
      <c r="M145" s="79"/>
    </row>
    <row r="146" spans="1:13" ht="15.75" hidden="1" customHeight="1">
      <c r="A146" s="79"/>
      <c r="B146" s="155">
        <v>45840</v>
      </c>
      <c r="C146" s="156">
        <v>0</v>
      </c>
      <c r="D146" s="156">
        <v>13105</v>
      </c>
      <c r="E146" s="157" t="s">
        <v>31</v>
      </c>
      <c r="F146" s="158">
        <v>70204</v>
      </c>
      <c r="G146" s="172">
        <v>130.11000000000001</v>
      </c>
      <c r="H146" s="79"/>
      <c r="I146" s="79"/>
      <c r="J146" s="79"/>
      <c r="K146" s="79"/>
      <c r="L146" s="79"/>
      <c r="M146" s="79"/>
    </row>
    <row r="147" spans="1:13" ht="15.75" hidden="1" customHeight="1">
      <c r="A147" s="79"/>
      <c r="B147" s="160"/>
      <c r="C147" s="160"/>
      <c r="D147" s="160"/>
      <c r="E147" s="161" t="s">
        <v>762</v>
      </c>
      <c r="F147" s="161"/>
      <c r="G147" s="162">
        <v>0</v>
      </c>
      <c r="H147" s="79"/>
      <c r="I147" s="79"/>
      <c r="J147" s="79"/>
      <c r="K147" s="79"/>
      <c r="L147" s="79"/>
      <c r="M147" s="79"/>
    </row>
    <row r="148" spans="1:13" ht="15.75" hidden="1" customHeight="1">
      <c r="A148" s="79"/>
      <c r="B148" s="155">
        <v>45840</v>
      </c>
      <c r="C148" s="156">
        <v>0</v>
      </c>
      <c r="D148" s="156">
        <v>13105</v>
      </c>
      <c r="E148" s="157" t="s">
        <v>31</v>
      </c>
      <c r="F148" s="158">
        <v>70205</v>
      </c>
      <c r="G148" s="172">
        <v>248.07</v>
      </c>
      <c r="H148" s="79"/>
      <c r="I148" s="79"/>
      <c r="J148" s="79"/>
      <c r="K148" s="79"/>
      <c r="L148" s="79"/>
      <c r="M148" s="79"/>
    </row>
    <row r="149" spans="1:13" ht="15.75" hidden="1" customHeight="1">
      <c r="A149" s="79"/>
      <c r="B149" s="160"/>
      <c r="C149" s="160"/>
      <c r="D149" s="160"/>
      <c r="E149" s="161" t="s">
        <v>47</v>
      </c>
      <c r="F149" s="161"/>
      <c r="G149" s="162">
        <v>0</v>
      </c>
      <c r="H149" s="79"/>
      <c r="I149" s="79"/>
      <c r="J149" s="79"/>
      <c r="K149" s="79"/>
      <c r="L149" s="79"/>
      <c r="M149" s="79"/>
    </row>
    <row r="150" spans="1:13" ht="15.75" hidden="1" customHeight="1">
      <c r="A150" s="79"/>
      <c r="B150" s="155">
        <v>45840</v>
      </c>
      <c r="C150" s="156">
        <v>0</v>
      </c>
      <c r="D150" s="156">
        <v>13105</v>
      </c>
      <c r="E150" s="157" t="s">
        <v>31</v>
      </c>
      <c r="F150" s="158">
        <v>70206</v>
      </c>
      <c r="G150" s="172">
        <v>356.55</v>
      </c>
      <c r="H150" s="79"/>
      <c r="I150" s="79"/>
      <c r="J150" s="79"/>
      <c r="K150" s="79"/>
      <c r="L150" s="79"/>
      <c r="M150" s="79"/>
    </row>
    <row r="151" spans="1:13" ht="15.75" hidden="1" customHeight="1">
      <c r="A151" s="79"/>
      <c r="B151" s="160"/>
      <c r="C151" s="160"/>
      <c r="D151" s="160"/>
      <c r="E151" s="161" t="s">
        <v>231</v>
      </c>
      <c r="F151" s="161"/>
      <c r="G151" s="162">
        <v>0</v>
      </c>
      <c r="H151" s="79"/>
      <c r="I151" s="79"/>
      <c r="J151" s="79"/>
      <c r="K151" s="79"/>
      <c r="L151" s="79"/>
      <c r="M151" s="79"/>
    </row>
    <row r="152" spans="1:13" ht="15.75" hidden="1" customHeight="1">
      <c r="A152" s="79"/>
      <c r="B152" s="155">
        <v>45840</v>
      </c>
      <c r="C152" s="156">
        <v>0</v>
      </c>
      <c r="D152" s="156">
        <v>13105</v>
      </c>
      <c r="E152" s="157" t="s">
        <v>31</v>
      </c>
      <c r="F152" s="158">
        <v>70207</v>
      </c>
      <c r="G152" s="172">
        <v>364.78</v>
      </c>
      <c r="H152" s="79"/>
      <c r="I152" s="79"/>
      <c r="J152" s="79"/>
      <c r="K152" s="79"/>
      <c r="L152" s="79"/>
      <c r="M152" s="79"/>
    </row>
    <row r="153" spans="1:13" ht="15.75" hidden="1" customHeight="1">
      <c r="A153" s="79"/>
      <c r="B153" s="160"/>
      <c r="C153" s="160"/>
      <c r="D153" s="160"/>
      <c r="E153" s="161" t="s">
        <v>45</v>
      </c>
      <c r="F153" s="161"/>
      <c r="G153" s="162">
        <v>0</v>
      </c>
      <c r="H153" s="79"/>
      <c r="I153" s="79"/>
      <c r="J153" s="79"/>
      <c r="K153" s="79"/>
      <c r="L153" s="79"/>
      <c r="M153" s="79"/>
    </row>
    <row r="154" spans="1:13" ht="15.75" hidden="1" customHeight="1">
      <c r="A154" s="79"/>
      <c r="B154" s="155">
        <v>45840</v>
      </c>
      <c r="C154" s="156">
        <v>0</v>
      </c>
      <c r="D154" s="156">
        <v>13105</v>
      </c>
      <c r="E154" s="157" t="s">
        <v>31</v>
      </c>
      <c r="F154" s="158">
        <v>70208</v>
      </c>
      <c r="G154" s="172">
        <v>561.91999999999996</v>
      </c>
      <c r="H154" s="79"/>
      <c r="I154" s="79"/>
      <c r="J154" s="79"/>
      <c r="K154" s="79"/>
      <c r="L154" s="79"/>
      <c r="M154" s="79"/>
    </row>
    <row r="155" spans="1:13" ht="15.75" hidden="1" customHeight="1">
      <c r="A155" s="79"/>
      <c r="B155" s="160"/>
      <c r="C155" s="160"/>
      <c r="D155" s="160"/>
      <c r="E155" s="161" t="s">
        <v>45</v>
      </c>
      <c r="F155" s="161"/>
      <c r="G155" s="162">
        <v>0</v>
      </c>
      <c r="H155" s="79"/>
      <c r="I155" s="79"/>
      <c r="J155" s="79"/>
      <c r="K155" s="79"/>
      <c r="L155" s="79"/>
      <c r="M155" s="79"/>
    </row>
    <row r="156" spans="1:13" ht="15.75" hidden="1" customHeight="1">
      <c r="A156" s="79"/>
      <c r="B156" s="155">
        <v>45840</v>
      </c>
      <c r="C156" s="156">
        <v>0</v>
      </c>
      <c r="D156" s="156">
        <v>13105</v>
      </c>
      <c r="E156" s="157" t="s">
        <v>31</v>
      </c>
      <c r="F156" s="158">
        <v>70209</v>
      </c>
      <c r="G156" s="172">
        <v>357.91</v>
      </c>
      <c r="H156" s="79"/>
      <c r="I156" s="79"/>
      <c r="J156" s="79"/>
      <c r="K156" s="79"/>
      <c r="L156" s="79"/>
      <c r="M156" s="79"/>
    </row>
    <row r="157" spans="1:13" ht="15.75" hidden="1" customHeight="1">
      <c r="A157" s="79"/>
      <c r="B157" s="160"/>
      <c r="C157" s="160"/>
      <c r="D157" s="160"/>
      <c r="E157" s="161" t="s">
        <v>45</v>
      </c>
      <c r="F157" s="161"/>
      <c r="G157" s="162">
        <v>0</v>
      </c>
      <c r="H157" s="79"/>
      <c r="I157" s="79"/>
      <c r="J157" s="79"/>
      <c r="K157" s="79"/>
      <c r="L157" s="79"/>
      <c r="M157" s="79"/>
    </row>
    <row r="158" spans="1:13" ht="15.75" hidden="1" customHeight="1">
      <c r="A158" s="79"/>
      <c r="B158" s="155">
        <v>45840</v>
      </c>
      <c r="C158" s="156">
        <v>0</v>
      </c>
      <c r="D158" s="156">
        <v>13105</v>
      </c>
      <c r="E158" s="157" t="s">
        <v>31</v>
      </c>
      <c r="F158" s="158">
        <v>70210</v>
      </c>
      <c r="G158" s="172">
        <v>658.03</v>
      </c>
      <c r="H158" s="79"/>
      <c r="I158" s="79"/>
      <c r="J158" s="79"/>
      <c r="K158" s="79"/>
      <c r="L158" s="79"/>
      <c r="M158" s="79"/>
    </row>
    <row r="159" spans="1:13" ht="15.75" hidden="1" customHeight="1">
      <c r="A159" s="79"/>
      <c r="B159" s="160"/>
      <c r="C159" s="160"/>
      <c r="D159" s="160"/>
      <c r="E159" s="161" t="s">
        <v>45</v>
      </c>
      <c r="F159" s="161"/>
      <c r="G159" s="162">
        <v>0</v>
      </c>
      <c r="H159" s="79"/>
      <c r="I159" s="79"/>
      <c r="J159" s="79"/>
      <c r="K159" s="79"/>
      <c r="L159" s="79"/>
      <c r="M159" s="79"/>
    </row>
    <row r="160" spans="1:13" ht="15.75" hidden="1" customHeight="1">
      <c r="A160" s="79"/>
      <c r="B160" s="155">
        <v>45840</v>
      </c>
      <c r="C160" s="156">
        <v>0</v>
      </c>
      <c r="D160" s="156">
        <v>13105</v>
      </c>
      <c r="E160" s="157" t="s">
        <v>31</v>
      </c>
      <c r="F160" s="158">
        <v>70211</v>
      </c>
      <c r="G160" s="172">
        <v>479.86</v>
      </c>
      <c r="H160" s="79"/>
      <c r="I160" s="79"/>
      <c r="J160" s="79"/>
      <c r="K160" s="79"/>
      <c r="L160" s="79"/>
      <c r="M160" s="79"/>
    </row>
    <row r="161" spans="1:13" ht="15.75" hidden="1" customHeight="1">
      <c r="A161" s="79"/>
      <c r="B161" s="160"/>
      <c r="C161" s="160"/>
      <c r="D161" s="160"/>
      <c r="E161" s="161" t="s">
        <v>46</v>
      </c>
      <c r="F161" s="161"/>
      <c r="G161" s="162">
        <v>0</v>
      </c>
      <c r="H161" s="79"/>
      <c r="I161" s="79"/>
      <c r="J161" s="79"/>
      <c r="K161" s="79"/>
      <c r="L161" s="79"/>
      <c r="M161" s="79"/>
    </row>
    <row r="162" spans="1:13" ht="15.75" hidden="1" customHeight="1">
      <c r="A162" s="79"/>
      <c r="B162" s="155">
        <v>45840</v>
      </c>
      <c r="C162" s="156">
        <v>0</v>
      </c>
      <c r="D162" s="156">
        <v>13105</v>
      </c>
      <c r="E162" s="157" t="s">
        <v>31</v>
      </c>
      <c r="F162" s="158">
        <v>70212</v>
      </c>
      <c r="G162" s="172">
        <v>1333.14</v>
      </c>
      <c r="H162" s="79"/>
      <c r="I162" s="79"/>
      <c r="J162" s="79"/>
      <c r="K162" s="79"/>
      <c r="L162" s="79"/>
      <c r="M162" s="79"/>
    </row>
    <row r="163" spans="1:13" ht="15.75" hidden="1" customHeight="1">
      <c r="A163" s="79"/>
      <c r="B163" s="160"/>
      <c r="C163" s="160"/>
      <c r="D163" s="160"/>
      <c r="E163" s="161" t="s">
        <v>46</v>
      </c>
      <c r="F163" s="161"/>
      <c r="G163" s="162">
        <v>0</v>
      </c>
      <c r="H163" s="79"/>
      <c r="I163" s="79"/>
      <c r="J163" s="79"/>
      <c r="K163" s="79"/>
      <c r="L163" s="79"/>
      <c r="M163" s="79"/>
    </row>
    <row r="164" spans="1:13" ht="15.75" hidden="1" customHeight="1">
      <c r="A164" s="79"/>
      <c r="B164" s="155">
        <v>45840</v>
      </c>
      <c r="C164" s="156">
        <v>0</v>
      </c>
      <c r="D164" s="156">
        <v>13105</v>
      </c>
      <c r="E164" s="157" t="s">
        <v>31</v>
      </c>
      <c r="F164" s="158">
        <v>70213</v>
      </c>
      <c r="G164" s="172">
        <v>83.54</v>
      </c>
      <c r="H164" s="79"/>
      <c r="I164" s="79"/>
      <c r="J164" s="79"/>
      <c r="K164" s="79"/>
      <c r="L164" s="79"/>
      <c r="M164" s="79"/>
    </row>
    <row r="165" spans="1:13" ht="15.75" hidden="1" customHeight="1">
      <c r="A165" s="79"/>
      <c r="B165" s="160"/>
      <c r="C165" s="160"/>
      <c r="D165" s="160"/>
      <c r="E165" s="161" t="s">
        <v>46</v>
      </c>
      <c r="F165" s="161"/>
      <c r="G165" s="162">
        <v>0</v>
      </c>
      <c r="H165" s="79"/>
      <c r="I165" s="79"/>
      <c r="J165" s="79"/>
      <c r="K165" s="79"/>
      <c r="L165" s="79"/>
      <c r="M165" s="79"/>
    </row>
    <row r="166" spans="1:13" ht="15.75" hidden="1" customHeight="1">
      <c r="A166" s="79"/>
      <c r="B166" s="155">
        <v>45840</v>
      </c>
      <c r="C166" s="156">
        <v>0</v>
      </c>
      <c r="D166" s="156">
        <v>13105</v>
      </c>
      <c r="E166" s="157" t="s">
        <v>31</v>
      </c>
      <c r="F166" s="158">
        <v>70214</v>
      </c>
      <c r="G166" s="172">
        <v>763.96</v>
      </c>
      <c r="H166" s="79"/>
      <c r="I166" s="79"/>
      <c r="J166" s="79"/>
      <c r="K166" s="79"/>
      <c r="L166" s="79"/>
      <c r="M166" s="79"/>
    </row>
    <row r="167" spans="1:13" ht="15.75" hidden="1" customHeight="1">
      <c r="A167" s="79"/>
      <c r="B167" s="160"/>
      <c r="C167" s="160"/>
      <c r="D167" s="160"/>
      <c r="E167" s="161" t="s">
        <v>46</v>
      </c>
      <c r="F167" s="161"/>
      <c r="G167" s="162">
        <v>0</v>
      </c>
      <c r="H167" s="79"/>
      <c r="I167" s="79"/>
      <c r="J167" s="79"/>
      <c r="K167" s="79"/>
      <c r="L167" s="79"/>
      <c r="M167" s="79"/>
    </row>
    <row r="168" spans="1:13" ht="15.75" hidden="1" customHeight="1">
      <c r="A168" s="79"/>
      <c r="B168" s="155">
        <v>45840</v>
      </c>
      <c r="C168" s="156">
        <v>0</v>
      </c>
      <c r="D168" s="156">
        <v>13105</v>
      </c>
      <c r="E168" s="157" t="s">
        <v>31</v>
      </c>
      <c r="F168" s="158">
        <v>70215</v>
      </c>
      <c r="G168" s="172">
        <v>1221.06</v>
      </c>
      <c r="H168" s="79"/>
      <c r="I168" s="79"/>
      <c r="J168" s="79"/>
      <c r="K168" s="79"/>
      <c r="L168" s="79"/>
      <c r="M168" s="79"/>
    </row>
    <row r="169" spans="1:13" ht="15.75" hidden="1" customHeight="1">
      <c r="A169" s="79"/>
      <c r="B169" s="160"/>
      <c r="C169" s="160"/>
      <c r="D169" s="160"/>
      <c r="E169" s="161" t="s">
        <v>46</v>
      </c>
      <c r="F169" s="161"/>
      <c r="G169" s="162">
        <v>0</v>
      </c>
      <c r="H169" s="79"/>
      <c r="I169" s="79"/>
      <c r="J169" s="79"/>
      <c r="K169" s="79"/>
      <c r="L169" s="79"/>
      <c r="M169" s="79"/>
    </row>
    <row r="170" spans="1:13" ht="15.75" hidden="1" customHeight="1">
      <c r="A170" s="79"/>
      <c r="B170" s="155">
        <v>45840</v>
      </c>
      <c r="C170" s="156">
        <v>0</v>
      </c>
      <c r="D170" s="156">
        <v>13105</v>
      </c>
      <c r="E170" s="157" t="s">
        <v>31</v>
      </c>
      <c r="F170" s="158">
        <v>70216</v>
      </c>
      <c r="G170" s="172">
        <v>128.63999999999999</v>
      </c>
      <c r="H170" s="79"/>
      <c r="I170" s="79"/>
      <c r="J170" s="79"/>
      <c r="K170" s="79"/>
      <c r="L170" s="79"/>
      <c r="M170" s="79"/>
    </row>
    <row r="171" spans="1:13" ht="15.75" hidden="1" customHeight="1">
      <c r="A171" s="79"/>
      <c r="B171" s="160"/>
      <c r="C171" s="160"/>
      <c r="D171" s="160"/>
      <c r="E171" s="161" t="s">
        <v>46</v>
      </c>
      <c r="F171" s="161"/>
      <c r="G171" s="162">
        <v>0</v>
      </c>
      <c r="H171" s="79"/>
      <c r="I171" s="79"/>
      <c r="J171" s="79"/>
      <c r="K171" s="79"/>
      <c r="L171" s="79"/>
      <c r="M171" s="79"/>
    </row>
    <row r="172" spans="1:13" ht="15.75" hidden="1" customHeight="1">
      <c r="A172" s="79"/>
      <c r="B172" s="155">
        <v>45840</v>
      </c>
      <c r="C172" s="156">
        <v>0</v>
      </c>
      <c r="D172" s="156">
        <v>13105</v>
      </c>
      <c r="E172" s="157" t="s">
        <v>31</v>
      </c>
      <c r="F172" s="158">
        <v>70217</v>
      </c>
      <c r="G172" s="172">
        <v>148.99</v>
      </c>
      <c r="H172" s="79"/>
      <c r="I172" s="79"/>
      <c r="J172" s="79"/>
      <c r="K172" s="79"/>
      <c r="L172" s="79"/>
      <c r="M172" s="79"/>
    </row>
    <row r="173" spans="1:13" ht="15.75" hidden="1" customHeight="1">
      <c r="A173" s="79"/>
      <c r="B173" s="160"/>
      <c r="C173" s="160"/>
      <c r="D173" s="160"/>
      <c r="E173" s="161" t="s">
        <v>46</v>
      </c>
      <c r="F173" s="161"/>
      <c r="G173" s="162">
        <v>0</v>
      </c>
      <c r="H173" s="79"/>
      <c r="I173" s="79"/>
      <c r="J173" s="79"/>
      <c r="K173" s="79"/>
      <c r="L173" s="79"/>
      <c r="M173" s="79"/>
    </row>
    <row r="174" spans="1:13" ht="15.75" hidden="1" customHeight="1">
      <c r="A174" s="79"/>
      <c r="B174" s="155">
        <v>45840</v>
      </c>
      <c r="C174" s="156">
        <v>0</v>
      </c>
      <c r="D174" s="156">
        <v>13105</v>
      </c>
      <c r="E174" s="157" t="s">
        <v>31</v>
      </c>
      <c r="F174" s="158">
        <v>70218</v>
      </c>
      <c r="G174" s="172">
        <v>244.14</v>
      </c>
      <c r="H174" s="79"/>
      <c r="I174" s="79"/>
      <c r="J174" s="79"/>
      <c r="K174" s="79"/>
      <c r="L174" s="79"/>
      <c r="M174" s="79"/>
    </row>
    <row r="175" spans="1:13" ht="15.75" hidden="1" customHeight="1">
      <c r="A175" s="79"/>
      <c r="B175" s="160"/>
      <c r="C175" s="160"/>
      <c r="D175" s="160"/>
      <c r="E175" s="161" t="s">
        <v>111</v>
      </c>
      <c r="F175" s="161"/>
      <c r="G175" s="162">
        <v>0</v>
      </c>
      <c r="H175" s="79"/>
      <c r="I175" s="79"/>
      <c r="J175" s="79"/>
      <c r="K175" s="79"/>
      <c r="L175" s="79"/>
      <c r="M175" s="79"/>
    </row>
    <row r="176" spans="1:13" ht="15.75" hidden="1" customHeight="1">
      <c r="A176" s="79"/>
      <c r="B176" s="155">
        <v>45840</v>
      </c>
      <c r="C176" s="156">
        <v>0</v>
      </c>
      <c r="D176" s="156">
        <v>13105</v>
      </c>
      <c r="E176" s="157" t="s">
        <v>31</v>
      </c>
      <c r="F176" s="158">
        <v>70219</v>
      </c>
      <c r="G176" s="172">
        <v>352.62</v>
      </c>
      <c r="H176" s="79"/>
      <c r="I176" s="79"/>
      <c r="J176" s="79"/>
      <c r="K176" s="79"/>
      <c r="L176" s="79"/>
      <c r="M176" s="79"/>
    </row>
    <row r="177" spans="1:13" ht="15.75" hidden="1" customHeight="1">
      <c r="A177" s="79"/>
      <c r="B177" s="160"/>
      <c r="C177" s="160"/>
      <c r="D177" s="160"/>
      <c r="E177" s="161" t="s">
        <v>111</v>
      </c>
      <c r="F177" s="161"/>
      <c r="G177" s="162">
        <v>0</v>
      </c>
      <c r="H177" s="79"/>
      <c r="I177" s="79"/>
      <c r="J177" s="79"/>
      <c r="K177" s="79"/>
      <c r="L177" s="79"/>
      <c r="M177" s="79"/>
    </row>
    <row r="178" spans="1:13" ht="15.75" hidden="1" customHeight="1">
      <c r="A178" s="79"/>
      <c r="B178" s="155">
        <v>45840</v>
      </c>
      <c r="C178" s="156">
        <v>0</v>
      </c>
      <c r="D178" s="156">
        <v>13105</v>
      </c>
      <c r="E178" s="157" t="s">
        <v>31</v>
      </c>
      <c r="F178" s="158">
        <v>70220</v>
      </c>
      <c r="G178" s="172">
        <v>225.95</v>
      </c>
      <c r="H178" s="79"/>
      <c r="I178" s="79"/>
      <c r="J178" s="79"/>
      <c r="K178" s="79"/>
      <c r="L178" s="79"/>
      <c r="M178" s="79"/>
    </row>
    <row r="179" spans="1:13" ht="15.75" hidden="1" customHeight="1">
      <c r="A179" s="79"/>
      <c r="B179" s="160"/>
      <c r="C179" s="160"/>
      <c r="D179" s="160"/>
      <c r="E179" s="161" t="s">
        <v>755</v>
      </c>
      <c r="F179" s="161"/>
      <c r="G179" s="162">
        <v>0</v>
      </c>
      <c r="H179" s="79"/>
      <c r="I179" s="79"/>
      <c r="J179" s="79"/>
      <c r="K179" s="79"/>
      <c r="L179" s="79"/>
      <c r="M179" s="79"/>
    </row>
    <row r="180" spans="1:13" ht="15.75" hidden="1" customHeight="1">
      <c r="A180" s="79"/>
      <c r="B180" s="155">
        <v>45840</v>
      </c>
      <c r="C180" s="156">
        <v>0</v>
      </c>
      <c r="D180" s="156">
        <v>13105</v>
      </c>
      <c r="E180" s="157" t="s">
        <v>31</v>
      </c>
      <c r="F180" s="158">
        <v>70221</v>
      </c>
      <c r="G180" s="172">
        <v>228.01</v>
      </c>
      <c r="H180" s="79"/>
      <c r="I180" s="79"/>
      <c r="J180" s="79"/>
      <c r="K180" s="79"/>
      <c r="L180" s="79"/>
      <c r="M180" s="79"/>
    </row>
    <row r="181" spans="1:13" ht="15.75" hidden="1" customHeight="1">
      <c r="A181" s="79"/>
      <c r="B181" s="160"/>
      <c r="C181" s="160"/>
      <c r="D181" s="160"/>
      <c r="E181" s="161" t="s">
        <v>111</v>
      </c>
      <c r="F181" s="161"/>
      <c r="G181" s="162">
        <v>0</v>
      </c>
      <c r="H181" s="79"/>
      <c r="I181" s="79"/>
      <c r="J181" s="79"/>
      <c r="K181" s="79"/>
      <c r="L181" s="79"/>
      <c r="M181" s="79"/>
    </row>
    <row r="182" spans="1:13" ht="15.75" hidden="1" customHeight="1">
      <c r="A182" s="79"/>
      <c r="B182" s="155">
        <v>45840</v>
      </c>
      <c r="C182" s="156">
        <v>0</v>
      </c>
      <c r="D182" s="156">
        <v>13105</v>
      </c>
      <c r="E182" s="157" t="s">
        <v>31</v>
      </c>
      <c r="F182" s="158">
        <v>70222</v>
      </c>
      <c r="G182" s="172">
        <v>195.99</v>
      </c>
      <c r="H182" s="79"/>
      <c r="I182" s="79"/>
      <c r="J182" s="79"/>
      <c r="K182" s="79"/>
      <c r="L182" s="79"/>
      <c r="M182" s="79"/>
    </row>
    <row r="183" spans="1:13" ht="15.75" hidden="1" customHeight="1">
      <c r="A183" s="79"/>
      <c r="B183" s="160"/>
      <c r="C183" s="160"/>
      <c r="D183" s="160"/>
      <c r="E183" s="161" t="s">
        <v>755</v>
      </c>
      <c r="F183" s="161"/>
      <c r="G183" s="162">
        <v>0</v>
      </c>
      <c r="H183" s="79"/>
      <c r="I183" s="79"/>
      <c r="J183" s="79"/>
      <c r="K183" s="79"/>
      <c r="L183" s="79"/>
      <c r="M183" s="79"/>
    </row>
    <row r="184" spans="1:13" ht="15.75" hidden="1" customHeight="1">
      <c r="A184" s="79"/>
      <c r="B184" s="155">
        <v>45840</v>
      </c>
      <c r="C184" s="156">
        <v>0</v>
      </c>
      <c r="D184" s="156">
        <v>13105</v>
      </c>
      <c r="E184" s="157" t="s">
        <v>80</v>
      </c>
      <c r="F184" s="158">
        <v>70223</v>
      </c>
      <c r="G184" s="172">
        <v>9317.11</v>
      </c>
      <c r="H184" s="79"/>
      <c r="I184" s="79"/>
      <c r="J184" s="79"/>
      <c r="K184" s="79"/>
      <c r="L184" s="79"/>
      <c r="M184" s="79"/>
    </row>
    <row r="185" spans="1:13" ht="15.75" hidden="1" customHeight="1">
      <c r="A185" s="79"/>
      <c r="B185" s="160"/>
      <c r="C185" s="160"/>
      <c r="D185" s="160"/>
      <c r="E185" s="161" t="s">
        <v>154</v>
      </c>
      <c r="F185" s="161"/>
      <c r="G185" s="162">
        <v>0</v>
      </c>
      <c r="H185" s="79"/>
      <c r="I185" s="79"/>
      <c r="J185" s="79"/>
      <c r="K185" s="79"/>
      <c r="L185" s="79"/>
      <c r="M185" s="79"/>
    </row>
    <row r="186" spans="1:13" ht="15.75" hidden="1" customHeight="1">
      <c r="A186" s="79"/>
      <c r="B186" s="155">
        <v>45840</v>
      </c>
      <c r="C186" s="156">
        <v>0</v>
      </c>
      <c r="D186" s="156">
        <v>13105</v>
      </c>
      <c r="E186" s="157" t="s">
        <v>118</v>
      </c>
      <c r="F186" s="158">
        <v>70224</v>
      </c>
      <c r="G186" s="172">
        <v>1750.96</v>
      </c>
      <c r="H186" s="79"/>
      <c r="I186" s="79"/>
      <c r="J186" s="79"/>
      <c r="K186" s="79"/>
      <c r="L186" s="79"/>
      <c r="M186" s="79"/>
    </row>
    <row r="187" spans="1:13" ht="15.75" hidden="1" customHeight="1">
      <c r="A187" s="79"/>
      <c r="B187" s="160"/>
      <c r="C187" s="160"/>
      <c r="D187" s="160"/>
      <c r="E187" s="161" t="s">
        <v>856</v>
      </c>
      <c r="F187" s="161"/>
      <c r="G187" s="162">
        <v>0</v>
      </c>
      <c r="H187" s="79"/>
      <c r="I187" s="79"/>
      <c r="J187" s="79"/>
      <c r="K187" s="79"/>
      <c r="L187" s="79"/>
      <c r="M187" s="79"/>
    </row>
    <row r="188" spans="1:13" ht="15.75" hidden="1" customHeight="1">
      <c r="A188" s="79"/>
      <c r="B188" s="155">
        <v>45840</v>
      </c>
      <c r="C188" s="156">
        <v>0</v>
      </c>
      <c r="D188" s="156">
        <v>13105</v>
      </c>
      <c r="E188" s="157" t="s">
        <v>31</v>
      </c>
      <c r="F188" s="158">
        <v>70225</v>
      </c>
      <c r="G188" s="172">
        <v>778</v>
      </c>
      <c r="H188" s="79"/>
      <c r="I188" s="79"/>
      <c r="J188" s="79"/>
      <c r="K188" s="79"/>
      <c r="L188" s="79"/>
      <c r="M188" s="79"/>
    </row>
    <row r="189" spans="1:13" ht="15.75" hidden="1" customHeight="1">
      <c r="A189" s="79"/>
      <c r="B189" s="160"/>
      <c r="C189" s="160"/>
      <c r="D189" s="160"/>
      <c r="E189" s="161" t="s">
        <v>235</v>
      </c>
      <c r="F189" s="161"/>
      <c r="G189" s="162">
        <v>0</v>
      </c>
      <c r="H189" s="79"/>
      <c r="I189" s="79"/>
      <c r="J189" s="79"/>
      <c r="K189" s="79"/>
      <c r="L189" s="79"/>
      <c r="M189" s="79"/>
    </row>
    <row r="190" spans="1:13" ht="15.75" hidden="1" customHeight="1">
      <c r="A190" s="79"/>
      <c r="B190" s="155">
        <v>45840</v>
      </c>
      <c r="C190" s="156">
        <v>0</v>
      </c>
      <c r="D190" s="156">
        <v>13105</v>
      </c>
      <c r="E190" s="157" t="s">
        <v>31</v>
      </c>
      <c r="F190" s="158">
        <v>70226</v>
      </c>
      <c r="G190" s="172">
        <v>437.33</v>
      </c>
      <c r="H190" s="79"/>
      <c r="I190" s="79"/>
      <c r="J190" s="79"/>
      <c r="K190" s="79"/>
      <c r="L190" s="79"/>
      <c r="M190" s="79"/>
    </row>
    <row r="191" spans="1:13" ht="15.75" hidden="1" customHeight="1">
      <c r="A191" s="79"/>
      <c r="B191" s="160"/>
      <c r="C191" s="160"/>
      <c r="D191" s="160"/>
      <c r="E191" s="161" t="s">
        <v>235</v>
      </c>
      <c r="F191" s="161"/>
      <c r="G191" s="162">
        <v>0</v>
      </c>
      <c r="H191" s="79"/>
      <c r="I191" s="79"/>
      <c r="J191" s="79"/>
      <c r="K191" s="79"/>
      <c r="L191" s="79"/>
      <c r="M191" s="79"/>
    </row>
    <row r="192" spans="1:13" ht="15.75" hidden="1" customHeight="1">
      <c r="A192" s="79"/>
      <c r="B192" s="155">
        <v>45840</v>
      </c>
      <c r="C192" s="156">
        <v>0</v>
      </c>
      <c r="D192" s="156">
        <v>0</v>
      </c>
      <c r="E192" s="157" t="s">
        <v>59</v>
      </c>
      <c r="F192" s="158">
        <v>9903</v>
      </c>
      <c r="G192" s="172">
        <v>12408.43</v>
      </c>
      <c r="H192" s="79"/>
      <c r="I192" s="79"/>
      <c r="J192" s="79"/>
      <c r="K192" s="79"/>
      <c r="L192" s="79"/>
      <c r="M192" s="79"/>
    </row>
    <row r="193" spans="1:13" ht="15.75" hidden="1" customHeight="1">
      <c r="A193" s="79"/>
      <c r="B193" s="160"/>
      <c r="C193" s="160"/>
      <c r="D193" s="160"/>
      <c r="E193" s="161" t="s">
        <v>53</v>
      </c>
      <c r="F193" s="161"/>
      <c r="G193" s="162">
        <v>0</v>
      </c>
      <c r="H193" s="79"/>
      <c r="I193" s="79"/>
      <c r="J193" s="79"/>
      <c r="K193" s="79"/>
      <c r="L193" s="79"/>
      <c r="M193" s="79"/>
    </row>
    <row r="194" spans="1:13" ht="15.75" hidden="1" customHeight="1">
      <c r="A194" s="79"/>
      <c r="B194" s="155">
        <v>45841</v>
      </c>
      <c r="C194" s="156">
        <v>0</v>
      </c>
      <c r="D194" s="156">
        <v>14397</v>
      </c>
      <c r="E194" s="157" t="s">
        <v>57</v>
      </c>
      <c r="F194" s="158">
        <v>31029501016381</v>
      </c>
      <c r="G194" s="159">
        <v>3000</v>
      </c>
      <c r="H194" s="79"/>
      <c r="I194" s="79"/>
      <c r="J194" s="79"/>
      <c r="K194" s="79"/>
      <c r="L194" s="79"/>
      <c r="M194" s="79"/>
    </row>
    <row r="195" spans="1:13" ht="15.75" hidden="1" customHeight="1">
      <c r="A195" s="79"/>
      <c r="B195" s="160"/>
      <c r="C195" s="160"/>
      <c r="D195" s="160"/>
      <c r="E195" s="161" t="s">
        <v>857</v>
      </c>
      <c r="F195" s="161"/>
      <c r="G195" s="162">
        <v>0</v>
      </c>
      <c r="H195" s="79"/>
      <c r="I195" s="79"/>
      <c r="J195" s="79"/>
      <c r="K195" s="79"/>
      <c r="L195" s="79"/>
      <c r="M195" s="79"/>
    </row>
    <row r="196" spans="1:13" ht="15.75" hidden="1" customHeight="1">
      <c r="A196" s="79"/>
      <c r="B196" s="155">
        <v>45841</v>
      </c>
      <c r="C196" s="156">
        <v>0</v>
      </c>
      <c r="D196" s="156">
        <v>14397</v>
      </c>
      <c r="E196" s="157" t="s">
        <v>57</v>
      </c>
      <c r="F196" s="158">
        <v>31726320664831</v>
      </c>
      <c r="G196" s="159">
        <v>542.30999999999995</v>
      </c>
      <c r="H196" s="79"/>
      <c r="I196" s="79"/>
      <c r="J196" s="79"/>
      <c r="K196" s="79"/>
      <c r="L196" s="79"/>
      <c r="M196" s="79"/>
    </row>
    <row r="197" spans="1:13" ht="15.75" hidden="1" customHeight="1">
      <c r="A197" s="79"/>
      <c r="B197" s="160"/>
      <c r="C197" s="160"/>
      <c r="D197" s="160"/>
      <c r="E197" s="161" t="s">
        <v>858</v>
      </c>
      <c r="F197" s="161"/>
      <c r="G197" s="162">
        <v>0</v>
      </c>
      <c r="H197" s="79"/>
      <c r="I197" s="79"/>
      <c r="J197" s="79"/>
      <c r="K197" s="79"/>
      <c r="L197" s="79"/>
      <c r="M197" s="79"/>
    </row>
    <row r="198" spans="1:13" ht="15.75" customHeight="1">
      <c r="A198" s="163" t="s">
        <v>140</v>
      </c>
      <c r="B198" s="166">
        <v>45841</v>
      </c>
      <c r="C198" s="167">
        <v>0</v>
      </c>
      <c r="D198" s="167">
        <v>14138</v>
      </c>
      <c r="E198" s="168" t="s">
        <v>141</v>
      </c>
      <c r="F198" s="169">
        <v>202507020003337</v>
      </c>
      <c r="G198" s="170">
        <v>10831.4</v>
      </c>
      <c r="H198" s="100" t="s">
        <v>859</v>
      </c>
      <c r="I198" s="100" t="s">
        <v>595</v>
      </c>
      <c r="J198" s="79" t="s">
        <v>860</v>
      </c>
      <c r="K198" s="79"/>
      <c r="L198" s="79"/>
      <c r="M198" s="79"/>
    </row>
    <row r="199" spans="1:13" ht="15.75" hidden="1" customHeight="1">
      <c r="A199" s="79"/>
      <c r="B199" s="160"/>
      <c r="C199" s="160"/>
      <c r="D199" s="160"/>
      <c r="E199" s="161" t="s">
        <v>143</v>
      </c>
      <c r="F199" s="161"/>
      <c r="G199" s="162">
        <v>0</v>
      </c>
      <c r="H199" s="79"/>
      <c r="I199" s="79"/>
      <c r="J199" s="79"/>
      <c r="K199" s="79"/>
      <c r="L199" s="79"/>
      <c r="M199" s="79"/>
    </row>
    <row r="200" spans="1:13" ht="15.75" customHeight="1">
      <c r="A200" s="163" t="s">
        <v>140</v>
      </c>
      <c r="B200" s="155">
        <v>45841</v>
      </c>
      <c r="C200" s="156">
        <v>0</v>
      </c>
      <c r="D200" s="156">
        <v>14138</v>
      </c>
      <c r="E200" s="157" t="s">
        <v>141</v>
      </c>
      <c r="F200" s="158">
        <v>202507020003340</v>
      </c>
      <c r="G200" s="159">
        <v>29.08</v>
      </c>
      <c r="H200" s="160" t="s">
        <v>831</v>
      </c>
      <c r="I200" s="160" t="s">
        <v>595</v>
      </c>
      <c r="J200" s="79"/>
      <c r="K200" s="79"/>
      <c r="L200" s="79"/>
      <c r="M200" s="79"/>
    </row>
    <row r="201" spans="1:13" ht="15.75" hidden="1" customHeight="1">
      <c r="A201" s="79"/>
      <c r="B201" s="160"/>
      <c r="C201" s="160"/>
      <c r="D201" s="160"/>
      <c r="E201" s="161" t="s">
        <v>143</v>
      </c>
      <c r="F201" s="161"/>
      <c r="G201" s="162">
        <v>0</v>
      </c>
      <c r="H201" s="79"/>
      <c r="I201" s="79"/>
      <c r="J201" s="79"/>
      <c r="K201" s="79"/>
      <c r="L201" s="79"/>
      <c r="M201" s="79"/>
    </row>
    <row r="202" spans="1:13" ht="15.75" customHeight="1">
      <c r="A202" s="163" t="s">
        <v>140</v>
      </c>
      <c r="B202" s="155">
        <v>45841</v>
      </c>
      <c r="C202" s="156">
        <v>0</v>
      </c>
      <c r="D202" s="156">
        <v>14138</v>
      </c>
      <c r="E202" s="157" t="s">
        <v>141</v>
      </c>
      <c r="F202" s="158">
        <v>202507020003344</v>
      </c>
      <c r="G202" s="159">
        <v>1232.8399999999999</v>
      </c>
      <c r="H202" s="79" t="s">
        <v>861</v>
      </c>
      <c r="I202" s="79" t="s">
        <v>428</v>
      </c>
      <c r="J202" s="79"/>
      <c r="K202" s="79"/>
      <c r="L202" s="79"/>
      <c r="M202" s="79"/>
    </row>
    <row r="203" spans="1:13" ht="15.75" hidden="1" customHeight="1">
      <c r="A203" s="79"/>
      <c r="B203" s="160"/>
      <c r="C203" s="160"/>
      <c r="D203" s="160"/>
      <c r="E203" s="161" t="s">
        <v>143</v>
      </c>
      <c r="F203" s="161"/>
      <c r="G203" s="162">
        <v>0</v>
      </c>
      <c r="H203" s="79"/>
      <c r="I203" s="79"/>
      <c r="J203" s="79"/>
      <c r="K203" s="79"/>
      <c r="L203" s="79"/>
      <c r="M203" s="79"/>
    </row>
    <row r="204" spans="1:13" ht="15.75" customHeight="1">
      <c r="A204" s="163" t="s">
        <v>140</v>
      </c>
      <c r="B204" s="155">
        <v>45841</v>
      </c>
      <c r="C204" s="156">
        <v>0</v>
      </c>
      <c r="D204" s="156">
        <v>14138</v>
      </c>
      <c r="E204" s="157" t="s">
        <v>141</v>
      </c>
      <c r="F204" s="158">
        <v>202507020003346</v>
      </c>
      <c r="G204" s="159">
        <v>596.9</v>
      </c>
      <c r="H204" s="79" t="s">
        <v>862</v>
      </c>
      <c r="I204" s="79" t="s">
        <v>428</v>
      </c>
      <c r="J204" s="79"/>
      <c r="K204" s="79"/>
      <c r="L204" s="79"/>
      <c r="M204" s="79"/>
    </row>
    <row r="205" spans="1:13" ht="15.75" hidden="1" customHeight="1">
      <c r="A205" s="79"/>
      <c r="B205" s="160"/>
      <c r="C205" s="160"/>
      <c r="D205" s="160"/>
      <c r="E205" s="161" t="s">
        <v>143</v>
      </c>
      <c r="F205" s="161"/>
      <c r="G205" s="162">
        <v>0</v>
      </c>
      <c r="H205" s="79"/>
      <c r="I205" s="79"/>
      <c r="J205" s="79"/>
      <c r="K205" s="79"/>
      <c r="L205" s="79"/>
      <c r="M205" s="79"/>
    </row>
    <row r="206" spans="1:13" ht="15.75" customHeight="1">
      <c r="A206" s="163" t="s">
        <v>140</v>
      </c>
      <c r="B206" s="155">
        <v>45841</v>
      </c>
      <c r="C206" s="156">
        <v>0</v>
      </c>
      <c r="D206" s="156">
        <v>14138</v>
      </c>
      <c r="E206" s="157" t="s">
        <v>141</v>
      </c>
      <c r="F206" s="158">
        <v>202507020022512</v>
      </c>
      <c r="G206" s="159">
        <v>238</v>
      </c>
      <c r="H206" s="160" t="s">
        <v>863</v>
      </c>
      <c r="I206" s="160" t="s">
        <v>419</v>
      </c>
      <c r="J206" s="79"/>
      <c r="K206" s="79"/>
      <c r="L206" s="79"/>
      <c r="M206" s="79"/>
    </row>
    <row r="207" spans="1:13" ht="15.75" hidden="1" customHeight="1">
      <c r="A207" s="79"/>
      <c r="B207" s="160"/>
      <c r="C207" s="160"/>
      <c r="D207" s="160"/>
      <c r="E207" s="161" t="s">
        <v>143</v>
      </c>
      <c r="F207" s="161"/>
      <c r="G207" s="162">
        <v>0</v>
      </c>
      <c r="H207" s="79"/>
      <c r="I207" s="79"/>
      <c r="J207" s="79"/>
      <c r="K207" s="79"/>
      <c r="L207" s="79"/>
      <c r="M207" s="79"/>
    </row>
    <row r="208" spans="1:13" ht="15.75" customHeight="1">
      <c r="A208" s="163" t="s">
        <v>140</v>
      </c>
      <c r="B208" s="155">
        <v>45841</v>
      </c>
      <c r="C208" s="156">
        <v>0</v>
      </c>
      <c r="D208" s="156">
        <v>14138</v>
      </c>
      <c r="E208" s="157" t="s">
        <v>141</v>
      </c>
      <c r="F208" s="158">
        <v>202507020022526</v>
      </c>
      <c r="G208" s="159">
        <v>1668.08</v>
      </c>
      <c r="H208" s="79" t="s">
        <v>864</v>
      </c>
      <c r="I208" s="79" t="s">
        <v>428</v>
      </c>
      <c r="J208" s="79"/>
      <c r="K208" s="79"/>
      <c r="L208" s="79"/>
      <c r="M208" s="79"/>
    </row>
    <row r="209" spans="1:13" ht="15.75" hidden="1" customHeight="1">
      <c r="A209" s="79"/>
      <c r="B209" s="160"/>
      <c r="C209" s="160"/>
      <c r="D209" s="160"/>
      <c r="E209" s="161" t="s">
        <v>143</v>
      </c>
      <c r="F209" s="161"/>
      <c r="G209" s="162">
        <v>0</v>
      </c>
      <c r="H209" s="79"/>
      <c r="I209" s="79"/>
      <c r="J209" s="79"/>
      <c r="K209" s="79"/>
      <c r="L209" s="79"/>
      <c r="M209" s="79"/>
    </row>
    <row r="210" spans="1:13" ht="15.75" customHeight="1">
      <c r="A210" s="163" t="s">
        <v>140</v>
      </c>
      <c r="B210" s="155">
        <v>45841</v>
      </c>
      <c r="C210" s="156">
        <v>0</v>
      </c>
      <c r="D210" s="156">
        <v>14138</v>
      </c>
      <c r="E210" s="157" t="s">
        <v>141</v>
      </c>
      <c r="F210" s="158">
        <v>202507020022528</v>
      </c>
      <c r="G210" s="159">
        <v>609.28</v>
      </c>
      <c r="H210" s="79" t="s">
        <v>865</v>
      </c>
      <c r="I210" s="79" t="s">
        <v>419</v>
      </c>
      <c r="J210" s="79"/>
      <c r="K210" s="79"/>
      <c r="L210" s="79"/>
      <c r="M210" s="79"/>
    </row>
    <row r="211" spans="1:13" ht="15.75" hidden="1" customHeight="1">
      <c r="A211" s="79"/>
      <c r="B211" s="160"/>
      <c r="C211" s="160"/>
      <c r="D211" s="160"/>
      <c r="E211" s="161" t="s">
        <v>143</v>
      </c>
      <c r="F211" s="161"/>
      <c r="G211" s="162">
        <v>0</v>
      </c>
      <c r="H211" s="79"/>
      <c r="I211" s="79"/>
      <c r="J211" s="79"/>
      <c r="K211" s="79"/>
      <c r="L211" s="79"/>
      <c r="M211" s="79"/>
    </row>
    <row r="212" spans="1:13" ht="15.75" hidden="1" customHeight="1">
      <c r="A212" s="79"/>
      <c r="B212" s="155">
        <v>45841</v>
      </c>
      <c r="C212" s="156">
        <v>0</v>
      </c>
      <c r="D212" s="156">
        <v>13105</v>
      </c>
      <c r="E212" s="157" t="s">
        <v>31</v>
      </c>
      <c r="F212" s="158">
        <v>70301</v>
      </c>
      <c r="G212" s="172">
        <v>350</v>
      </c>
      <c r="H212" s="79"/>
      <c r="I212" s="79"/>
      <c r="J212" s="79"/>
      <c r="K212" s="79"/>
      <c r="L212" s="79"/>
      <c r="M212" s="79"/>
    </row>
    <row r="213" spans="1:13" ht="15.75" hidden="1" customHeight="1">
      <c r="A213" s="79"/>
      <c r="B213" s="160"/>
      <c r="C213" s="160"/>
      <c r="D213" s="160"/>
      <c r="E213" s="161" t="s">
        <v>41</v>
      </c>
      <c r="F213" s="161"/>
      <c r="G213" s="162">
        <v>0</v>
      </c>
      <c r="H213" s="79"/>
      <c r="I213" s="79"/>
      <c r="J213" s="79"/>
      <c r="K213" s="79"/>
      <c r="L213" s="79"/>
      <c r="M213" s="79"/>
    </row>
    <row r="214" spans="1:13" ht="15.75" hidden="1" customHeight="1">
      <c r="A214" s="79"/>
      <c r="B214" s="155">
        <v>45841</v>
      </c>
      <c r="C214" s="156">
        <v>0</v>
      </c>
      <c r="D214" s="156">
        <v>13105</v>
      </c>
      <c r="E214" s="157" t="s">
        <v>31</v>
      </c>
      <c r="F214" s="158">
        <v>70302</v>
      </c>
      <c r="G214" s="172">
        <v>274.5</v>
      </c>
      <c r="H214" s="79"/>
      <c r="I214" s="79"/>
      <c r="J214" s="79"/>
      <c r="K214" s="79"/>
      <c r="L214" s="79"/>
      <c r="M214" s="79"/>
    </row>
    <row r="215" spans="1:13" ht="15.75" hidden="1" customHeight="1">
      <c r="A215" s="79"/>
      <c r="B215" s="160"/>
      <c r="C215" s="160"/>
      <c r="D215" s="160"/>
      <c r="E215" s="161" t="s">
        <v>41</v>
      </c>
      <c r="F215" s="161"/>
      <c r="G215" s="162">
        <v>0</v>
      </c>
      <c r="H215" s="79"/>
      <c r="I215" s="79"/>
      <c r="J215" s="79"/>
      <c r="K215" s="79"/>
      <c r="L215" s="79"/>
      <c r="M215" s="79"/>
    </row>
    <row r="216" spans="1:13" ht="15.75" hidden="1" customHeight="1">
      <c r="A216" s="79"/>
      <c r="B216" s="155">
        <v>45841</v>
      </c>
      <c r="C216" s="156">
        <v>0</v>
      </c>
      <c r="D216" s="156">
        <v>13105</v>
      </c>
      <c r="E216" s="157" t="s">
        <v>31</v>
      </c>
      <c r="F216" s="158">
        <v>70303</v>
      </c>
      <c r="G216" s="172">
        <v>329.5</v>
      </c>
      <c r="H216" s="79"/>
      <c r="I216" s="79"/>
      <c r="J216" s="79"/>
      <c r="K216" s="79"/>
      <c r="L216" s="79"/>
      <c r="M216" s="79"/>
    </row>
    <row r="217" spans="1:13" ht="15.75" hidden="1" customHeight="1">
      <c r="A217" s="79"/>
      <c r="B217" s="160"/>
      <c r="C217" s="160"/>
      <c r="D217" s="160"/>
      <c r="E217" s="161" t="s">
        <v>41</v>
      </c>
      <c r="F217" s="161"/>
      <c r="G217" s="162">
        <v>0</v>
      </c>
      <c r="H217" s="79"/>
      <c r="I217" s="79"/>
      <c r="J217" s="79"/>
      <c r="K217" s="79"/>
      <c r="L217" s="79"/>
      <c r="M217" s="79"/>
    </row>
    <row r="218" spans="1:13" ht="15.75" hidden="1" customHeight="1">
      <c r="A218" s="79"/>
      <c r="B218" s="155">
        <v>45841</v>
      </c>
      <c r="C218" s="156">
        <v>0</v>
      </c>
      <c r="D218" s="156">
        <v>13105</v>
      </c>
      <c r="E218" s="157" t="s">
        <v>31</v>
      </c>
      <c r="F218" s="158">
        <v>70304</v>
      </c>
      <c r="G218" s="172">
        <v>170</v>
      </c>
      <c r="H218" s="79"/>
      <c r="I218" s="79"/>
      <c r="J218" s="79"/>
      <c r="K218" s="79"/>
      <c r="L218" s="79"/>
      <c r="M218" s="79"/>
    </row>
    <row r="219" spans="1:13" ht="15.75" hidden="1" customHeight="1">
      <c r="A219" s="79"/>
      <c r="B219" s="160"/>
      <c r="C219" s="160"/>
      <c r="D219" s="160"/>
      <c r="E219" s="161" t="s">
        <v>41</v>
      </c>
      <c r="F219" s="161"/>
      <c r="G219" s="162">
        <v>0</v>
      </c>
      <c r="H219" s="79"/>
      <c r="I219" s="79"/>
      <c r="J219" s="79"/>
      <c r="K219" s="79"/>
      <c r="L219" s="79"/>
      <c r="M219" s="79"/>
    </row>
    <row r="220" spans="1:13" ht="15.75" hidden="1" customHeight="1">
      <c r="A220" s="79"/>
      <c r="B220" s="155">
        <v>45841</v>
      </c>
      <c r="C220" s="156">
        <v>0</v>
      </c>
      <c r="D220" s="156">
        <v>13105</v>
      </c>
      <c r="E220" s="157" t="s">
        <v>31</v>
      </c>
      <c r="F220" s="158">
        <v>70305</v>
      </c>
      <c r="G220" s="172">
        <v>170</v>
      </c>
      <c r="H220" s="79"/>
      <c r="I220" s="79"/>
      <c r="J220" s="79"/>
      <c r="K220" s="79"/>
      <c r="L220" s="79"/>
      <c r="M220" s="79"/>
    </row>
    <row r="221" spans="1:13" ht="15.75" hidden="1" customHeight="1">
      <c r="A221" s="79"/>
      <c r="B221" s="160"/>
      <c r="C221" s="160"/>
      <c r="D221" s="160"/>
      <c r="E221" s="161" t="s">
        <v>41</v>
      </c>
      <c r="F221" s="161"/>
      <c r="G221" s="162">
        <v>0</v>
      </c>
      <c r="H221" s="79"/>
      <c r="I221" s="79"/>
      <c r="J221" s="79"/>
      <c r="K221" s="79"/>
      <c r="L221" s="79"/>
      <c r="M221" s="79"/>
    </row>
    <row r="222" spans="1:13" ht="15.75" hidden="1" customHeight="1">
      <c r="A222" s="79"/>
      <c r="B222" s="155">
        <v>45841</v>
      </c>
      <c r="C222" s="156">
        <v>0</v>
      </c>
      <c r="D222" s="156">
        <v>13105</v>
      </c>
      <c r="E222" s="157" t="s">
        <v>31</v>
      </c>
      <c r="F222" s="158">
        <v>70306</v>
      </c>
      <c r="G222" s="172">
        <v>307</v>
      </c>
      <c r="H222" s="79"/>
      <c r="I222" s="79"/>
      <c r="J222" s="79"/>
      <c r="K222" s="79"/>
      <c r="L222" s="79"/>
      <c r="M222" s="79"/>
    </row>
    <row r="223" spans="1:13" ht="15.75" hidden="1" customHeight="1">
      <c r="A223" s="79"/>
      <c r="B223" s="160"/>
      <c r="C223" s="160"/>
      <c r="D223" s="160"/>
      <c r="E223" s="161" t="s">
        <v>41</v>
      </c>
      <c r="F223" s="161"/>
      <c r="G223" s="162">
        <v>0</v>
      </c>
      <c r="H223" s="79"/>
      <c r="I223" s="79"/>
      <c r="J223" s="79"/>
      <c r="K223" s="79"/>
      <c r="L223" s="79"/>
      <c r="M223" s="79"/>
    </row>
    <row r="224" spans="1:13" ht="15.75" hidden="1" customHeight="1">
      <c r="A224" s="79"/>
      <c r="B224" s="155">
        <v>45841</v>
      </c>
      <c r="C224" s="156">
        <v>0</v>
      </c>
      <c r="D224" s="156">
        <v>13105</v>
      </c>
      <c r="E224" s="157" t="s">
        <v>31</v>
      </c>
      <c r="F224" s="158">
        <v>70307</v>
      </c>
      <c r="G224" s="172">
        <v>3907.33</v>
      </c>
      <c r="H224" s="79"/>
      <c r="I224" s="79"/>
      <c r="J224" s="79"/>
      <c r="K224" s="79"/>
      <c r="L224" s="79"/>
      <c r="M224" s="79"/>
    </row>
    <row r="225" spans="1:13" ht="15.75" hidden="1" customHeight="1">
      <c r="A225" s="79"/>
      <c r="B225" s="160"/>
      <c r="C225" s="160"/>
      <c r="D225" s="160"/>
      <c r="E225" s="161" t="s">
        <v>32</v>
      </c>
      <c r="F225" s="161"/>
      <c r="G225" s="162">
        <v>0</v>
      </c>
      <c r="H225" s="79"/>
      <c r="I225" s="79"/>
      <c r="J225" s="79"/>
      <c r="K225" s="79"/>
      <c r="L225" s="79"/>
      <c r="M225" s="79"/>
    </row>
    <row r="226" spans="1:13" ht="15.75" hidden="1" customHeight="1">
      <c r="A226" s="79"/>
      <c r="B226" s="155">
        <v>45841</v>
      </c>
      <c r="C226" s="156">
        <v>0</v>
      </c>
      <c r="D226" s="156">
        <v>13105</v>
      </c>
      <c r="E226" s="157" t="s">
        <v>31</v>
      </c>
      <c r="F226" s="158">
        <v>70308</v>
      </c>
      <c r="G226" s="172">
        <v>568.30999999999995</v>
      </c>
      <c r="H226" s="79"/>
      <c r="I226" s="79"/>
      <c r="J226" s="79"/>
      <c r="K226" s="79"/>
      <c r="L226" s="79"/>
      <c r="M226" s="79"/>
    </row>
    <row r="227" spans="1:13" ht="15.75" hidden="1" customHeight="1">
      <c r="A227" s="79"/>
      <c r="B227" s="160"/>
      <c r="C227" s="160"/>
      <c r="D227" s="160"/>
      <c r="E227" s="161" t="s">
        <v>66</v>
      </c>
      <c r="F227" s="161"/>
      <c r="G227" s="162">
        <v>0</v>
      </c>
      <c r="H227" s="79"/>
      <c r="I227" s="79"/>
      <c r="J227" s="79"/>
      <c r="K227" s="79"/>
      <c r="L227" s="79"/>
      <c r="M227" s="79"/>
    </row>
    <row r="228" spans="1:13" ht="15.75" hidden="1" customHeight="1">
      <c r="A228" s="79"/>
      <c r="B228" s="155">
        <v>45841</v>
      </c>
      <c r="C228" s="156">
        <v>0</v>
      </c>
      <c r="D228" s="156">
        <v>13105</v>
      </c>
      <c r="E228" s="157" t="s">
        <v>31</v>
      </c>
      <c r="F228" s="158">
        <v>70309</v>
      </c>
      <c r="G228" s="172">
        <v>1458.35</v>
      </c>
      <c r="H228" s="79"/>
      <c r="I228" s="79"/>
      <c r="J228" s="79"/>
      <c r="K228" s="79"/>
      <c r="L228" s="79"/>
      <c r="M228" s="79"/>
    </row>
    <row r="229" spans="1:13" ht="15.75" hidden="1" customHeight="1">
      <c r="A229" s="79"/>
      <c r="B229" s="160"/>
      <c r="C229" s="160"/>
      <c r="D229" s="160"/>
      <c r="E229" s="161" t="s">
        <v>32</v>
      </c>
      <c r="F229" s="161"/>
      <c r="G229" s="162">
        <v>0</v>
      </c>
      <c r="H229" s="79"/>
      <c r="I229" s="79"/>
      <c r="J229" s="79"/>
      <c r="K229" s="79"/>
      <c r="L229" s="79"/>
      <c r="M229" s="79"/>
    </row>
    <row r="230" spans="1:13" ht="15.75" hidden="1" customHeight="1">
      <c r="A230" s="79"/>
      <c r="B230" s="155">
        <v>45841</v>
      </c>
      <c r="C230" s="156">
        <v>0</v>
      </c>
      <c r="D230" s="156">
        <v>13105</v>
      </c>
      <c r="E230" s="157" t="s">
        <v>31</v>
      </c>
      <c r="F230" s="158">
        <v>70310</v>
      </c>
      <c r="G230" s="172">
        <v>311.68</v>
      </c>
      <c r="H230" s="79"/>
      <c r="I230" s="79"/>
      <c r="J230" s="79"/>
      <c r="K230" s="79"/>
      <c r="L230" s="79"/>
      <c r="M230" s="79"/>
    </row>
    <row r="231" spans="1:13" ht="15.75" hidden="1" customHeight="1">
      <c r="A231" s="79"/>
      <c r="B231" s="160"/>
      <c r="C231" s="160"/>
      <c r="D231" s="160"/>
      <c r="E231" s="161" t="s">
        <v>66</v>
      </c>
      <c r="F231" s="161"/>
      <c r="G231" s="162">
        <v>0</v>
      </c>
      <c r="H231" s="79"/>
      <c r="I231" s="79"/>
      <c r="J231" s="79"/>
      <c r="K231" s="79"/>
      <c r="L231" s="79"/>
      <c r="M231" s="79"/>
    </row>
    <row r="232" spans="1:13" ht="15.75" hidden="1" customHeight="1">
      <c r="A232" s="79"/>
      <c r="B232" s="155">
        <v>45841</v>
      </c>
      <c r="C232" s="156">
        <v>0</v>
      </c>
      <c r="D232" s="156">
        <v>13105</v>
      </c>
      <c r="E232" s="157" t="s">
        <v>31</v>
      </c>
      <c r="F232" s="158">
        <v>70311</v>
      </c>
      <c r="G232" s="172">
        <v>3150</v>
      </c>
      <c r="H232" s="79"/>
      <c r="I232" s="79"/>
      <c r="J232" s="79"/>
      <c r="K232" s="79"/>
      <c r="L232" s="79"/>
      <c r="M232" s="79"/>
    </row>
    <row r="233" spans="1:13" ht="15.75" hidden="1" customHeight="1">
      <c r="A233" s="79"/>
      <c r="B233" s="160"/>
      <c r="C233" s="160"/>
      <c r="D233" s="160"/>
      <c r="E233" s="161" t="s">
        <v>32</v>
      </c>
      <c r="F233" s="161"/>
      <c r="G233" s="162">
        <v>0</v>
      </c>
      <c r="H233" s="79"/>
      <c r="I233" s="79"/>
      <c r="J233" s="79"/>
      <c r="K233" s="79"/>
      <c r="L233" s="79"/>
      <c r="M233" s="79"/>
    </row>
    <row r="234" spans="1:13" ht="15.75" hidden="1" customHeight="1">
      <c r="A234" s="79"/>
      <c r="B234" s="155">
        <v>45841</v>
      </c>
      <c r="C234" s="156">
        <v>0</v>
      </c>
      <c r="D234" s="156">
        <v>13105</v>
      </c>
      <c r="E234" s="157" t="s">
        <v>34</v>
      </c>
      <c r="F234" s="158">
        <v>70312</v>
      </c>
      <c r="G234" s="172">
        <v>100.99</v>
      </c>
      <c r="H234" s="79"/>
      <c r="I234" s="79"/>
      <c r="J234" s="79"/>
      <c r="K234" s="79"/>
      <c r="L234" s="79"/>
      <c r="M234" s="79"/>
    </row>
    <row r="235" spans="1:13" ht="15.75" hidden="1" customHeight="1">
      <c r="A235" s="79"/>
      <c r="B235" s="160"/>
      <c r="C235" s="160"/>
      <c r="D235" s="160"/>
      <c r="E235" s="161" t="s">
        <v>108</v>
      </c>
      <c r="F235" s="161"/>
      <c r="G235" s="162">
        <v>0</v>
      </c>
      <c r="H235" s="79"/>
      <c r="I235" s="79"/>
      <c r="J235" s="79"/>
      <c r="K235" s="79"/>
      <c r="L235" s="79"/>
      <c r="M235" s="79"/>
    </row>
    <row r="236" spans="1:13" ht="15.75" hidden="1" customHeight="1">
      <c r="A236" s="79"/>
      <c r="B236" s="155">
        <v>45841</v>
      </c>
      <c r="C236" s="156">
        <v>0</v>
      </c>
      <c r="D236" s="156">
        <v>13105</v>
      </c>
      <c r="E236" s="157" t="s">
        <v>31</v>
      </c>
      <c r="F236" s="158">
        <v>70313</v>
      </c>
      <c r="G236" s="172">
        <v>115.28</v>
      </c>
      <c r="H236" s="79"/>
      <c r="I236" s="79"/>
      <c r="J236" s="79"/>
      <c r="K236" s="79"/>
      <c r="L236" s="79"/>
      <c r="M236" s="79"/>
    </row>
    <row r="237" spans="1:13" ht="15.75" hidden="1" customHeight="1">
      <c r="A237" s="79"/>
      <c r="B237" s="160"/>
      <c r="C237" s="160"/>
      <c r="D237" s="160"/>
      <c r="E237" s="161" t="s">
        <v>56</v>
      </c>
      <c r="F237" s="161"/>
      <c r="G237" s="162">
        <v>0</v>
      </c>
      <c r="H237" s="79"/>
      <c r="I237" s="79"/>
      <c r="J237" s="79"/>
      <c r="K237" s="79"/>
      <c r="L237" s="79"/>
      <c r="M237" s="79"/>
    </row>
    <row r="238" spans="1:13" ht="15.75" hidden="1" customHeight="1">
      <c r="A238" s="79"/>
      <c r="B238" s="155">
        <v>45841</v>
      </c>
      <c r="C238" s="156">
        <v>0</v>
      </c>
      <c r="D238" s="156">
        <v>13105</v>
      </c>
      <c r="E238" s="157" t="s">
        <v>31</v>
      </c>
      <c r="F238" s="158">
        <v>70314</v>
      </c>
      <c r="G238" s="172">
        <v>173.35</v>
      </c>
      <c r="H238" s="79"/>
      <c r="I238" s="79"/>
      <c r="J238" s="79"/>
      <c r="K238" s="79"/>
      <c r="L238" s="79"/>
      <c r="M238" s="79"/>
    </row>
    <row r="239" spans="1:13" ht="15.75" hidden="1" customHeight="1">
      <c r="A239" s="79"/>
      <c r="B239" s="160"/>
      <c r="C239" s="160"/>
      <c r="D239" s="160"/>
      <c r="E239" s="161" t="s">
        <v>216</v>
      </c>
      <c r="F239" s="161"/>
      <c r="G239" s="162">
        <v>0</v>
      </c>
      <c r="H239" s="79"/>
      <c r="I239" s="79"/>
      <c r="J239" s="79"/>
      <c r="K239" s="79"/>
      <c r="L239" s="79"/>
      <c r="M239" s="79"/>
    </row>
    <row r="240" spans="1:13" ht="15.75" hidden="1" customHeight="1">
      <c r="A240" s="79"/>
      <c r="B240" s="155">
        <v>45841</v>
      </c>
      <c r="C240" s="156">
        <v>0</v>
      </c>
      <c r="D240" s="156">
        <v>13105</v>
      </c>
      <c r="E240" s="157" t="s">
        <v>31</v>
      </c>
      <c r="F240" s="158">
        <v>70315</v>
      </c>
      <c r="G240" s="172">
        <v>1688.37</v>
      </c>
      <c r="H240" s="79"/>
      <c r="I240" s="79"/>
      <c r="J240" s="79"/>
      <c r="K240" s="79"/>
      <c r="L240" s="79"/>
      <c r="M240" s="79"/>
    </row>
    <row r="241" spans="1:13" ht="15.75" hidden="1" customHeight="1">
      <c r="A241" s="79"/>
      <c r="B241" s="160"/>
      <c r="C241" s="160"/>
      <c r="D241" s="160"/>
      <c r="E241" s="161" t="s">
        <v>95</v>
      </c>
      <c r="F241" s="161"/>
      <c r="G241" s="162">
        <v>0</v>
      </c>
      <c r="H241" s="79"/>
      <c r="I241" s="79"/>
      <c r="J241" s="79"/>
      <c r="K241" s="79"/>
      <c r="L241" s="79"/>
      <c r="M241" s="79"/>
    </row>
    <row r="242" spans="1:13" ht="15.75" hidden="1" customHeight="1">
      <c r="A242" s="79"/>
      <c r="B242" s="155">
        <v>45841</v>
      </c>
      <c r="C242" s="156">
        <v>0</v>
      </c>
      <c r="D242" s="156">
        <v>13105</v>
      </c>
      <c r="E242" s="157" t="s">
        <v>31</v>
      </c>
      <c r="F242" s="158">
        <v>70316</v>
      </c>
      <c r="G242" s="172">
        <v>1794.27</v>
      </c>
      <c r="H242" s="79"/>
      <c r="I242" s="79"/>
      <c r="J242" s="79"/>
      <c r="K242" s="79"/>
      <c r="L242" s="79"/>
      <c r="M242" s="79"/>
    </row>
    <row r="243" spans="1:13" ht="15.75" hidden="1" customHeight="1">
      <c r="A243" s="79"/>
      <c r="B243" s="160"/>
      <c r="C243" s="160"/>
      <c r="D243" s="160"/>
      <c r="E243" s="161" t="s">
        <v>95</v>
      </c>
      <c r="F243" s="161"/>
      <c r="G243" s="162">
        <v>0</v>
      </c>
      <c r="H243" s="79"/>
      <c r="I243" s="79"/>
      <c r="J243" s="79"/>
      <c r="K243" s="79"/>
      <c r="L243" s="79"/>
      <c r="M243" s="79"/>
    </row>
    <row r="244" spans="1:13" ht="15.75" hidden="1" customHeight="1">
      <c r="A244" s="79"/>
      <c r="B244" s="155">
        <v>45841</v>
      </c>
      <c r="C244" s="156">
        <v>0</v>
      </c>
      <c r="D244" s="156">
        <v>13105</v>
      </c>
      <c r="E244" s="157" t="s">
        <v>31</v>
      </c>
      <c r="F244" s="158">
        <v>70317</v>
      </c>
      <c r="G244" s="172">
        <v>387.47</v>
      </c>
      <c r="H244" s="79"/>
      <c r="I244" s="79"/>
      <c r="J244" s="79"/>
      <c r="K244" s="79"/>
      <c r="L244" s="79"/>
      <c r="M244" s="79"/>
    </row>
    <row r="245" spans="1:13" ht="15.75" hidden="1" customHeight="1">
      <c r="A245" s="79"/>
      <c r="B245" s="160"/>
      <c r="C245" s="160"/>
      <c r="D245" s="160"/>
      <c r="E245" s="161" t="s">
        <v>163</v>
      </c>
      <c r="F245" s="161"/>
      <c r="G245" s="162">
        <v>0</v>
      </c>
      <c r="H245" s="79"/>
      <c r="I245" s="79"/>
      <c r="J245" s="79"/>
      <c r="K245" s="79"/>
      <c r="L245" s="79"/>
      <c r="M245" s="79"/>
    </row>
    <row r="246" spans="1:13" ht="15.75" hidden="1" customHeight="1">
      <c r="A246" s="79"/>
      <c r="B246" s="155">
        <v>45841</v>
      </c>
      <c r="C246" s="156">
        <v>0</v>
      </c>
      <c r="D246" s="156">
        <v>13105</v>
      </c>
      <c r="E246" s="157" t="s">
        <v>31</v>
      </c>
      <c r="F246" s="158">
        <v>70318</v>
      </c>
      <c r="G246" s="172">
        <v>487.37</v>
      </c>
      <c r="H246" s="79"/>
      <c r="I246" s="79"/>
      <c r="J246" s="79"/>
      <c r="K246" s="79"/>
      <c r="L246" s="79"/>
      <c r="M246" s="79"/>
    </row>
    <row r="247" spans="1:13" ht="15.75" hidden="1" customHeight="1">
      <c r="A247" s="79"/>
      <c r="B247" s="160"/>
      <c r="C247" s="160"/>
      <c r="D247" s="160"/>
      <c r="E247" s="161" t="s">
        <v>507</v>
      </c>
      <c r="F247" s="161"/>
      <c r="G247" s="162">
        <v>0</v>
      </c>
      <c r="H247" s="79"/>
      <c r="I247" s="79"/>
      <c r="J247" s="79"/>
      <c r="K247" s="79"/>
      <c r="L247" s="79"/>
      <c r="M247" s="79"/>
    </row>
    <row r="248" spans="1:13" ht="15.75" hidden="1" customHeight="1">
      <c r="A248" s="79"/>
      <c r="B248" s="155">
        <v>45841</v>
      </c>
      <c r="C248" s="156">
        <v>0</v>
      </c>
      <c r="D248" s="156">
        <v>13105</v>
      </c>
      <c r="E248" s="157" t="s">
        <v>31</v>
      </c>
      <c r="F248" s="158">
        <v>70319</v>
      </c>
      <c r="G248" s="172">
        <v>2207.5100000000002</v>
      </c>
      <c r="H248" s="79"/>
      <c r="I248" s="79"/>
      <c r="J248" s="79"/>
      <c r="K248" s="79"/>
      <c r="L248" s="79"/>
      <c r="M248" s="79"/>
    </row>
    <row r="249" spans="1:13" ht="15.75" hidden="1" customHeight="1">
      <c r="A249" s="79"/>
      <c r="B249" s="160"/>
      <c r="C249" s="160"/>
      <c r="D249" s="160"/>
      <c r="E249" s="161" t="s">
        <v>348</v>
      </c>
      <c r="F249" s="161"/>
      <c r="G249" s="162">
        <v>0</v>
      </c>
      <c r="H249" s="79"/>
      <c r="I249" s="79"/>
      <c r="J249" s="79"/>
      <c r="K249" s="79"/>
      <c r="L249" s="79"/>
      <c r="M249" s="79"/>
    </row>
    <row r="250" spans="1:13" ht="15.75" hidden="1" customHeight="1">
      <c r="A250" s="79"/>
      <c r="B250" s="155">
        <v>45841</v>
      </c>
      <c r="C250" s="156">
        <v>0</v>
      </c>
      <c r="D250" s="156">
        <v>13105</v>
      </c>
      <c r="E250" s="157" t="s">
        <v>31</v>
      </c>
      <c r="F250" s="158">
        <v>70320</v>
      </c>
      <c r="G250" s="172">
        <v>300</v>
      </c>
      <c r="H250" s="79"/>
      <c r="I250" s="79"/>
      <c r="J250" s="79"/>
      <c r="K250" s="79"/>
      <c r="L250" s="79"/>
      <c r="M250" s="79"/>
    </row>
    <row r="251" spans="1:13" ht="15.75" hidden="1" customHeight="1">
      <c r="A251" s="79"/>
      <c r="B251" s="160"/>
      <c r="C251" s="160"/>
      <c r="D251" s="160"/>
      <c r="E251" s="161" t="s">
        <v>86</v>
      </c>
      <c r="F251" s="161"/>
      <c r="G251" s="162">
        <v>0</v>
      </c>
      <c r="H251" s="79"/>
      <c r="I251" s="79"/>
      <c r="J251" s="79"/>
      <c r="K251" s="79"/>
      <c r="L251" s="79"/>
      <c r="M251" s="79"/>
    </row>
    <row r="252" spans="1:13" ht="15.75" hidden="1" customHeight="1">
      <c r="A252" s="79"/>
      <c r="B252" s="155">
        <v>45841</v>
      </c>
      <c r="C252" s="156">
        <v>0</v>
      </c>
      <c r="D252" s="156">
        <v>13105</v>
      </c>
      <c r="E252" s="157" t="s">
        <v>31</v>
      </c>
      <c r="F252" s="158">
        <v>70321</v>
      </c>
      <c r="G252" s="172">
        <v>50</v>
      </c>
      <c r="H252" s="79"/>
      <c r="I252" s="79"/>
      <c r="J252" s="79"/>
      <c r="K252" s="79"/>
      <c r="L252" s="79"/>
      <c r="M252" s="79"/>
    </row>
    <row r="253" spans="1:13" ht="15.75" hidden="1" customHeight="1">
      <c r="A253" s="79"/>
      <c r="B253" s="160"/>
      <c r="C253" s="160"/>
      <c r="D253" s="160"/>
      <c r="E253" s="161" t="s">
        <v>866</v>
      </c>
      <c r="F253" s="161"/>
      <c r="G253" s="162">
        <v>0</v>
      </c>
      <c r="H253" s="79"/>
      <c r="I253" s="79"/>
      <c r="J253" s="79"/>
      <c r="K253" s="79"/>
      <c r="L253" s="79"/>
      <c r="M253" s="79"/>
    </row>
    <row r="254" spans="1:13" ht="15.75" hidden="1" customHeight="1">
      <c r="A254" s="79"/>
      <c r="B254" s="155">
        <v>45841</v>
      </c>
      <c r="C254" s="156">
        <v>0</v>
      </c>
      <c r="D254" s="156">
        <v>13105</v>
      </c>
      <c r="E254" s="157" t="s">
        <v>31</v>
      </c>
      <c r="F254" s="158">
        <v>70322</v>
      </c>
      <c r="G254" s="172">
        <v>490</v>
      </c>
      <c r="H254" s="79"/>
      <c r="I254" s="79"/>
      <c r="J254" s="79"/>
      <c r="K254" s="79"/>
      <c r="L254" s="79"/>
      <c r="M254" s="79"/>
    </row>
    <row r="255" spans="1:13" ht="15.75" hidden="1" customHeight="1">
      <c r="A255" s="79"/>
      <c r="B255" s="160"/>
      <c r="C255" s="160"/>
      <c r="D255" s="160"/>
      <c r="E255" s="161" t="s">
        <v>867</v>
      </c>
      <c r="F255" s="161"/>
      <c r="G255" s="162">
        <v>0</v>
      </c>
      <c r="H255" s="79"/>
      <c r="I255" s="79"/>
      <c r="J255" s="79"/>
      <c r="K255" s="79"/>
      <c r="L255" s="79"/>
      <c r="M255" s="79"/>
    </row>
    <row r="256" spans="1:13" ht="15.75" hidden="1" customHeight="1">
      <c r="A256" s="79"/>
      <c r="B256" s="155">
        <v>45841</v>
      </c>
      <c r="C256" s="156">
        <v>0</v>
      </c>
      <c r="D256" s="156">
        <v>13105</v>
      </c>
      <c r="E256" s="157" t="s">
        <v>31</v>
      </c>
      <c r="F256" s="158">
        <v>70323</v>
      </c>
      <c r="G256" s="172">
        <v>1980</v>
      </c>
      <c r="H256" s="79"/>
      <c r="I256" s="79"/>
      <c r="J256" s="79"/>
      <c r="K256" s="79"/>
      <c r="L256" s="79"/>
      <c r="M256" s="79"/>
    </row>
    <row r="257" spans="1:13" ht="15.75" hidden="1" customHeight="1">
      <c r="A257" s="79"/>
      <c r="B257" s="160"/>
      <c r="C257" s="160"/>
      <c r="D257" s="160"/>
      <c r="E257" s="161" t="s">
        <v>587</v>
      </c>
      <c r="F257" s="161"/>
      <c r="G257" s="162">
        <v>0</v>
      </c>
      <c r="H257" s="79"/>
      <c r="I257" s="79"/>
      <c r="J257" s="79"/>
      <c r="K257" s="79"/>
      <c r="L257" s="79"/>
      <c r="M257" s="79"/>
    </row>
    <row r="258" spans="1:13" ht="15.75" hidden="1" customHeight="1">
      <c r="A258" s="79"/>
      <c r="B258" s="155">
        <v>45841</v>
      </c>
      <c r="C258" s="156">
        <v>0</v>
      </c>
      <c r="D258" s="156">
        <v>13105</v>
      </c>
      <c r="E258" s="157" t="s">
        <v>31</v>
      </c>
      <c r="F258" s="158">
        <v>70324</v>
      </c>
      <c r="G258" s="172">
        <v>2200</v>
      </c>
      <c r="H258" s="79"/>
      <c r="I258" s="79"/>
      <c r="J258" s="79"/>
      <c r="K258" s="79"/>
      <c r="L258" s="79"/>
      <c r="M258" s="79"/>
    </row>
    <row r="259" spans="1:13" ht="15.75" hidden="1" customHeight="1">
      <c r="A259" s="79"/>
      <c r="B259" s="160"/>
      <c r="C259" s="160"/>
      <c r="D259" s="160"/>
      <c r="E259" s="161" t="s">
        <v>173</v>
      </c>
      <c r="F259" s="161"/>
      <c r="G259" s="162">
        <v>0</v>
      </c>
      <c r="H259" s="79"/>
      <c r="I259" s="79"/>
      <c r="J259" s="79"/>
      <c r="K259" s="79"/>
      <c r="L259" s="79"/>
      <c r="M259" s="79"/>
    </row>
    <row r="260" spans="1:13" ht="15.75" hidden="1" customHeight="1">
      <c r="A260" s="79"/>
      <c r="B260" s="155">
        <v>45841</v>
      </c>
      <c r="C260" s="156">
        <v>0</v>
      </c>
      <c r="D260" s="156">
        <v>13105</v>
      </c>
      <c r="E260" s="157" t="s">
        <v>31</v>
      </c>
      <c r="F260" s="158">
        <v>70325</v>
      </c>
      <c r="G260" s="172">
        <v>251.12</v>
      </c>
      <c r="H260" s="79"/>
      <c r="I260" s="79"/>
      <c r="J260" s="79"/>
      <c r="K260" s="79"/>
      <c r="L260" s="79"/>
      <c r="M260" s="79"/>
    </row>
    <row r="261" spans="1:13" ht="15.75" hidden="1" customHeight="1">
      <c r="A261" s="79"/>
      <c r="B261" s="160"/>
      <c r="C261" s="160"/>
      <c r="D261" s="160"/>
      <c r="E261" s="161" t="s">
        <v>45</v>
      </c>
      <c r="F261" s="161"/>
      <c r="G261" s="162">
        <v>0</v>
      </c>
      <c r="H261" s="79"/>
      <c r="I261" s="79"/>
      <c r="J261" s="79"/>
      <c r="K261" s="79"/>
      <c r="L261" s="79"/>
      <c r="M261" s="79"/>
    </row>
    <row r="262" spans="1:13" ht="15.75" hidden="1" customHeight="1">
      <c r="A262" s="79"/>
      <c r="B262" s="155">
        <v>45841</v>
      </c>
      <c r="C262" s="156">
        <v>0</v>
      </c>
      <c r="D262" s="156">
        <v>13105</v>
      </c>
      <c r="E262" s="157" t="s">
        <v>31</v>
      </c>
      <c r="F262" s="158">
        <v>70326</v>
      </c>
      <c r="G262" s="172">
        <v>710.73</v>
      </c>
      <c r="H262" s="79"/>
      <c r="I262" s="79"/>
      <c r="J262" s="79"/>
      <c r="K262" s="79"/>
      <c r="L262" s="79"/>
      <c r="M262" s="79"/>
    </row>
    <row r="263" spans="1:13" ht="15.75" hidden="1" customHeight="1">
      <c r="A263" s="79"/>
      <c r="B263" s="160"/>
      <c r="C263" s="160"/>
      <c r="D263" s="160"/>
      <c r="E263" s="161" t="s">
        <v>37</v>
      </c>
      <c r="F263" s="161"/>
      <c r="G263" s="162">
        <v>0</v>
      </c>
      <c r="H263" s="79"/>
      <c r="I263" s="79"/>
      <c r="J263" s="79"/>
      <c r="K263" s="79"/>
      <c r="L263" s="79"/>
      <c r="M263" s="79"/>
    </row>
    <row r="264" spans="1:13" ht="15.75" hidden="1" customHeight="1">
      <c r="A264" s="79"/>
      <c r="B264" s="155">
        <v>45841</v>
      </c>
      <c r="C264" s="156">
        <v>0</v>
      </c>
      <c r="D264" s="156">
        <v>13105</v>
      </c>
      <c r="E264" s="157" t="s">
        <v>31</v>
      </c>
      <c r="F264" s="158">
        <v>70327</v>
      </c>
      <c r="G264" s="172">
        <v>952.39</v>
      </c>
      <c r="H264" s="79"/>
      <c r="I264" s="79"/>
      <c r="J264" s="79"/>
      <c r="K264" s="79"/>
      <c r="L264" s="79"/>
      <c r="M264" s="79"/>
    </row>
    <row r="265" spans="1:13" ht="15.75" hidden="1" customHeight="1">
      <c r="A265" s="79"/>
      <c r="B265" s="160"/>
      <c r="C265" s="160"/>
      <c r="D265" s="160"/>
      <c r="E265" s="161" t="s">
        <v>379</v>
      </c>
      <c r="F265" s="161"/>
      <c r="G265" s="162">
        <v>0</v>
      </c>
      <c r="H265" s="79"/>
      <c r="I265" s="79"/>
      <c r="J265" s="79"/>
      <c r="K265" s="79"/>
      <c r="L265" s="79"/>
      <c r="M265" s="79"/>
    </row>
    <row r="266" spans="1:13" ht="15.75" hidden="1" customHeight="1">
      <c r="A266" s="79"/>
      <c r="B266" s="155">
        <v>45841</v>
      </c>
      <c r="C266" s="156">
        <v>0</v>
      </c>
      <c r="D266" s="156">
        <v>13105</v>
      </c>
      <c r="E266" s="157" t="s">
        <v>31</v>
      </c>
      <c r="F266" s="158">
        <v>70328</v>
      </c>
      <c r="G266" s="172">
        <v>232.5</v>
      </c>
      <c r="H266" s="79"/>
      <c r="I266" s="79"/>
      <c r="J266" s="79"/>
      <c r="K266" s="79"/>
      <c r="L266" s="79"/>
      <c r="M266" s="79"/>
    </row>
    <row r="267" spans="1:13" ht="15.75" hidden="1" customHeight="1">
      <c r="A267" s="79"/>
      <c r="B267" s="160"/>
      <c r="C267" s="160"/>
      <c r="D267" s="160"/>
      <c r="E267" s="161" t="s">
        <v>340</v>
      </c>
      <c r="F267" s="161"/>
      <c r="G267" s="162">
        <v>0</v>
      </c>
      <c r="H267" s="79"/>
      <c r="I267" s="79"/>
      <c r="J267" s="79"/>
      <c r="K267" s="79"/>
      <c r="L267" s="79"/>
      <c r="M267" s="79"/>
    </row>
    <row r="268" spans="1:13" ht="15.75" hidden="1" customHeight="1">
      <c r="A268" s="79"/>
      <c r="B268" s="155">
        <v>45841</v>
      </c>
      <c r="C268" s="156">
        <v>0</v>
      </c>
      <c r="D268" s="156">
        <v>13105</v>
      </c>
      <c r="E268" s="157" t="s">
        <v>31</v>
      </c>
      <c r="F268" s="158">
        <v>70329</v>
      </c>
      <c r="G268" s="172">
        <v>457.96</v>
      </c>
      <c r="H268" s="79"/>
      <c r="I268" s="79"/>
      <c r="J268" s="79"/>
      <c r="K268" s="79"/>
      <c r="L268" s="79"/>
      <c r="M268" s="79"/>
    </row>
    <row r="269" spans="1:13" ht="15.75" hidden="1" customHeight="1">
      <c r="A269" s="79"/>
      <c r="B269" s="160"/>
      <c r="C269" s="160"/>
      <c r="D269" s="160"/>
      <c r="E269" s="161" t="s">
        <v>340</v>
      </c>
      <c r="F269" s="161"/>
      <c r="G269" s="162">
        <v>0</v>
      </c>
      <c r="H269" s="79"/>
      <c r="I269" s="79"/>
      <c r="J269" s="79"/>
      <c r="K269" s="79"/>
      <c r="L269" s="79"/>
      <c r="M269" s="79"/>
    </row>
    <row r="270" spans="1:13" ht="15.75" hidden="1" customHeight="1">
      <c r="A270" s="79"/>
      <c r="B270" s="155">
        <v>45841</v>
      </c>
      <c r="C270" s="156">
        <v>0</v>
      </c>
      <c r="D270" s="156">
        <v>13105</v>
      </c>
      <c r="E270" s="157" t="s">
        <v>31</v>
      </c>
      <c r="F270" s="158">
        <v>70330</v>
      </c>
      <c r="G270" s="172">
        <v>487.2</v>
      </c>
      <c r="H270" s="79"/>
      <c r="I270" s="79"/>
      <c r="J270" s="79"/>
      <c r="K270" s="79"/>
      <c r="L270" s="79"/>
      <c r="M270" s="79"/>
    </row>
    <row r="271" spans="1:13" ht="15.75" hidden="1" customHeight="1">
      <c r="A271" s="79"/>
      <c r="B271" s="160"/>
      <c r="C271" s="160"/>
      <c r="D271" s="160"/>
      <c r="E271" s="161" t="s">
        <v>165</v>
      </c>
      <c r="F271" s="161"/>
      <c r="G271" s="162">
        <v>0</v>
      </c>
      <c r="H271" s="79"/>
      <c r="I271" s="79"/>
      <c r="J271" s="79"/>
      <c r="K271" s="79"/>
      <c r="L271" s="79"/>
      <c r="M271" s="79"/>
    </row>
    <row r="272" spans="1:13" ht="15.75" hidden="1" customHeight="1">
      <c r="A272" s="79"/>
      <c r="B272" s="155">
        <v>45841</v>
      </c>
      <c r="C272" s="156">
        <v>0</v>
      </c>
      <c r="D272" s="156">
        <v>13105</v>
      </c>
      <c r="E272" s="157" t="s">
        <v>31</v>
      </c>
      <c r="F272" s="158">
        <v>70331</v>
      </c>
      <c r="G272" s="172">
        <v>510.32</v>
      </c>
      <c r="H272" s="79"/>
      <c r="I272" s="79"/>
      <c r="J272" s="79"/>
      <c r="K272" s="79"/>
      <c r="L272" s="79"/>
      <c r="M272" s="79"/>
    </row>
    <row r="273" spans="1:13" ht="15.75" hidden="1" customHeight="1">
      <c r="A273" s="79"/>
      <c r="B273" s="160"/>
      <c r="C273" s="160"/>
      <c r="D273" s="160"/>
      <c r="E273" s="161" t="s">
        <v>762</v>
      </c>
      <c r="F273" s="161"/>
      <c r="G273" s="162">
        <v>0</v>
      </c>
      <c r="H273" s="79"/>
      <c r="I273" s="79"/>
      <c r="J273" s="79"/>
      <c r="K273" s="79"/>
      <c r="L273" s="79"/>
      <c r="M273" s="79"/>
    </row>
    <row r="274" spans="1:13" ht="15.75" hidden="1" customHeight="1">
      <c r="A274" s="79"/>
      <c r="B274" s="155">
        <v>45841</v>
      </c>
      <c r="C274" s="156">
        <v>0</v>
      </c>
      <c r="D274" s="156">
        <v>13105</v>
      </c>
      <c r="E274" s="157" t="s">
        <v>31</v>
      </c>
      <c r="F274" s="158">
        <v>70332</v>
      </c>
      <c r="G274" s="172">
        <v>229.7</v>
      </c>
      <c r="H274" s="79"/>
      <c r="I274" s="79"/>
      <c r="J274" s="79"/>
      <c r="K274" s="79"/>
      <c r="L274" s="79"/>
      <c r="M274" s="79"/>
    </row>
    <row r="275" spans="1:13" ht="15.75" hidden="1" customHeight="1">
      <c r="A275" s="79"/>
      <c r="B275" s="160"/>
      <c r="C275" s="160"/>
      <c r="D275" s="160"/>
      <c r="E275" s="161" t="s">
        <v>223</v>
      </c>
      <c r="F275" s="161"/>
      <c r="G275" s="162">
        <v>0</v>
      </c>
      <c r="H275" s="79"/>
      <c r="I275" s="79"/>
      <c r="J275" s="79"/>
      <c r="K275" s="79"/>
      <c r="L275" s="79"/>
      <c r="M275" s="79"/>
    </row>
    <row r="276" spans="1:13" ht="15.75" hidden="1" customHeight="1">
      <c r="A276" s="79"/>
      <c r="B276" s="155">
        <v>45841</v>
      </c>
      <c r="C276" s="156">
        <v>0</v>
      </c>
      <c r="D276" s="156">
        <v>13105</v>
      </c>
      <c r="E276" s="157" t="s">
        <v>31</v>
      </c>
      <c r="F276" s="158">
        <v>70333</v>
      </c>
      <c r="G276" s="172">
        <v>375.47</v>
      </c>
      <c r="H276" s="79"/>
      <c r="I276" s="79"/>
      <c r="J276" s="79"/>
      <c r="K276" s="79"/>
      <c r="L276" s="79"/>
      <c r="M276" s="79"/>
    </row>
    <row r="277" spans="1:13" ht="15.75" hidden="1" customHeight="1">
      <c r="A277" s="79"/>
      <c r="B277" s="160"/>
      <c r="C277" s="160"/>
      <c r="D277" s="160"/>
      <c r="E277" s="161" t="s">
        <v>46</v>
      </c>
      <c r="F277" s="161"/>
      <c r="G277" s="162">
        <v>0</v>
      </c>
      <c r="H277" s="79"/>
      <c r="I277" s="79"/>
      <c r="J277" s="79"/>
      <c r="K277" s="79"/>
      <c r="L277" s="79"/>
      <c r="M277" s="79"/>
    </row>
    <row r="278" spans="1:13" ht="15.75" hidden="1" customHeight="1">
      <c r="A278" s="79"/>
      <c r="B278" s="155">
        <v>45841</v>
      </c>
      <c r="C278" s="156">
        <v>0</v>
      </c>
      <c r="D278" s="156">
        <v>13105</v>
      </c>
      <c r="E278" s="157" t="s">
        <v>31</v>
      </c>
      <c r="F278" s="158">
        <v>70334</v>
      </c>
      <c r="G278" s="172">
        <v>112.16</v>
      </c>
      <c r="H278" s="79"/>
      <c r="I278" s="79"/>
      <c r="J278" s="79"/>
      <c r="K278" s="79"/>
      <c r="L278" s="79"/>
      <c r="M278" s="79"/>
    </row>
    <row r="279" spans="1:13" ht="15.75" hidden="1" customHeight="1">
      <c r="A279" s="79"/>
      <c r="B279" s="160"/>
      <c r="C279" s="160"/>
      <c r="D279" s="160"/>
      <c r="E279" s="161" t="s">
        <v>46</v>
      </c>
      <c r="F279" s="161"/>
      <c r="G279" s="162">
        <v>0</v>
      </c>
      <c r="H279" s="79"/>
      <c r="I279" s="79"/>
      <c r="J279" s="79"/>
      <c r="K279" s="79"/>
      <c r="L279" s="79"/>
      <c r="M279" s="79"/>
    </row>
    <row r="280" spans="1:13" ht="15.75" hidden="1" customHeight="1">
      <c r="A280" s="79"/>
      <c r="B280" s="155">
        <v>45841</v>
      </c>
      <c r="C280" s="156">
        <v>0</v>
      </c>
      <c r="D280" s="156">
        <v>13105</v>
      </c>
      <c r="E280" s="157" t="s">
        <v>31</v>
      </c>
      <c r="F280" s="158">
        <v>70335</v>
      </c>
      <c r="G280" s="172">
        <v>342.08</v>
      </c>
      <c r="H280" s="79"/>
      <c r="I280" s="79"/>
      <c r="J280" s="79"/>
      <c r="K280" s="79"/>
      <c r="L280" s="79"/>
      <c r="M280" s="79"/>
    </row>
    <row r="281" spans="1:13" ht="15.75" hidden="1" customHeight="1">
      <c r="A281" s="79"/>
      <c r="B281" s="160"/>
      <c r="C281" s="160"/>
      <c r="D281" s="160"/>
      <c r="E281" s="161" t="s">
        <v>46</v>
      </c>
      <c r="F281" s="161"/>
      <c r="G281" s="162">
        <v>0</v>
      </c>
      <c r="H281" s="79"/>
      <c r="I281" s="79"/>
      <c r="J281" s="79"/>
      <c r="K281" s="79"/>
      <c r="L281" s="79"/>
      <c r="M281" s="79"/>
    </row>
    <row r="282" spans="1:13" ht="15.75" hidden="1" customHeight="1">
      <c r="A282" s="79"/>
      <c r="B282" s="155">
        <v>45841</v>
      </c>
      <c r="C282" s="156">
        <v>0</v>
      </c>
      <c r="D282" s="156">
        <v>13105</v>
      </c>
      <c r="E282" s="157" t="s">
        <v>31</v>
      </c>
      <c r="F282" s="158">
        <v>70336</v>
      </c>
      <c r="G282" s="172">
        <v>676.88</v>
      </c>
      <c r="H282" s="79"/>
      <c r="I282" s="79"/>
      <c r="J282" s="79"/>
      <c r="K282" s="79"/>
      <c r="L282" s="79"/>
      <c r="M282" s="79"/>
    </row>
    <row r="283" spans="1:13" ht="15.75" hidden="1" customHeight="1">
      <c r="A283" s="79"/>
      <c r="B283" s="160"/>
      <c r="C283" s="160"/>
      <c r="D283" s="160"/>
      <c r="E283" s="161" t="s">
        <v>46</v>
      </c>
      <c r="F283" s="161"/>
      <c r="G283" s="162">
        <v>0</v>
      </c>
      <c r="H283" s="79"/>
      <c r="I283" s="79"/>
      <c r="J283" s="79"/>
      <c r="K283" s="79"/>
      <c r="L283" s="79"/>
      <c r="M283" s="79"/>
    </row>
    <row r="284" spans="1:13" ht="15.75" hidden="1" customHeight="1">
      <c r="A284" s="79"/>
      <c r="B284" s="155">
        <v>45841</v>
      </c>
      <c r="C284" s="156">
        <v>0</v>
      </c>
      <c r="D284" s="156">
        <v>13105</v>
      </c>
      <c r="E284" s="157" t="s">
        <v>31</v>
      </c>
      <c r="F284" s="158">
        <v>70337</v>
      </c>
      <c r="G284" s="172">
        <v>287.52999999999997</v>
      </c>
      <c r="H284" s="79"/>
      <c r="I284" s="79"/>
      <c r="J284" s="79"/>
      <c r="K284" s="79"/>
      <c r="L284" s="79"/>
      <c r="M284" s="79"/>
    </row>
    <row r="285" spans="1:13" ht="15.75" hidden="1" customHeight="1">
      <c r="A285" s="79"/>
      <c r="B285" s="160"/>
      <c r="C285" s="160"/>
      <c r="D285" s="160"/>
      <c r="E285" s="161" t="s">
        <v>231</v>
      </c>
      <c r="F285" s="161"/>
      <c r="G285" s="162">
        <v>0</v>
      </c>
      <c r="H285" s="79"/>
      <c r="I285" s="79"/>
      <c r="J285" s="79"/>
      <c r="K285" s="79"/>
      <c r="L285" s="79"/>
      <c r="M285" s="79"/>
    </row>
    <row r="286" spans="1:13" ht="15.75" hidden="1" customHeight="1">
      <c r="A286" s="79"/>
      <c r="B286" s="155">
        <v>45841</v>
      </c>
      <c r="C286" s="156">
        <v>0</v>
      </c>
      <c r="D286" s="156">
        <v>13105</v>
      </c>
      <c r="E286" s="157" t="s">
        <v>31</v>
      </c>
      <c r="F286" s="158">
        <v>70338</v>
      </c>
      <c r="G286" s="172">
        <v>240.44</v>
      </c>
      <c r="H286" s="79"/>
      <c r="I286" s="79"/>
      <c r="J286" s="79"/>
      <c r="K286" s="79"/>
      <c r="L286" s="79"/>
      <c r="M286" s="79"/>
    </row>
    <row r="287" spans="1:13" ht="15.75" hidden="1" customHeight="1">
      <c r="A287" s="79"/>
      <c r="B287" s="160"/>
      <c r="C287" s="160"/>
      <c r="D287" s="160"/>
      <c r="E287" s="161" t="s">
        <v>111</v>
      </c>
      <c r="F287" s="161"/>
      <c r="G287" s="162">
        <v>0</v>
      </c>
      <c r="H287" s="79"/>
      <c r="I287" s="79"/>
      <c r="J287" s="79"/>
      <c r="K287" s="79"/>
      <c r="L287" s="79"/>
      <c r="M287" s="79"/>
    </row>
    <row r="288" spans="1:13" ht="15.75" hidden="1" customHeight="1">
      <c r="A288" s="79"/>
      <c r="B288" s="155">
        <v>45841</v>
      </c>
      <c r="C288" s="156">
        <v>0</v>
      </c>
      <c r="D288" s="156">
        <v>13105</v>
      </c>
      <c r="E288" s="157" t="s">
        <v>31</v>
      </c>
      <c r="F288" s="158">
        <v>70339</v>
      </c>
      <c r="G288" s="172">
        <v>190.28</v>
      </c>
      <c r="H288" s="79"/>
      <c r="I288" s="79"/>
      <c r="J288" s="79"/>
      <c r="K288" s="79"/>
      <c r="L288" s="79"/>
      <c r="M288" s="79"/>
    </row>
    <row r="289" spans="1:13" ht="15.75" hidden="1" customHeight="1">
      <c r="A289" s="79"/>
      <c r="B289" s="160"/>
      <c r="C289" s="160"/>
      <c r="D289" s="160"/>
      <c r="E289" s="161" t="s">
        <v>755</v>
      </c>
      <c r="F289" s="161"/>
      <c r="G289" s="162">
        <v>0</v>
      </c>
      <c r="H289" s="79"/>
      <c r="I289" s="79"/>
      <c r="J289" s="79"/>
      <c r="K289" s="79"/>
      <c r="L289" s="79"/>
      <c r="M289" s="79"/>
    </row>
    <row r="290" spans="1:13" ht="15.75" hidden="1" customHeight="1">
      <c r="A290" s="79"/>
      <c r="B290" s="155">
        <v>45841</v>
      </c>
      <c r="C290" s="156">
        <v>0</v>
      </c>
      <c r="D290" s="156">
        <v>13105</v>
      </c>
      <c r="E290" s="157" t="s">
        <v>31</v>
      </c>
      <c r="F290" s="158">
        <v>70340</v>
      </c>
      <c r="G290" s="172">
        <v>718.31</v>
      </c>
      <c r="H290" s="79"/>
      <c r="I290" s="79"/>
      <c r="J290" s="79"/>
      <c r="K290" s="79"/>
      <c r="L290" s="79"/>
      <c r="M290" s="79"/>
    </row>
    <row r="291" spans="1:13" ht="15.75" hidden="1" customHeight="1">
      <c r="A291" s="79"/>
      <c r="B291" s="160"/>
      <c r="C291" s="160"/>
      <c r="D291" s="160"/>
      <c r="E291" s="161" t="s">
        <v>111</v>
      </c>
      <c r="F291" s="161"/>
      <c r="G291" s="162">
        <v>0</v>
      </c>
      <c r="H291" s="79"/>
      <c r="I291" s="79"/>
      <c r="J291" s="79"/>
      <c r="K291" s="79"/>
      <c r="L291" s="79"/>
      <c r="M291" s="79"/>
    </row>
    <row r="292" spans="1:13" ht="15.75" hidden="1" customHeight="1">
      <c r="A292" s="79"/>
      <c r="B292" s="155">
        <v>45841</v>
      </c>
      <c r="C292" s="156">
        <v>0</v>
      </c>
      <c r="D292" s="156">
        <v>13105</v>
      </c>
      <c r="E292" s="157" t="s">
        <v>31</v>
      </c>
      <c r="F292" s="158">
        <v>70341</v>
      </c>
      <c r="G292" s="172">
        <v>246.43</v>
      </c>
      <c r="H292" s="79"/>
      <c r="I292" s="79"/>
      <c r="J292" s="79"/>
      <c r="K292" s="79"/>
      <c r="L292" s="79"/>
      <c r="M292" s="79"/>
    </row>
    <row r="293" spans="1:13" ht="15.75" hidden="1" customHeight="1">
      <c r="A293" s="79"/>
      <c r="B293" s="160"/>
      <c r="C293" s="160"/>
      <c r="D293" s="160"/>
      <c r="E293" s="161" t="s">
        <v>755</v>
      </c>
      <c r="F293" s="161"/>
      <c r="G293" s="162">
        <v>0</v>
      </c>
      <c r="H293" s="79"/>
      <c r="I293" s="79"/>
      <c r="J293" s="79"/>
      <c r="K293" s="79"/>
      <c r="L293" s="79"/>
      <c r="M293" s="79"/>
    </row>
    <row r="294" spans="1:13" ht="15.75" hidden="1" customHeight="1">
      <c r="A294" s="79"/>
      <c r="B294" s="155">
        <v>45841</v>
      </c>
      <c r="C294" s="156">
        <v>0</v>
      </c>
      <c r="D294" s="156">
        <v>13105</v>
      </c>
      <c r="E294" s="157" t="s">
        <v>31</v>
      </c>
      <c r="F294" s="158">
        <v>70342</v>
      </c>
      <c r="G294" s="172">
        <v>321.85000000000002</v>
      </c>
      <c r="H294" s="79"/>
      <c r="I294" s="79"/>
      <c r="J294" s="79"/>
      <c r="K294" s="79"/>
      <c r="L294" s="79"/>
      <c r="M294" s="79"/>
    </row>
    <row r="295" spans="1:13" ht="15.75" hidden="1" customHeight="1">
      <c r="A295" s="79"/>
      <c r="B295" s="160"/>
      <c r="C295" s="160"/>
      <c r="D295" s="160"/>
      <c r="E295" s="161" t="s">
        <v>755</v>
      </c>
      <c r="F295" s="161"/>
      <c r="G295" s="162">
        <v>0</v>
      </c>
      <c r="H295" s="79"/>
      <c r="I295" s="79"/>
      <c r="J295" s="79"/>
      <c r="K295" s="79"/>
      <c r="L295" s="79"/>
      <c r="M295" s="79"/>
    </row>
    <row r="296" spans="1:13" ht="15.75" hidden="1" customHeight="1">
      <c r="A296" s="79"/>
      <c r="B296" s="155">
        <v>45841</v>
      </c>
      <c r="C296" s="156">
        <v>0</v>
      </c>
      <c r="D296" s="156">
        <v>13105</v>
      </c>
      <c r="E296" s="157" t="s">
        <v>31</v>
      </c>
      <c r="F296" s="158">
        <v>70343</v>
      </c>
      <c r="G296" s="172">
        <v>352.62</v>
      </c>
      <c r="H296" s="79"/>
      <c r="I296" s="79"/>
      <c r="J296" s="79"/>
      <c r="K296" s="79"/>
      <c r="L296" s="79"/>
      <c r="M296" s="79"/>
    </row>
    <row r="297" spans="1:13" ht="15.75" hidden="1" customHeight="1">
      <c r="A297" s="79"/>
      <c r="B297" s="160"/>
      <c r="C297" s="160"/>
      <c r="D297" s="160"/>
      <c r="E297" s="161" t="s">
        <v>111</v>
      </c>
      <c r="F297" s="161"/>
      <c r="G297" s="162">
        <v>0</v>
      </c>
      <c r="H297" s="79"/>
      <c r="I297" s="79"/>
      <c r="J297" s="79"/>
      <c r="K297" s="79"/>
      <c r="L297" s="79"/>
      <c r="M297" s="79"/>
    </row>
    <row r="298" spans="1:13" ht="15.75" hidden="1" customHeight="1">
      <c r="A298" s="79"/>
      <c r="B298" s="155">
        <v>45841</v>
      </c>
      <c r="C298" s="156">
        <v>0</v>
      </c>
      <c r="D298" s="156">
        <v>13105</v>
      </c>
      <c r="E298" s="157" t="s">
        <v>31</v>
      </c>
      <c r="F298" s="158">
        <v>70344</v>
      </c>
      <c r="G298" s="172">
        <v>163.68</v>
      </c>
      <c r="H298" s="79"/>
      <c r="I298" s="79"/>
      <c r="J298" s="79"/>
      <c r="K298" s="79"/>
      <c r="L298" s="79"/>
      <c r="M298" s="79"/>
    </row>
    <row r="299" spans="1:13" ht="15.75" hidden="1" customHeight="1">
      <c r="A299" s="79"/>
      <c r="B299" s="160"/>
      <c r="C299" s="160"/>
      <c r="D299" s="160"/>
      <c r="E299" s="161" t="s">
        <v>755</v>
      </c>
      <c r="F299" s="161"/>
      <c r="G299" s="162">
        <v>0</v>
      </c>
      <c r="H299" s="79"/>
      <c r="I299" s="79"/>
      <c r="J299" s="79"/>
      <c r="K299" s="79"/>
      <c r="L299" s="79"/>
      <c r="M299" s="79"/>
    </row>
    <row r="300" spans="1:13" ht="15.75" hidden="1" customHeight="1">
      <c r="A300" s="79"/>
      <c r="B300" s="155">
        <v>45841</v>
      </c>
      <c r="C300" s="156">
        <v>0</v>
      </c>
      <c r="D300" s="156">
        <v>13105</v>
      </c>
      <c r="E300" s="157" t="s">
        <v>31</v>
      </c>
      <c r="F300" s="158">
        <v>70345</v>
      </c>
      <c r="G300" s="172">
        <v>386.59</v>
      </c>
      <c r="H300" s="79"/>
      <c r="I300" s="79"/>
      <c r="J300" s="79"/>
      <c r="K300" s="79"/>
      <c r="L300" s="79"/>
      <c r="M300" s="79"/>
    </row>
    <row r="301" spans="1:13" ht="15.75" hidden="1" customHeight="1">
      <c r="A301" s="79"/>
      <c r="B301" s="160"/>
      <c r="C301" s="160"/>
      <c r="D301" s="160"/>
      <c r="E301" s="161" t="s">
        <v>110</v>
      </c>
      <c r="F301" s="161"/>
      <c r="G301" s="162">
        <v>0</v>
      </c>
      <c r="H301" s="79"/>
      <c r="I301" s="79"/>
      <c r="J301" s="79"/>
      <c r="K301" s="79"/>
      <c r="L301" s="79"/>
      <c r="M301" s="79"/>
    </row>
    <row r="302" spans="1:13" ht="15.75" hidden="1" customHeight="1">
      <c r="A302" s="79"/>
      <c r="B302" s="155">
        <v>45841</v>
      </c>
      <c r="C302" s="156">
        <v>0</v>
      </c>
      <c r="D302" s="156">
        <v>0</v>
      </c>
      <c r="E302" s="157" t="s">
        <v>52</v>
      </c>
      <c r="F302" s="158">
        <v>9903</v>
      </c>
      <c r="G302" s="159">
        <v>12469.63</v>
      </c>
      <c r="H302" s="79"/>
      <c r="I302" s="79"/>
      <c r="J302" s="79"/>
      <c r="K302" s="79"/>
      <c r="L302" s="79"/>
      <c r="M302" s="79"/>
    </row>
    <row r="303" spans="1:13" ht="15.75" hidden="1" customHeight="1">
      <c r="A303" s="79"/>
      <c r="B303" s="160"/>
      <c r="C303" s="160"/>
      <c r="D303" s="160"/>
      <c r="E303" s="161" t="s">
        <v>53</v>
      </c>
      <c r="F303" s="161"/>
      <c r="G303" s="162">
        <v>0</v>
      </c>
      <c r="H303" s="79"/>
      <c r="I303" s="79"/>
      <c r="J303" s="79"/>
      <c r="K303" s="79"/>
      <c r="L303" s="79"/>
      <c r="M303" s="79"/>
    </row>
    <row r="304" spans="1:13" ht="15.75" customHeight="1">
      <c r="A304" s="173" t="s">
        <v>423</v>
      </c>
      <c r="B304" s="166">
        <v>45842</v>
      </c>
      <c r="C304" s="167">
        <v>0</v>
      </c>
      <c r="D304" s="167">
        <v>14056</v>
      </c>
      <c r="E304" s="168" t="s">
        <v>257</v>
      </c>
      <c r="F304" s="169">
        <v>3164661000000</v>
      </c>
      <c r="G304" s="170">
        <v>3488.68</v>
      </c>
      <c r="H304" s="174">
        <v>3729</v>
      </c>
      <c r="I304" s="100" t="s">
        <v>868</v>
      </c>
      <c r="J304" s="79" t="s">
        <v>869</v>
      </c>
      <c r="K304" s="79"/>
      <c r="L304" s="79"/>
      <c r="M304" s="79"/>
    </row>
    <row r="305" spans="1:13" ht="15.75" hidden="1" customHeight="1">
      <c r="A305" s="79"/>
      <c r="B305" s="160"/>
      <c r="C305" s="160"/>
      <c r="D305" s="160"/>
      <c r="E305" s="161" t="s">
        <v>259</v>
      </c>
      <c r="F305" s="161"/>
      <c r="G305" s="162">
        <v>0</v>
      </c>
      <c r="H305" s="79"/>
      <c r="I305" s="79"/>
      <c r="J305" s="79"/>
      <c r="K305" s="79"/>
      <c r="L305" s="79"/>
      <c r="M305" s="79"/>
    </row>
    <row r="306" spans="1:13" ht="15.75" customHeight="1">
      <c r="A306" s="173" t="s">
        <v>423</v>
      </c>
      <c r="B306" s="166">
        <v>45842</v>
      </c>
      <c r="C306" s="167">
        <v>0</v>
      </c>
      <c r="D306" s="167">
        <v>14056</v>
      </c>
      <c r="E306" s="168" t="s">
        <v>257</v>
      </c>
      <c r="F306" s="169">
        <v>3165458000000</v>
      </c>
      <c r="G306" s="170">
        <v>6153.1</v>
      </c>
      <c r="H306" s="174">
        <v>3584</v>
      </c>
      <c r="I306" s="100" t="s">
        <v>868</v>
      </c>
      <c r="J306" s="79" t="s">
        <v>869</v>
      </c>
      <c r="K306" s="79"/>
      <c r="L306" s="79"/>
      <c r="M306" s="79"/>
    </row>
    <row r="307" spans="1:13" ht="15.75" hidden="1" customHeight="1">
      <c r="A307" s="79"/>
      <c r="B307" s="160"/>
      <c r="C307" s="160"/>
      <c r="D307" s="160"/>
      <c r="E307" s="161" t="s">
        <v>259</v>
      </c>
      <c r="F307" s="161"/>
      <c r="G307" s="162">
        <v>0</v>
      </c>
      <c r="H307" s="79"/>
      <c r="I307" s="79"/>
      <c r="J307" s="79"/>
      <c r="K307" s="79"/>
      <c r="L307" s="79"/>
      <c r="M307" s="79"/>
    </row>
    <row r="308" spans="1:13" ht="15.75" customHeight="1">
      <c r="A308" s="163" t="s">
        <v>140</v>
      </c>
      <c r="B308" s="155">
        <v>45842</v>
      </c>
      <c r="C308" s="156">
        <v>0</v>
      </c>
      <c r="D308" s="156">
        <v>14138</v>
      </c>
      <c r="E308" s="157" t="s">
        <v>141</v>
      </c>
      <c r="F308" s="158">
        <v>202507030021553</v>
      </c>
      <c r="G308" s="159">
        <v>609.28</v>
      </c>
      <c r="H308" s="79" t="s">
        <v>870</v>
      </c>
      <c r="I308" s="79" t="s">
        <v>419</v>
      </c>
      <c r="J308" s="79"/>
      <c r="K308" s="79"/>
      <c r="L308" s="79"/>
      <c r="M308" s="79"/>
    </row>
    <row r="309" spans="1:13" ht="15.75" hidden="1" customHeight="1">
      <c r="A309" s="79"/>
      <c r="B309" s="160"/>
      <c r="C309" s="160"/>
      <c r="D309" s="160"/>
      <c r="E309" s="161" t="s">
        <v>143</v>
      </c>
      <c r="F309" s="161"/>
      <c r="G309" s="162">
        <v>0</v>
      </c>
      <c r="H309" s="79"/>
      <c r="I309" s="79"/>
      <c r="J309" s="79"/>
      <c r="K309" s="79"/>
      <c r="L309" s="79"/>
      <c r="M309" s="79"/>
    </row>
    <row r="310" spans="1:13" ht="15.75" customHeight="1">
      <c r="A310" s="163" t="s">
        <v>140</v>
      </c>
      <c r="B310" s="155">
        <v>45842</v>
      </c>
      <c r="C310" s="156">
        <v>0</v>
      </c>
      <c r="D310" s="156">
        <v>14138</v>
      </c>
      <c r="E310" s="157" t="s">
        <v>141</v>
      </c>
      <c r="F310" s="158">
        <v>202507030021574</v>
      </c>
      <c r="G310" s="159">
        <v>1095.8499999999999</v>
      </c>
      <c r="H310" s="79" t="s">
        <v>871</v>
      </c>
      <c r="I310" s="79" t="s">
        <v>595</v>
      </c>
      <c r="J310" s="79"/>
      <c r="K310" s="79"/>
      <c r="L310" s="79"/>
      <c r="M310" s="79"/>
    </row>
    <row r="311" spans="1:13" ht="15.75" hidden="1" customHeight="1">
      <c r="A311" s="79"/>
      <c r="B311" s="160"/>
      <c r="C311" s="160"/>
      <c r="D311" s="160"/>
      <c r="E311" s="161" t="s">
        <v>143</v>
      </c>
      <c r="F311" s="161"/>
      <c r="G311" s="162">
        <v>0</v>
      </c>
      <c r="H311" s="79"/>
      <c r="I311" s="79"/>
      <c r="J311" s="79"/>
      <c r="K311" s="79"/>
      <c r="L311" s="79"/>
      <c r="M311" s="79"/>
    </row>
    <row r="312" spans="1:13" ht="15.75" customHeight="1">
      <c r="A312" s="163" t="s">
        <v>140</v>
      </c>
      <c r="B312" s="155">
        <v>45842</v>
      </c>
      <c r="C312" s="156">
        <v>0</v>
      </c>
      <c r="D312" s="156">
        <v>14138</v>
      </c>
      <c r="E312" s="157" t="s">
        <v>141</v>
      </c>
      <c r="F312" s="158">
        <v>202507030021580</v>
      </c>
      <c r="G312" s="159">
        <v>2983.03</v>
      </c>
      <c r="H312" s="79" t="s">
        <v>872</v>
      </c>
      <c r="I312" s="79" t="s">
        <v>595</v>
      </c>
      <c r="J312" s="79"/>
      <c r="K312" s="79"/>
      <c r="L312" s="79"/>
      <c r="M312" s="79"/>
    </row>
    <row r="313" spans="1:13" ht="15.75" hidden="1" customHeight="1">
      <c r="A313" s="79"/>
      <c r="B313" s="160"/>
      <c r="C313" s="160"/>
      <c r="D313" s="160"/>
      <c r="E313" s="161" t="s">
        <v>143</v>
      </c>
      <c r="F313" s="161"/>
      <c r="G313" s="162">
        <v>0</v>
      </c>
      <c r="H313" s="79"/>
      <c r="I313" s="79"/>
      <c r="J313" s="79"/>
      <c r="K313" s="79"/>
      <c r="L313" s="79"/>
      <c r="M313" s="79"/>
    </row>
    <row r="314" spans="1:13" ht="15.75" hidden="1" customHeight="1">
      <c r="A314" s="79"/>
      <c r="B314" s="155">
        <v>45842</v>
      </c>
      <c r="C314" s="156">
        <v>1533</v>
      </c>
      <c r="D314" s="156">
        <v>99008</v>
      </c>
      <c r="E314" s="157" t="s">
        <v>29</v>
      </c>
      <c r="F314" s="158">
        <v>424432</v>
      </c>
      <c r="G314" s="172">
        <v>243.37</v>
      </c>
      <c r="H314" s="79"/>
      <c r="I314" s="79"/>
      <c r="J314" s="79"/>
      <c r="K314" s="79"/>
      <c r="L314" s="79"/>
      <c r="M314" s="79"/>
    </row>
    <row r="315" spans="1:13" ht="15.75" hidden="1" customHeight="1">
      <c r="A315" s="79"/>
      <c r="B315" s="160"/>
      <c r="C315" s="160"/>
      <c r="D315" s="160"/>
      <c r="E315" s="161" t="s">
        <v>873</v>
      </c>
      <c r="F315" s="161"/>
      <c r="G315" s="162">
        <v>0</v>
      </c>
      <c r="H315" s="79"/>
      <c r="I315" s="79"/>
      <c r="J315" s="79"/>
      <c r="K315" s="79"/>
      <c r="L315" s="79"/>
      <c r="M315" s="79"/>
    </row>
    <row r="316" spans="1:13" ht="15.75" hidden="1" customHeight="1">
      <c r="A316" s="79"/>
      <c r="B316" s="155">
        <v>45842</v>
      </c>
      <c r="C316" s="156">
        <v>0</v>
      </c>
      <c r="D316" s="156">
        <v>0</v>
      </c>
      <c r="E316" s="157" t="s">
        <v>59</v>
      </c>
      <c r="F316" s="158">
        <v>9903</v>
      </c>
      <c r="G316" s="172">
        <v>14086.57</v>
      </c>
      <c r="H316" s="79"/>
      <c r="I316" s="79"/>
      <c r="J316" s="79"/>
      <c r="K316" s="79"/>
      <c r="L316" s="79"/>
      <c r="M316" s="79"/>
    </row>
    <row r="317" spans="1:13" ht="15.75" hidden="1" customHeight="1">
      <c r="A317" s="79"/>
      <c r="B317" s="160"/>
      <c r="C317" s="160"/>
      <c r="D317" s="160"/>
      <c r="E317" s="161" t="s">
        <v>53</v>
      </c>
      <c r="F317" s="161"/>
      <c r="G317" s="162">
        <v>0</v>
      </c>
      <c r="H317" s="79"/>
      <c r="I317" s="79"/>
      <c r="J317" s="79"/>
      <c r="K317" s="79"/>
      <c r="L317" s="79"/>
      <c r="M317" s="79"/>
    </row>
    <row r="318" spans="1:13" ht="15.75" hidden="1" customHeight="1">
      <c r="A318" s="79"/>
      <c r="B318" s="155">
        <v>45845</v>
      </c>
      <c r="C318" s="156">
        <v>3525</v>
      </c>
      <c r="D318" s="156">
        <v>99021</v>
      </c>
      <c r="E318" s="157" t="s">
        <v>27</v>
      </c>
      <c r="F318" s="158">
        <v>613525000032047</v>
      </c>
      <c r="G318" s="159">
        <v>957.29</v>
      </c>
      <c r="H318" s="79"/>
      <c r="I318" s="79"/>
      <c r="J318" s="79"/>
      <c r="K318" s="79"/>
      <c r="L318" s="79"/>
      <c r="M318" s="79"/>
    </row>
    <row r="319" spans="1:13" ht="15.75" hidden="1" customHeight="1">
      <c r="A319" s="79"/>
      <c r="B319" s="160"/>
      <c r="C319" s="160"/>
      <c r="D319" s="160"/>
      <c r="E319" s="161" t="s">
        <v>874</v>
      </c>
      <c r="F319" s="161"/>
      <c r="G319" s="162">
        <v>0</v>
      </c>
      <c r="H319" s="79"/>
      <c r="I319" s="79"/>
      <c r="J319" s="79"/>
      <c r="K319" s="79"/>
      <c r="L319" s="79"/>
      <c r="M319" s="79"/>
    </row>
    <row r="320" spans="1:13" ht="15.75" hidden="1" customHeight="1">
      <c r="A320" s="79"/>
      <c r="B320" s="155">
        <v>45845</v>
      </c>
      <c r="C320" s="156">
        <v>0</v>
      </c>
      <c r="D320" s="156">
        <v>14397</v>
      </c>
      <c r="E320" s="157" t="s">
        <v>57</v>
      </c>
      <c r="F320" s="158">
        <v>71607445895111</v>
      </c>
      <c r="G320" s="159">
        <v>65.63</v>
      </c>
      <c r="H320" s="79"/>
      <c r="I320" s="79"/>
      <c r="J320" s="79"/>
      <c r="K320" s="79"/>
      <c r="L320" s="79"/>
      <c r="M320" s="79"/>
    </row>
    <row r="321" spans="1:13" ht="15.75" hidden="1" customHeight="1">
      <c r="A321" s="79"/>
      <c r="B321" s="160"/>
      <c r="C321" s="160"/>
      <c r="D321" s="160"/>
      <c r="E321" s="161" t="s">
        <v>875</v>
      </c>
      <c r="F321" s="161"/>
      <c r="G321" s="162">
        <v>0</v>
      </c>
      <c r="H321" s="79"/>
      <c r="I321" s="79"/>
      <c r="J321" s="79"/>
      <c r="K321" s="79"/>
      <c r="L321" s="79"/>
      <c r="M321" s="79"/>
    </row>
    <row r="322" spans="1:13" ht="15.75" hidden="1" customHeight="1">
      <c r="A322" s="79"/>
      <c r="B322" s="155">
        <v>45845</v>
      </c>
      <c r="C322" s="156">
        <v>1533</v>
      </c>
      <c r="D322" s="156">
        <v>99008</v>
      </c>
      <c r="E322" s="157" t="s">
        <v>29</v>
      </c>
      <c r="F322" s="158">
        <v>478654</v>
      </c>
      <c r="G322" s="172">
        <v>21.95</v>
      </c>
      <c r="H322" s="79"/>
      <c r="I322" s="79"/>
      <c r="J322" s="79"/>
      <c r="K322" s="79"/>
      <c r="L322" s="79"/>
      <c r="M322" s="79"/>
    </row>
    <row r="323" spans="1:13" ht="15.75" hidden="1" customHeight="1">
      <c r="A323" s="79"/>
      <c r="B323" s="160"/>
      <c r="C323" s="160"/>
      <c r="D323" s="160"/>
      <c r="E323" s="161" t="s">
        <v>876</v>
      </c>
      <c r="F323" s="161"/>
      <c r="G323" s="162">
        <v>0</v>
      </c>
      <c r="H323" s="79"/>
      <c r="I323" s="79"/>
      <c r="J323" s="79"/>
      <c r="K323" s="79"/>
      <c r="L323" s="79"/>
      <c r="M323" s="79"/>
    </row>
    <row r="324" spans="1:13" ht="15.75" hidden="1" customHeight="1">
      <c r="A324" s="79"/>
      <c r="B324" s="155">
        <v>45845</v>
      </c>
      <c r="C324" s="156">
        <v>0</v>
      </c>
      <c r="D324" s="156">
        <v>13105</v>
      </c>
      <c r="E324" s="157" t="s">
        <v>31</v>
      </c>
      <c r="F324" s="158">
        <v>70701</v>
      </c>
      <c r="G324" s="172">
        <v>496.4</v>
      </c>
      <c r="H324" s="79"/>
      <c r="I324" s="79"/>
      <c r="J324" s="79"/>
      <c r="K324" s="79"/>
      <c r="L324" s="79"/>
      <c r="M324" s="79"/>
    </row>
    <row r="325" spans="1:13" ht="15.75" hidden="1" customHeight="1">
      <c r="A325" s="79"/>
      <c r="B325" s="160"/>
      <c r="C325" s="160"/>
      <c r="D325" s="160"/>
      <c r="E325" s="161" t="s">
        <v>51</v>
      </c>
      <c r="F325" s="161"/>
      <c r="G325" s="162">
        <v>0</v>
      </c>
      <c r="H325" s="79"/>
      <c r="I325" s="79"/>
      <c r="J325" s="79"/>
      <c r="K325" s="79"/>
      <c r="L325" s="79"/>
      <c r="M325" s="79"/>
    </row>
    <row r="326" spans="1:13" ht="15.75" hidden="1" customHeight="1">
      <c r="A326" s="79"/>
      <c r="B326" s="155">
        <v>45845</v>
      </c>
      <c r="C326" s="156">
        <v>0</v>
      </c>
      <c r="D326" s="156">
        <v>13105</v>
      </c>
      <c r="E326" s="157" t="s">
        <v>31</v>
      </c>
      <c r="F326" s="158">
        <v>70702</v>
      </c>
      <c r="G326" s="172">
        <v>1271.6400000000001</v>
      </c>
      <c r="H326" s="79"/>
      <c r="I326" s="79"/>
      <c r="J326" s="79"/>
      <c r="K326" s="79"/>
      <c r="L326" s="79"/>
      <c r="M326" s="79"/>
    </row>
    <row r="327" spans="1:13" ht="15.75" hidden="1" customHeight="1">
      <c r="A327" s="79"/>
      <c r="B327" s="160"/>
      <c r="C327" s="160"/>
      <c r="D327" s="160"/>
      <c r="E327" s="161" t="s">
        <v>50</v>
      </c>
      <c r="F327" s="161"/>
      <c r="G327" s="162">
        <v>0</v>
      </c>
      <c r="H327" s="79"/>
      <c r="I327" s="79"/>
      <c r="J327" s="79"/>
      <c r="K327" s="79"/>
      <c r="L327" s="79"/>
      <c r="M327" s="79"/>
    </row>
    <row r="328" spans="1:13" ht="15.75" hidden="1" customHeight="1">
      <c r="A328" s="79"/>
      <c r="B328" s="155">
        <v>45845</v>
      </c>
      <c r="C328" s="156">
        <v>0</v>
      </c>
      <c r="D328" s="156">
        <v>13105</v>
      </c>
      <c r="E328" s="157" t="s">
        <v>31</v>
      </c>
      <c r="F328" s="158">
        <v>70703</v>
      </c>
      <c r="G328" s="172">
        <v>228.5</v>
      </c>
      <c r="H328" s="79"/>
      <c r="I328" s="79"/>
      <c r="J328" s="79"/>
      <c r="K328" s="79"/>
      <c r="L328" s="79"/>
      <c r="M328" s="79"/>
    </row>
    <row r="329" spans="1:13" ht="15.75" hidden="1" customHeight="1">
      <c r="A329" s="79"/>
      <c r="B329" s="160"/>
      <c r="C329" s="160"/>
      <c r="D329" s="160"/>
      <c r="E329" s="161" t="s">
        <v>51</v>
      </c>
      <c r="F329" s="161"/>
      <c r="G329" s="162">
        <v>0</v>
      </c>
      <c r="H329" s="79"/>
      <c r="I329" s="79"/>
      <c r="J329" s="79"/>
      <c r="K329" s="79"/>
      <c r="L329" s="79"/>
      <c r="M329" s="79"/>
    </row>
    <row r="330" spans="1:13" ht="15.75" hidden="1" customHeight="1">
      <c r="A330" s="79"/>
      <c r="B330" s="155">
        <v>45845</v>
      </c>
      <c r="C330" s="156">
        <v>0</v>
      </c>
      <c r="D330" s="156">
        <v>13105</v>
      </c>
      <c r="E330" s="157" t="s">
        <v>80</v>
      </c>
      <c r="F330" s="158">
        <v>70704</v>
      </c>
      <c r="G330" s="172">
        <v>273.7</v>
      </c>
      <c r="H330" s="79"/>
      <c r="I330" s="79"/>
      <c r="J330" s="79"/>
      <c r="K330" s="79"/>
      <c r="L330" s="79"/>
      <c r="M330" s="79"/>
    </row>
    <row r="331" spans="1:13" ht="15.75" hidden="1" customHeight="1">
      <c r="A331" s="79"/>
      <c r="B331" s="160"/>
      <c r="C331" s="160"/>
      <c r="D331" s="160"/>
      <c r="E331" s="161" t="s">
        <v>613</v>
      </c>
      <c r="F331" s="161"/>
      <c r="G331" s="162">
        <v>0</v>
      </c>
      <c r="H331" s="79"/>
      <c r="I331" s="79"/>
      <c r="J331" s="79"/>
      <c r="K331" s="79"/>
      <c r="L331" s="79"/>
      <c r="M331" s="79"/>
    </row>
    <row r="332" spans="1:13" ht="15.75" hidden="1" customHeight="1">
      <c r="A332" s="79"/>
      <c r="B332" s="155">
        <v>45845</v>
      </c>
      <c r="C332" s="156">
        <v>0</v>
      </c>
      <c r="D332" s="156">
        <v>13113</v>
      </c>
      <c r="E332" s="157" t="s">
        <v>72</v>
      </c>
      <c r="F332" s="158">
        <v>881881102713506</v>
      </c>
      <c r="G332" s="172">
        <v>75.400000000000006</v>
      </c>
      <c r="H332" s="79"/>
      <c r="I332" s="79"/>
      <c r="J332" s="79"/>
      <c r="K332" s="79"/>
      <c r="L332" s="79"/>
      <c r="M332" s="79"/>
    </row>
    <row r="333" spans="1:13" ht="15.75" hidden="1" customHeight="1">
      <c r="A333" s="79"/>
      <c r="B333" s="160"/>
      <c r="C333" s="160"/>
      <c r="D333" s="160"/>
      <c r="E333" s="161" t="s">
        <v>877</v>
      </c>
      <c r="F333" s="161"/>
      <c r="G333" s="162">
        <v>0</v>
      </c>
      <c r="H333" s="79"/>
      <c r="I333" s="79"/>
      <c r="J333" s="79"/>
      <c r="K333" s="79"/>
      <c r="L333" s="79"/>
      <c r="M333" s="79"/>
    </row>
    <row r="334" spans="1:13" ht="15.75" hidden="1" customHeight="1">
      <c r="A334" s="79"/>
      <c r="B334" s="155">
        <v>45845</v>
      </c>
      <c r="C334" s="156">
        <v>0</v>
      </c>
      <c r="D334" s="156">
        <v>0</v>
      </c>
      <c r="E334" s="157" t="s">
        <v>52</v>
      </c>
      <c r="F334" s="158">
        <v>9903</v>
      </c>
      <c r="G334" s="159">
        <v>1344.67</v>
      </c>
      <c r="H334" s="79"/>
      <c r="I334" s="79"/>
      <c r="J334" s="79"/>
      <c r="K334" s="79"/>
      <c r="L334" s="79"/>
      <c r="M334" s="79"/>
    </row>
    <row r="335" spans="1:13" ht="15.75" hidden="1" customHeight="1">
      <c r="A335" s="79"/>
      <c r="B335" s="160"/>
      <c r="C335" s="160"/>
      <c r="D335" s="160"/>
      <c r="E335" s="161" t="s">
        <v>53</v>
      </c>
      <c r="F335" s="161"/>
      <c r="G335" s="162">
        <v>0</v>
      </c>
      <c r="H335" s="79"/>
      <c r="I335" s="79"/>
      <c r="J335" s="79"/>
      <c r="K335" s="79"/>
      <c r="L335" s="79"/>
      <c r="M335" s="79"/>
    </row>
    <row r="336" spans="1:13" ht="15.75" hidden="1" customHeight="1">
      <c r="A336" s="79"/>
      <c r="B336" s="155">
        <v>45846</v>
      </c>
      <c r="C336" s="156">
        <v>5072</v>
      </c>
      <c r="D336" s="156">
        <v>99021</v>
      </c>
      <c r="E336" s="157" t="s">
        <v>27</v>
      </c>
      <c r="F336" s="158">
        <v>615072000004700</v>
      </c>
      <c r="G336" s="159">
        <v>1853.23</v>
      </c>
      <c r="H336" s="79"/>
      <c r="I336" s="79"/>
      <c r="J336" s="79"/>
      <c r="K336" s="79"/>
      <c r="L336" s="79"/>
      <c r="M336" s="79"/>
    </row>
    <row r="337" spans="1:13" ht="15.75" hidden="1" customHeight="1">
      <c r="A337" s="79"/>
      <c r="B337" s="160"/>
      <c r="C337" s="160"/>
      <c r="D337" s="160"/>
      <c r="E337" s="161" t="s">
        <v>878</v>
      </c>
      <c r="F337" s="161"/>
      <c r="G337" s="162">
        <v>0</v>
      </c>
      <c r="H337" s="79"/>
      <c r="I337" s="79"/>
      <c r="J337" s="79"/>
      <c r="K337" s="79"/>
      <c r="L337" s="79"/>
      <c r="M337" s="79"/>
    </row>
    <row r="338" spans="1:13" ht="15.75" hidden="1" customHeight="1">
      <c r="A338" s="79"/>
      <c r="B338" s="155">
        <v>45846</v>
      </c>
      <c r="C338" s="156">
        <v>0</v>
      </c>
      <c r="D338" s="156">
        <v>14175</v>
      </c>
      <c r="E338" s="157" t="s">
        <v>62</v>
      </c>
      <c r="F338" s="158">
        <v>33904757</v>
      </c>
      <c r="G338" s="159">
        <v>11424</v>
      </c>
      <c r="H338" s="79"/>
      <c r="I338" s="79"/>
      <c r="J338" s="79"/>
      <c r="K338" s="79"/>
      <c r="L338" s="79"/>
      <c r="M338" s="79"/>
    </row>
    <row r="339" spans="1:13" ht="15.75" hidden="1" customHeight="1">
      <c r="A339" s="79"/>
      <c r="B339" s="160"/>
      <c r="C339" s="160"/>
      <c r="D339" s="160"/>
      <c r="E339" s="161" t="s">
        <v>698</v>
      </c>
      <c r="F339" s="161"/>
      <c r="G339" s="162">
        <v>0</v>
      </c>
      <c r="H339" s="79"/>
      <c r="I339" s="79"/>
      <c r="J339" s="79"/>
      <c r="K339" s="79"/>
      <c r="L339" s="79"/>
      <c r="M339" s="79"/>
    </row>
    <row r="340" spans="1:13" ht="15.75" hidden="1" customHeight="1">
      <c r="A340" s="79"/>
      <c r="B340" s="155">
        <v>45846</v>
      </c>
      <c r="C340" s="156">
        <v>0</v>
      </c>
      <c r="D340" s="156">
        <v>14397</v>
      </c>
      <c r="E340" s="157" t="s">
        <v>57</v>
      </c>
      <c r="F340" s="158">
        <v>80912232670362</v>
      </c>
      <c r="G340" s="159">
        <v>22.47</v>
      </c>
      <c r="H340" s="79"/>
      <c r="I340" s="79"/>
      <c r="J340" s="79"/>
      <c r="K340" s="79"/>
      <c r="L340" s="79"/>
      <c r="M340" s="79"/>
    </row>
    <row r="341" spans="1:13" ht="15.75" hidden="1" customHeight="1">
      <c r="A341" s="79"/>
      <c r="B341" s="160"/>
      <c r="C341" s="160"/>
      <c r="D341" s="160"/>
      <c r="E341" s="161" t="s">
        <v>879</v>
      </c>
      <c r="F341" s="161"/>
      <c r="G341" s="162">
        <v>0</v>
      </c>
      <c r="H341" s="79"/>
      <c r="I341" s="79"/>
      <c r="J341" s="79"/>
      <c r="K341" s="79"/>
      <c r="L341" s="79"/>
      <c r="M341" s="79"/>
    </row>
    <row r="342" spans="1:13" ht="15.75" hidden="1" customHeight="1">
      <c r="A342" s="79"/>
      <c r="B342" s="155">
        <v>45846</v>
      </c>
      <c r="C342" s="156">
        <v>0</v>
      </c>
      <c r="D342" s="156">
        <v>14397</v>
      </c>
      <c r="E342" s="157" t="s">
        <v>57</v>
      </c>
      <c r="F342" s="158">
        <v>81232352436512</v>
      </c>
      <c r="G342" s="159">
        <v>1608.29</v>
      </c>
      <c r="H342" s="79"/>
      <c r="I342" s="79"/>
      <c r="J342" s="79"/>
      <c r="K342" s="79"/>
      <c r="L342" s="79"/>
      <c r="M342" s="79"/>
    </row>
    <row r="343" spans="1:13" ht="15.75" hidden="1" customHeight="1">
      <c r="A343" s="79"/>
      <c r="B343" s="160"/>
      <c r="C343" s="160"/>
      <c r="D343" s="160"/>
      <c r="E343" s="161" t="s">
        <v>880</v>
      </c>
      <c r="F343" s="161"/>
      <c r="G343" s="162">
        <v>0</v>
      </c>
      <c r="H343" s="79"/>
      <c r="I343" s="79"/>
      <c r="J343" s="79"/>
      <c r="K343" s="79"/>
      <c r="L343" s="79"/>
      <c r="M343" s="79"/>
    </row>
    <row r="344" spans="1:13" ht="15.75" customHeight="1">
      <c r="A344" s="163" t="s">
        <v>140</v>
      </c>
      <c r="B344" s="155">
        <v>45846</v>
      </c>
      <c r="C344" s="156">
        <v>0</v>
      </c>
      <c r="D344" s="156">
        <v>14138</v>
      </c>
      <c r="E344" s="157" t="s">
        <v>141</v>
      </c>
      <c r="F344" s="158">
        <v>202507070066400</v>
      </c>
      <c r="G344" s="159">
        <v>2043.18</v>
      </c>
      <c r="H344" s="79" t="s">
        <v>881</v>
      </c>
      <c r="I344" s="79" t="s">
        <v>428</v>
      </c>
      <c r="J344" s="79"/>
      <c r="K344" s="79"/>
      <c r="L344" s="79"/>
      <c r="M344" s="79"/>
    </row>
    <row r="345" spans="1:13" ht="15.75" hidden="1" customHeight="1">
      <c r="A345" s="79"/>
      <c r="B345" s="160"/>
      <c r="C345" s="160"/>
      <c r="D345" s="160"/>
      <c r="E345" s="161" t="s">
        <v>143</v>
      </c>
      <c r="F345" s="161"/>
      <c r="G345" s="162">
        <v>0</v>
      </c>
      <c r="H345" s="79"/>
      <c r="I345" s="79"/>
      <c r="J345" s="79"/>
      <c r="K345" s="79"/>
      <c r="L345" s="79"/>
      <c r="M345" s="79"/>
    </row>
    <row r="346" spans="1:13" ht="15.75" customHeight="1">
      <c r="A346" s="163" t="s">
        <v>140</v>
      </c>
      <c r="B346" s="155">
        <v>45846</v>
      </c>
      <c r="C346" s="156">
        <v>0</v>
      </c>
      <c r="D346" s="156">
        <v>14138</v>
      </c>
      <c r="E346" s="157" t="s">
        <v>141</v>
      </c>
      <c r="F346" s="158">
        <v>202507070066401</v>
      </c>
      <c r="G346" s="159">
        <v>1731.16</v>
      </c>
      <c r="H346" s="79" t="s">
        <v>882</v>
      </c>
      <c r="I346" s="79" t="s">
        <v>428</v>
      </c>
      <c r="J346" s="79"/>
      <c r="K346" s="79"/>
      <c r="L346" s="79"/>
      <c r="M346" s="79"/>
    </row>
    <row r="347" spans="1:13" ht="15.75" hidden="1" customHeight="1">
      <c r="A347" s="79"/>
      <c r="B347" s="160"/>
      <c r="C347" s="160"/>
      <c r="D347" s="160"/>
      <c r="E347" s="161" t="s">
        <v>143</v>
      </c>
      <c r="F347" s="161"/>
      <c r="G347" s="162">
        <v>0</v>
      </c>
      <c r="H347" s="79"/>
      <c r="I347" s="79"/>
      <c r="J347" s="79"/>
      <c r="K347" s="79"/>
      <c r="L347" s="79"/>
      <c r="M347" s="79"/>
    </row>
    <row r="348" spans="1:13" ht="15.75" customHeight="1">
      <c r="A348" s="163" t="s">
        <v>140</v>
      </c>
      <c r="B348" s="155">
        <v>45846</v>
      </c>
      <c r="C348" s="156">
        <v>0</v>
      </c>
      <c r="D348" s="156">
        <v>14138</v>
      </c>
      <c r="E348" s="157" t="s">
        <v>141</v>
      </c>
      <c r="F348" s="158">
        <v>202507070066404</v>
      </c>
      <c r="G348" s="159">
        <v>3520.04</v>
      </c>
      <c r="H348" s="79" t="s">
        <v>883</v>
      </c>
      <c r="I348" s="79" t="s">
        <v>428</v>
      </c>
      <c r="J348" s="79"/>
      <c r="K348" s="79"/>
      <c r="L348" s="79"/>
      <c r="M348" s="79"/>
    </row>
    <row r="349" spans="1:13" ht="15.75" hidden="1" customHeight="1">
      <c r="A349" s="79"/>
      <c r="B349" s="160"/>
      <c r="C349" s="160"/>
      <c r="D349" s="160"/>
      <c r="E349" s="161" t="s">
        <v>143</v>
      </c>
      <c r="F349" s="161"/>
      <c r="G349" s="162">
        <v>0</v>
      </c>
      <c r="H349" s="79"/>
      <c r="I349" s="79"/>
      <c r="J349" s="79"/>
      <c r="K349" s="79"/>
      <c r="L349" s="79"/>
      <c r="M349" s="79"/>
    </row>
    <row r="350" spans="1:13" ht="15.75" customHeight="1">
      <c r="A350" s="163" t="s">
        <v>140</v>
      </c>
      <c r="B350" s="155">
        <v>45846</v>
      </c>
      <c r="C350" s="156">
        <v>0</v>
      </c>
      <c r="D350" s="156">
        <v>14138</v>
      </c>
      <c r="E350" s="157" t="s">
        <v>141</v>
      </c>
      <c r="F350" s="158">
        <v>202507070066406</v>
      </c>
      <c r="G350" s="159">
        <v>4589.8500000000004</v>
      </c>
      <c r="H350" s="79" t="s">
        <v>884</v>
      </c>
      <c r="I350" s="79" t="s">
        <v>428</v>
      </c>
      <c r="J350" s="79"/>
      <c r="K350" s="79"/>
      <c r="L350" s="79"/>
      <c r="M350" s="79"/>
    </row>
    <row r="351" spans="1:13" ht="15.75" hidden="1" customHeight="1">
      <c r="A351" s="79"/>
      <c r="B351" s="160"/>
      <c r="C351" s="160"/>
      <c r="D351" s="160"/>
      <c r="E351" s="161" t="s">
        <v>143</v>
      </c>
      <c r="F351" s="161"/>
      <c r="G351" s="162">
        <v>0</v>
      </c>
      <c r="H351" s="79"/>
      <c r="I351" s="79"/>
      <c r="J351" s="79"/>
      <c r="K351" s="79"/>
      <c r="L351" s="79"/>
      <c r="M351" s="79"/>
    </row>
    <row r="352" spans="1:13" ht="15.75" hidden="1" customHeight="1">
      <c r="A352" s="79"/>
      <c r="B352" s="155">
        <v>45846</v>
      </c>
      <c r="C352" s="156">
        <v>1533</v>
      </c>
      <c r="D352" s="156">
        <v>99008</v>
      </c>
      <c r="E352" s="157" t="s">
        <v>29</v>
      </c>
      <c r="F352" s="158">
        <v>37018</v>
      </c>
      <c r="G352" s="172">
        <v>280.14</v>
      </c>
      <c r="H352" s="79"/>
      <c r="I352" s="79"/>
      <c r="J352" s="79"/>
      <c r="K352" s="79"/>
      <c r="L352" s="79"/>
      <c r="M352" s="79"/>
    </row>
    <row r="353" spans="1:13" ht="15.75" hidden="1" customHeight="1">
      <c r="A353" s="79"/>
      <c r="B353" s="160"/>
      <c r="C353" s="160"/>
      <c r="D353" s="160"/>
      <c r="E353" s="161" t="s">
        <v>885</v>
      </c>
      <c r="F353" s="161"/>
      <c r="G353" s="162">
        <v>0</v>
      </c>
      <c r="H353" s="79"/>
      <c r="I353" s="79"/>
      <c r="J353" s="79"/>
      <c r="K353" s="79"/>
      <c r="L353" s="79"/>
      <c r="M353" s="79"/>
    </row>
    <row r="354" spans="1:13" ht="15.75" hidden="1" customHeight="1">
      <c r="A354" s="79"/>
      <c r="B354" s="155">
        <v>45846</v>
      </c>
      <c r="C354" s="156">
        <v>0</v>
      </c>
      <c r="D354" s="156">
        <v>13105</v>
      </c>
      <c r="E354" s="157" t="s">
        <v>31</v>
      </c>
      <c r="F354" s="158">
        <v>70801</v>
      </c>
      <c r="G354" s="172">
        <v>233.56</v>
      </c>
      <c r="H354" s="79"/>
      <c r="I354" s="79"/>
      <c r="J354" s="79"/>
      <c r="K354" s="79"/>
      <c r="L354" s="79"/>
      <c r="M354" s="79"/>
    </row>
    <row r="355" spans="1:13" ht="15.75" hidden="1" customHeight="1">
      <c r="A355" s="79"/>
      <c r="B355" s="160"/>
      <c r="C355" s="160"/>
      <c r="D355" s="160"/>
      <c r="E355" s="161" t="s">
        <v>46</v>
      </c>
      <c r="F355" s="161"/>
      <c r="G355" s="162">
        <v>0</v>
      </c>
      <c r="H355" s="79"/>
      <c r="I355" s="79"/>
      <c r="J355" s="79"/>
      <c r="K355" s="79"/>
      <c r="L355" s="79"/>
      <c r="M355" s="79"/>
    </row>
    <row r="356" spans="1:13" ht="15.75" hidden="1" customHeight="1">
      <c r="A356" s="79"/>
      <c r="B356" s="155">
        <v>45846</v>
      </c>
      <c r="C356" s="156">
        <v>0</v>
      </c>
      <c r="D356" s="156">
        <v>13105</v>
      </c>
      <c r="E356" s="157" t="s">
        <v>80</v>
      </c>
      <c r="F356" s="158">
        <v>70802</v>
      </c>
      <c r="G356" s="172">
        <v>220.02</v>
      </c>
      <c r="H356" s="79"/>
      <c r="I356" s="79"/>
      <c r="J356" s="79"/>
      <c r="K356" s="79"/>
      <c r="L356" s="79"/>
      <c r="M356" s="79"/>
    </row>
    <row r="357" spans="1:13" ht="15.75" hidden="1" customHeight="1">
      <c r="A357" s="79"/>
      <c r="B357" s="160"/>
      <c r="C357" s="160"/>
      <c r="D357" s="160"/>
      <c r="E357" s="161" t="s">
        <v>613</v>
      </c>
      <c r="F357" s="161"/>
      <c r="G357" s="162">
        <v>0</v>
      </c>
      <c r="H357" s="79"/>
      <c r="I357" s="79"/>
      <c r="J357" s="79"/>
      <c r="K357" s="79"/>
      <c r="L357" s="79"/>
      <c r="M357" s="79"/>
    </row>
    <row r="358" spans="1:13" ht="15.75" hidden="1" customHeight="1">
      <c r="A358" s="79"/>
      <c r="B358" s="155">
        <v>45846</v>
      </c>
      <c r="C358" s="156">
        <v>0</v>
      </c>
      <c r="D358" s="156">
        <v>13105</v>
      </c>
      <c r="E358" s="157" t="s">
        <v>80</v>
      </c>
      <c r="F358" s="158">
        <v>70803</v>
      </c>
      <c r="G358" s="172">
        <v>220.02</v>
      </c>
      <c r="H358" s="79"/>
      <c r="I358" s="79"/>
      <c r="J358" s="79"/>
      <c r="K358" s="79"/>
      <c r="L358" s="79"/>
      <c r="M358" s="79"/>
    </row>
    <row r="359" spans="1:13" ht="15.75" hidden="1" customHeight="1">
      <c r="A359" s="79"/>
      <c r="B359" s="160"/>
      <c r="C359" s="160"/>
      <c r="D359" s="160"/>
      <c r="E359" s="161" t="s">
        <v>613</v>
      </c>
      <c r="F359" s="161"/>
      <c r="G359" s="162">
        <v>0</v>
      </c>
      <c r="H359" s="79"/>
      <c r="I359" s="79"/>
      <c r="J359" s="79"/>
      <c r="K359" s="79"/>
      <c r="L359" s="79"/>
      <c r="M359" s="79"/>
    </row>
    <row r="360" spans="1:13" ht="15.75" hidden="1" customHeight="1">
      <c r="A360" s="79"/>
      <c r="B360" s="155">
        <v>45846</v>
      </c>
      <c r="C360" s="156">
        <v>0</v>
      </c>
      <c r="D360" s="156">
        <v>13105</v>
      </c>
      <c r="E360" s="157" t="s">
        <v>80</v>
      </c>
      <c r="F360" s="158">
        <v>70804</v>
      </c>
      <c r="G360" s="172">
        <v>220.02</v>
      </c>
      <c r="H360" s="79"/>
      <c r="I360" s="79"/>
      <c r="J360" s="79"/>
      <c r="K360" s="79"/>
      <c r="L360" s="79"/>
      <c r="M360" s="79"/>
    </row>
    <row r="361" spans="1:13" ht="15.75" hidden="1" customHeight="1">
      <c r="A361" s="79"/>
      <c r="B361" s="160"/>
      <c r="C361" s="160"/>
      <c r="D361" s="160"/>
      <c r="E361" s="161" t="s">
        <v>613</v>
      </c>
      <c r="F361" s="161"/>
      <c r="G361" s="162">
        <v>0</v>
      </c>
      <c r="H361" s="79"/>
      <c r="I361" s="79"/>
      <c r="J361" s="79"/>
      <c r="K361" s="79"/>
      <c r="L361" s="79"/>
      <c r="M361" s="79"/>
    </row>
    <row r="362" spans="1:13" ht="15.75" hidden="1" customHeight="1">
      <c r="A362" s="79"/>
      <c r="B362" s="155">
        <v>45846</v>
      </c>
      <c r="C362" s="156">
        <v>0</v>
      </c>
      <c r="D362" s="156">
        <v>0</v>
      </c>
      <c r="E362" s="157" t="s">
        <v>59</v>
      </c>
      <c r="F362" s="158">
        <v>9903</v>
      </c>
      <c r="G362" s="172">
        <v>25618.46</v>
      </c>
      <c r="H362" s="79"/>
      <c r="I362" s="79"/>
      <c r="J362" s="79"/>
      <c r="K362" s="79"/>
      <c r="L362" s="79"/>
      <c r="M362" s="79"/>
    </row>
    <row r="363" spans="1:13" ht="15.75" hidden="1" customHeight="1">
      <c r="A363" s="79"/>
      <c r="B363" s="160"/>
      <c r="C363" s="160"/>
      <c r="D363" s="160"/>
      <c r="E363" s="161" t="s">
        <v>53</v>
      </c>
      <c r="F363" s="161"/>
      <c r="G363" s="162">
        <v>0</v>
      </c>
      <c r="H363" s="79"/>
      <c r="I363" s="79"/>
      <c r="J363" s="79"/>
      <c r="K363" s="79"/>
      <c r="L363" s="79"/>
      <c r="M363" s="79"/>
    </row>
    <row r="364" spans="1:13" ht="15.75" hidden="1" customHeight="1">
      <c r="A364" s="79"/>
      <c r="B364" s="155">
        <v>45847</v>
      </c>
      <c r="C364" s="156">
        <v>0</v>
      </c>
      <c r="D364" s="156">
        <v>14397</v>
      </c>
      <c r="E364" s="157" t="s">
        <v>57</v>
      </c>
      <c r="F364" s="158">
        <v>91213399050842</v>
      </c>
      <c r="G364" s="159">
        <v>6186.48</v>
      </c>
      <c r="H364" s="79"/>
      <c r="I364" s="79"/>
      <c r="J364" s="79"/>
      <c r="K364" s="79"/>
      <c r="L364" s="79"/>
      <c r="M364" s="79"/>
    </row>
    <row r="365" spans="1:13" ht="15.75" hidden="1" customHeight="1">
      <c r="A365" s="79"/>
      <c r="B365" s="160"/>
      <c r="C365" s="160"/>
      <c r="D365" s="160"/>
      <c r="E365" s="161" t="s">
        <v>886</v>
      </c>
      <c r="F365" s="161"/>
      <c r="G365" s="162">
        <v>0</v>
      </c>
      <c r="H365" s="79"/>
      <c r="I365" s="79"/>
      <c r="J365" s="79"/>
      <c r="K365" s="79"/>
      <c r="L365" s="79"/>
      <c r="M365" s="79"/>
    </row>
    <row r="366" spans="1:13" ht="15.75" hidden="1" customHeight="1">
      <c r="A366" s="79"/>
      <c r="B366" s="155">
        <v>45847</v>
      </c>
      <c r="C366" s="156">
        <v>0</v>
      </c>
      <c r="D366" s="156">
        <v>14397</v>
      </c>
      <c r="E366" s="157" t="s">
        <v>57</v>
      </c>
      <c r="F366" s="158">
        <v>91719121051242</v>
      </c>
      <c r="G366" s="159">
        <v>292.69</v>
      </c>
      <c r="H366" s="79"/>
      <c r="I366" s="79"/>
      <c r="J366" s="79"/>
      <c r="K366" s="79"/>
      <c r="L366" s="79"/>
      <c r="M366" s="79"/>
    </row>
    <row r="367" spans="1:13" ht="15.75" hidden="1" customHeight="1">
      <c r="A367" s="79"/>
      <c r="B367" s="160"/>
      <c r="C367" s="160"/>
      <c r="D367" s="160"/>
      <c r="E367" s="161" t="s">
        <v>887</v>
      </c>
      <c r="F367" s="161"/>
      <c r="G367" s="162">
        <v>0</v>
      </c>
      <c r="H367" s="79"/>
      <c r="I367" s="79"/>
      <c r="J367" s="79"/>
      <c r="K367" s="79"/>
      <c r="L367" s="79"/>
      <c r="M367" s="79"/>
    </row>
    <row r="368" spans="1:13" ht="15.75" customHeight="1">
      <c r="A368" s="163" t="s">
        <v>140</v>
      </c>
      <c r="B368" s="155">
        <v>45847</v>
      </c>
      <c r="C368" s="156">
        <v>0</v>
      </c>
      <c r="D368" s="156">
        <v>14138</v>
      </c>
      <c r="E368" s="157" t="s">
        <v>141</v>
      </c>
      <c r="F368" s="158">
        <v>202507080000029</v>
      </c>
      <c r="G368" s="159">
        <v>1731.16</v>
      </c>
      <c r="H368" s="79" t="s">
        <v>888</v>
      </c>
      <c r="I368" s="79" t="s">
        <v>428</v>
      </c>
      <c r="J368" s="79"/>
      <c r="K368" s="79"/>
      <c r="L368" s="79"/>
      <c r="M368" s="79"/>
    </row>
    <row r="369" spans="1:13" ht="15.75" hidden="1" customHeight="1">
      <c r="A369" s="79"/>
      <c r="B369" s="160"/>
      <c r="C369" s="160"/>
      <c r="D369" s="160"/>
      <c r="E369" s="161" t="s">
        <v>143</v>
      </c>
      <c r="F369" s="161"/>
      <c r="G369" s="162">
        <v>0</v>
      </c>
      <c r="H369" s="79"/>
      <c r="I369" s="79"/>
      <c r="J369" s="79"/>
      <c r="K369" s="79"/>
      <c r="L369" s="79"/>
      <c r="M369" s="79"/>
    </row>
    <row r="370" spans="1:13" ht="15.75" customHeight="1">
      <c r="A370" s="163" t="s">
        <v>140</v>
      </c>
      <c r="B370" s="155">
        <v>45847</v>
      </c>
      <c r="C370" s="156">
        <v>0</v>
      </c>
      <c r="D370" s="156">
        <v>14138</v>
      </c>
      <c r="E370" s="157" t="s">
        <v>141</v>
      </c>
      <c r="F370" s="158">
        <v>202507080000030</v>
      </c>
      <c r="G370" s="159">
        <v>1731.16</v>
      </c>
      <c r="H370" s="175">
        <v>3309</v>
      </c>
      <c r="I370" s="79" t="s">
        <v>428</v>
      </c>
      <c r="J370" s="79"/>
      <c r="K370" s="79"/>
      <c r="L370" s="79"/>
      <c r="M370" s="79"/>
    </row>
    <row r="371" spans="1:13" ht="15.75" hidden="1" customHeight="1">
      <c r="A371" s="79"/>
      <c r="B371" s="160"/>
      <c r="C371" s="160"/>
      <c r="D371" s="160"/>
      <c r="E371" s="161" t="s">
        <v>143</v>
      </c>
      <c r="F371" s="161"/>
      <c r="G371" s="162">
        <v>0</v>
      </c>
      <c r="H371" s="79"/>
      <c r="I371" s="79"/>
      <c r="J371" s="79"/>
      <c r="K371" s="79"/>
      <c r="L371" s="79"/>
      <c r="M371" s="79"/>
    </row>
    <row r="372" spans="1:13" ht="15.75" customHeight="1">
      <c r="A372" s="163" t="s">
        <v>140</v>
      </c>
      <c r="B372" s="155">
        <v>45847</v>
      </c>
      <c r="C372" s="156">
        <v>0</v>
      </c>
      <c r="D372" s="156">
        <v>14138</v>
      </c>
      <c r="E372" s="157" t="s">
        <v>141</v>
      </c>
      <c r="F372" s="158">
        <v>202507080000031</v>
      </c>
      <c r="G372" s="159">
        <v>1731.16</v>
      </c>
      <c r="H372" s="175">
        <v>3387</v>
      </c>
      <c r="I372" s="79" t="s">
        <v>428</v>
      </c>
      <c r="J372" s="79"/>
      <c r="K372" s="79"/>
      <c r="L372" s="79"/>
      <c r="M372" s="79"/>
    </row>
    <row r="373" spans="1:13" ht="15.75" hidden="1" customHeight="1">
      <c r="A373" s="79"/>
      <c r="B373" s="160"/>
      <c r="C373" s="160"/>
      <c r="D373" s="160"/>
      <c r="E373" s="161" t="s">
        <v>143</v>
      </c>
      <c r="F373" s="161"/>
      <c r="G373" s="162">
        <v>0</v>
      </c>
      <c r="H373" s="79"/>
      <c r="I373" s="79"/>
      <c r="J373" s="79"/>
      <c r="K373" s="79"/>
      <c r="L373" s="79"/>
      <c r="M373" s="79"/>
    </row>
    <row r="374" spans="1:13" ht="15.75" hidden="1" customHeight="1">
      <c r="A374" s="79"/>
      <c r="B374" s="155">
        <v>45847</v>
      </c>
      <c r="C374" s="156">
        <v>0</v>
      </c>
      <c r="D374" s="156">
        <v>13105</v>
      </c>
      <c r="E374" s="157" t="s">
        <v>80</v>
      </c>
      <c r="F374" s="158">
        <v>70901</v>
      </c>
      <c r="G374" s="172">
        <v>315.27999999999997</v>
      </c>
      <c r="H374" s="79"/>
      <c r="I374" s="79"/>
      <c r="J374" s="79"/>
      <c r="K374" s="79"/>
      <c r="L374" s="79"/>
      <c r="M374" s="79"/>
    </row>
    <row r="375" spans="1:13" ht="15.75" hidden="1" customHeight="1">
      <c r="A375" s="79"/>
      <c r="B375" s="160"/>
      <c r="C375" s="160"/>
      <c r="D375" s="160"/>
      <c r="E375" s="161" t="s">
        <v>81</v>
      </c>
      <c r="F375" s="161"/>
      <c r="G375" s="162">
        <v>0</v>
      </c>
      <c r="H375" s="79"/>
      <c r="I375" s="79"/>
      <c r="J375" s="79"/>
      <c r="K375" s="79"/>
      <c r="L375" s="79"/>
      <c r="M375" s="79"/>
    </row>
    <row r="376" spans="1:13" ht="15.75" hidden="1" customHeight="1">
      <c r="A376" s="79"/>
      <c r="B376" s="155">
        <v>45847</v>
      </c>
      <c r="C376" s="156">
        <v>0</v>
      </c>
      <c r="D376" s="156">
        <v>13105</v>
      </c>
      <c r="E376" s="157" t="s">
        <v>80</v>
      </c>
      <c r="F376" s="158">
        <v>70902</v>
      </c>
      <c r="G376" s="172">
        <v>282.31</v>
      </c>
      <c r="H376" s="79"/>
      <c r="I376" s="79"/>
      <c r="J376" s="79"/>
      <c r="K376" s="79"/>
      <c r="L376" s="79"/>
      <c r="M376" s="79"/>
    </row>
    <row r="377" spans="1:13" ht="15.75" hidden="1" customHeight="1">
      <c r="A377" s="79"/>
      <c r="B377" s="160"/>
      <c r="C377" s="160"/>
      <c r="D377" s="160"/>
      <c r="E377" s="161" t="s">
        <v>81</v>
      </c>
      <c r="F377" s="161"/>
      <c r="G377" s="162">
        <v>0</v>
      </c>
      <c r="H377" s="79"/>
      <c r="I377" s="79"/>
      <c r="J377" s="79"/>
      <c r="K377" s="79"/>
      <c r="L377" s="79"/>
      <c r="M377" s="79"/>
    </row>
    <row r="378" spans="1:13" ht="15.75" hidden="1" customHeight="1">
      <c r="A378" s="79"/>
      <c r="B378" s="155">
        <v>45847</v>
      </c>
      <c r="C378" s="156">
        <v>0</v>
      </c>
      <c r="D378" s="156">
        <v>13105</v>
      </c>
      <c r="E378" s="157" t="s">
        <v>31</v>
      </c>
      <c r="F378" s="158">
        <v>70903</v>
      </c>
      <c r="G378" s="172">
        <v>883.77</v>
      </c>
      <c r="H378" s="79"/>
      <c r="I378" s="79"/>
      <c r="J378" s="79"/>
      <c r="K378" s="79"/>
      <c r="L378" s="79"/>
      <c r="M378" s="79"/>
    </row>
    <row r="379" spans="1:13" ht="15.75" hidden="1" customHeight="1">
      <c r="A379" s="79"/>
      <c r="B379" s="160"/>
      <c r="C379" s="160"/>
      <c r="D379" s="160"/>
      <c r="E379" s="161" t="s">
        <v>889</v>
      </c>
      <c r="F379" s="161"/>
      <c r="G379" s="162">
        <v>0</v>
      </c>
      <c r="H379" s="79"/>
      <c r="I379" s="79"/>
      <c r="J379" s="79"/>
      <c r="K379" s="79"/>
      <c r="L379" s="79"/>
      <c r="M379" s="79"/>
    </row>
    <row r="380" spans="1:13" ht="15.75" hidden="1" customHeight="1">
      <c r="A380" s="79"/>
      <c r="B380" s="155">
        <v>45847</v>
      </c>
      <c r="C380" s="156">
        <v>0</v>
      </c>
      <c r="D380" s="156">
        <v>13105</v>
      </c>
      <c r="E380" s="157" t="s">
        <v>31</v>
      </c>
      <c r="F380" s="158">
        <v>70904</v>
      </c>
      <c r="G380" s="172">
        <v>2050</v>
      </c>
      <c r="H380" s="79"/>
      <c r="I380" s="79"/>
      <c r="J380" s="79"/>
      <c r="K380" s="79"/>
      <c r="L380" s="79"/>
      <c r="M380" s="79"/>
    </row>
    <row r="381" spans="1:13" ht="15.75" hidden="1" customHeight="1">
      <c r="A381" s="79"/>
      <c r="B381" s="160"/>
      <c r="C381" s="160"/>
      <c r="D381" s="160"/>
      <c r="E381" s="161" t="s">
        <v>37</v>
      </c>
      <c r="F381" s="161"/>
      <c r="G381" s="162">
        <v>0</v>
      </c>
      <c r="H381" s="79"/>
      <c r="I381" s="79"/>
      <c r="J381" s="79"/>
      <c r="K381" s="79"/>
      <c r="L381" s="79"/>
      <c r="M381" s="79"/>
    </row>
    <row r="382" spans="1:13" ht="15.75" hidden="1" customHeight="1">
      <c r="A382" s="79"/>
      <c r="B382" s="155">
        <v>45847</v>
      </c>
      <c r="C382" s="156">
        <v>0</v>
      </c>
      <c r="D382" s="156">
        <v>13105</v>
      </c>
      <c r="E382" s="157" t="s">
        <v>31</v>
      </c>
      <c r="F382" s="158">
        <v>70905</v>
      </c>
      <c r="G382" s="172">
        <v>2650</v>
      </c>
      <c r="H382" s="79"/>
      <c r="I382" s="79"/>
      <c r="J382" s="79"/>
      <c r="K382" s="79"/>
      <c r="L382" s="79"/>
      <c r="M382" s="79"/>
    </row>
    <row r="383" spans="1:13" ht="15.75" hidden="1" customHeight="1">
      <c r="A383" s="79"/>
      <c r="B383" s="160"/>
      <c r="C383" s="160"/>
      <c r="D383" s="160"/>
      <c r="E383" s="161" t="s">
        <v>37</v>
      </c>
      <c r="F383" s="161"/>
      <c r="G383" s="162">
        <v>0</v>
      </c>
      <c r="H383" s="79"/>
      <c r="I383" s="79"/>
      <c r="J383" s="79"/>
      <c r="K383" s="79"/>
      <c r="L383" s="79"/>
      <c r="M383" s="79"/>
    </row>
    <row r="384" spans="1:13" ht="15.75" hidden="1" customHeight="1">
      <c r="A384" s="79"/>
      <c r="B384" s="155">
        <v>45847</v>
      </c>
      <c r="C384" s="156">
        <v>0</v>
      </c>
      <c r="D384" s="156">
        <v>13105</v>
      </c>
      <c r="E384" s="157" t="s">
        <v>31</v>
      </c>
      <c r="F384" s="158">
        <v>70906</v>
      </c>
      <c r="G384" s="172">
        <v>3586</v>
      </c>
      <c r="H384" s="79"/>
      <c r="I384" s="79"/>
      <c r="J384" s="79"/>
      <c r="K384" s="79"/>
      <c r="L384" s="79"/>
      <c r="M384" s="79"/>
    </row>
    <row r="385" spans="1:13" ht="15.75" hidden="1" customHeight="1">
      <c r="A385" s="79"/>
      <c r="B385" s="160"/>
      <c r="C385" s="160"/>
      <c r="D385" s="160"/>
      <c r="E385" s="161" t="s">
        <v>347</v>
      </c>
      <c r="F385" s="161"/>
      <c r="G385" s="162">
        <v>0</v>
      </c>
      <c r="H385" s="79"/>
      <c r="I385" s="79"/>
      <c r="J385" s="79"/>
      <c r="K385" s="79"/>
      <c r="L385" s="79"/>
      <c r="M385" s="79"/>
    </row>
    <row r="386" spans="1:13" ht="15.75" hidden="1" customHeight="1">
      <c r="A386" s="79"/>
      <c r="B386" s="155">
        <v>45847</v>
      </c>
      <c r="C386" s="156">
        <v>0</v>
      </c>
      <c r="D386" s="156">
        <v>13105</v>
      </c>
      <c r="E386" s="157" t="s">
        <v>31</v>
      </c>
      <c r="F386" s="158">
        <v>70907</v>
      </c>
      <c r="G386" s="172">
        <v>208.5</v>
      </c>
      <c r="H386" s="79"/>
      <c r="I386" s="79"/>
      <c r="J386" s="79"/>
      <c r="K386" s="79"/>
      <c r="L386" s="79"/>
      <c r="M386" s="79"/>
    </row>
    <row r="387" spans="1:13" ht="15.75" hidden="1" customHeight="1">
      <c r="A387" s="79"/>
      <c r="B387" s="160"/>
      <c r="C387" s="160"/>
      <c r="D387" s="160"/>
      <c r="E387" s="161" t="s">
        <v>67</v>
      </c>
      <c r="F387" s="161"/>
      <c r="G387" s="162">
        <v>0</v>
      </c>
      <c r="H387" s="79"/>
      <c r="I387" s="79"/>
      <c r="J387" s="79"/>
      <c r="K387" s="79"/>
      <c r="L387" s="79"/>
      <c r="M387" s="79"/>
    </row>
    <row r="388" spans="1:13" ht="15.75" hidden="1" customHeight="1">
      <c r="A388" s="79"/>
      <c r="B388" s="155">
        <v>45847</v>
      </c>
      <c r="C388" s="156">
        <v>0</v>
      </c>
      <c r="D388" s="156">
        <v>13105</v>
      </c>
      <c r="E388" s="157" t="s">
        <v>31</v>
      </c>
      <c r="F388" s="158">
        <v>70908</v>
      </c>
      <c r="G388" s="172">
        <v>1573.33</v>
      </c>
      <c r="H388" s="79"/>
      <c r="I388" s="79"/>
      <c r="J388" s="79"/>
      <c r="K388" s="79"/>
      <c r="L388" s="79"/>
      <c r="M388" s="79"/>
    </row>
    <row r="389" spans="1:13" ht="15.75" hidden="1" customHeight="1">
      <c r="A389" s="79"/>
      <c r="B389" s="160"/>
      <c r="C389" s="160"/>
      <c r="D389" s="160"/>
      <c r="E389" s="161" t="s">
        <v>71</v>
      </c>
      <c r="F389" s="161"/>
      <c r="G389" s="162">
        <v>0</v>
      </c>
      <c r="H389" s="79"/>
      <c r="I389" s="79"/>
      <c r="J389" s="79"/>
      <c r="K389" s="79"/>
      <c r="L389" s="79"/>
      <c r="M389" s="79"/>
    </row>
    <row r="390" spans="1:13" ht="15.75" hidden="1" customHeight="1">
      <c r="A390" s="79"/>
      <c r="B390" s="155">
        <v>45847</v>
      </c>
      <c r="C390" s="156">
        <v>0</v>
      </c>
      <c r="D390" s="156">
        <v>13105</v>
      </c>
      <c r="E390" s="157" t="s">
        <v>31</v>
      </c>
      <c r="F390" s="158">
        <v>70909</v>
      </c>
      <c r="G390" s="172">
        <v>342</v>
      </c>
      <c r="H390" s="79"/>
      <c r="I390" s="79"/>
      <c r="J390" s="79"/>
      <c r="K390" s="79"/>
      <c r="L390" s="79"/>
      <c r="M390" s="79"/>
    </row>
    <row r="391" spans="1:13" ht="15.75" hidden="1" customHeight="1">
      <c r="A391" s="79"/>
      <c r="B391" s="160"/>
      <c r="C391" s="160"/>
      <c r="D391" s="160"/>
      <c r="E391" s="161" t="s">
        <v>41</v>
      </c>
      <c r="F391" s="161"/>
      <c r="G391" s="162">
        <v>0</v>
      </c>
      <c r="H391" s="79"/>
      <c r="I391" s="79"/>
      <c r="J391" s="79"/>
      <c r="K391" s="79"/>
      <c r="L391" s="79"/>
      <c r="M391" s="79"/>
    </row>
    <row r="392" spans="1:13" ht="15.75" hidden="1" customHeight="1">
      <c r="A392" s="79"/>
      <c r="B392" s="155">
        <v>45847</v>
      </c>
      <c r="C392" s="156">
        <v>0</v>
      </c>
      <c r="D392" s="156">
        <v>13105</v>
      </c>
      <c r="E392" s="157" t="s">
        <v>123</v>
      </c>
      <c r="F392" s="158">
        <v>70910</v>
      </c>
      <c r="G392" s="172">
        <v>176.16</v>
      </c>
      <c r="H392" s="79"/>
      <c r="I392" s="79"/>
      <c r="J392" s="79"/>
      <c r="K392" s="79"/>
      <c r="L392" s="79"/>
      <c r="M392" s="79"/>
    </row>
    <row r="393" spans="1:13" ht="15.75" hidden="1" customHeight="1">
      <c r="A393" s="79"/>
      <c r="B393" s="160"/>
      <c r="C393" s="160"/>
      <c r="D393" s="160"/>
      <c r="E393" s="161" t="s">
        <v>124</v>
      </c>
      <c r="F393" s="161"/>
      <c r="G393" s="162">
        <v>0</v>
      </c>
      <c r="H393" s="79"/>
      <c r="I393" s="79"/>
      <c r="J393" s="79"/>
      <c r="K393" s="79"/>
      <c r="L393" s="79"/>
      <c r="M393" s="79"/>
    </row>
    <row r="394" spans="1:13" ht="15.75" hidden="1" customHeight="1">
      <c r="A394" s="79"/>
      <c r="B394" s="155">
        <v>45847</v>
      </c>
      <c r="C394" s="156">
        <v>0</v>
      </c>
      <c r="D394" s="156">
        <v>13105</v>
      </c>
      <c r="E394" s="157" t="s">
        <v>31</v>
      </c>
      <c r="F394" s="158">
        <v>70911</v>
      </c>
      <c r="G394" s="172">
        <v>602.69000000000005</v>
      </c>
      <c r="H394" s="79"/>
      <c r="I394" s="79"/>
      <c r="J394" s="79"/>
      <c r="K394" s="79"/>
      <c r="L394" s="79"/>
      <c r="M394" s="79"/>
    </row>
    <row r="395" spans="1:13" ht="15.75" hidden="1" customHeight="1">
      <c r="A395" s="79"/>
      <c r="B395" s="160"/>
      <c r="C395" s="160"/>
      <c r="D395" s="160"/>
      <c r="E395" s="161" t="s">
        <v>464</v>
      </c>
      <c r="F395" s="161"/>
      <c r="G395" s="162">
        <v>0</v>
      </c>
      <c r="H395" s="79"/>
      <c r="I395" s="79"/>
      <c r="J395" s="79"/>
      <c r="K395" s="79"/>
      <c r="L395" s="79"/>
      <c r="M395" s="79"/>
    </row>
    <row r="396" spans="1:13" ht="15.75" hidden="1" customHeight="1">
      <c r="A396" s="79"/>
      <c r="B396" s="155">
        <v>45847</v>
      </c>
      <c r="C396" s="156">
        <v>0</v>
      </c>
      <c r="D396" s="156">
        <v>13105</v>
      </c>
      <c r="E396" s="157" t="s">
        <v>31</v>
      </c>
      <c r="F396" s="158">
        <v>70912</v>
      </c>
      <c r="G396" s="172">
        <v>3427.02</v>
      </c>
      <c r="H396" s="79"/>
      <c r="I396" s="79"/>
      <c r="J396" s="79"/>
      <c r="K396" s="79"/>
      <c r="L396" s="79"/>
      <c r="M396" s="79"/>
    </row>
    <row r="397" spans="1:13" ht="15.75" hidden="1" customHeight="1">
      <c r="A397" s="79"/>
      <c r="B397" s="160"/>
      <c r="C397" s="160"/>
      <c r="D397" s="160"/>
      <c r="E397" s="161" t="s">
        <v>65</v>
      </c>
      <c r="F397" s="161"/>
      <c r="G397" s="162">
        <v>0</v>
      </c>
      <c r="H397" s="79"/>
      <c r="I397" s="79"/>
      <c r="J397" s="79"/>
      <c r="K397" s="79"/>
      <c r="L397" s="79"/>
      <c r="M397" s="79"/>
    </row>
    <row r="398" spans="1:13" ht="15.75" hidden="1" customHeight="1">
      <c r="A398" s="79"/>
      <c r="B398" s="155">
        <v>45847</v>
      </c>
      <c r="C398" s="156">
        <v>0</v>
      </c>
      <c r="D398" s="156">
        <v>13105</v>
      </c>
      <c r="E398" s="157" t="s">
        <v>31</v>
      </c>
      <c r="F398" s="158">
        <v>70913</v>
      </c>
      <c r="G398" s="172">
        <v>4890</v>
      </c>
      <c r="H398" s="79"/>
      <c r="I398" s="79"/>
      <c r="J398" s="79"/>
      <c r="K398" s="79"/>
      <c r="L398" s="79"/>
      <c r="M398" s="79"/>
    </row>
    <row r="399" spans="1:13" ht="15.75" hidden="1" customHeight="1">
      <c r="A399" s="79"/>
      <c r="B399" s="160"/>
      <c r="C399" s="160"/>
      <c r="D399" s="160"/>
      <c r="E399" s="161" t="s">
        <v>32</v>
      </c>
      <c r="F399" s="161"/>
      <c r="G399" s="162">
        <v>0</v>
      </c>
      <c r="H399" s="79"/>
      <c r="I399" s="79"/>
      <c r="J399" s="79"/>
      <c r="K399" s="79"/>
      <c r="L399" s="79"/>
      <c r="M399" s="79"/>
    </row>
    <row r="400" spans="1:13" ht="15.75" hidden="1" customHeight="1">
      <c r="A400" s="79"/>
      <c r="B400" s="155">
        <v>45847</v>
      </c>
      <c r="C400" s="156">
        <v>0</v>
      </c>
      <c r="D400" s="156">
        <v>13105</v>
      </c>
      <c r="E400" s="157" t="s">
        <v>31</v>
      </c>
      <c r="F400" s="158">
        <v>70914</v>
      </c>
      <c r="G400" s="172">
        <v>643.33000000000004</v>
      </c>
      <c r="H400" s="79"/>
      <c r="I400" s="79"/>
      <c r="J400" s="79"/>
      <c r="K400" s="79"/>
      <c r="L400" s="79"/>
      <c r="M400" s="79"/>
    </row>
    <row r="401" spans="1:13" ht="15.75" hidden="1" customHeight="1">
      <c r="A401" s="79"/>
      <c r="B401" s="160"/>
      <c r="C401" s="160"/>
      <c r="D401" s="160"/>
      <c r="E401" s="161" t="s">
        <v>32</v>
      </c>
      <c r="F401" s="161"/>
      <c r="G401" s="162">
        <v>0</v>
      </c>
      <c r="H401" s="79"/>
      <c r="I401" s="79"/>
      <c r="J401" s="79"/>
      <c r="K401" s="79"/>
      <c r="L401" s="79"/>
      <c r="M401" s="79"/>
    </row>
    <row r="402" spans="1:13" ht="15.75" hidden="1" customHeight="1">
      <c r="A402" s="79"/>
      <c r="B402" s="155">
        <v>45847</v>
      </c>
      <c r="C402" s="156">
        <v>0</v>
      </c>
      <c r="D402" s="156">
        <v>13105</v>
      </c>
      <c r="E402" s="157" t="s">
        <v>31</v>
      </c>
      <c r="F402" s="158">
        <v>70915</v>
      </c>
      <c r="G402" s="172">
        <v>169.99</v>
      </c>
      <c r="H402" s="79"/>
      <c r="I402" s="79"/>
      <c r="J402" s="79"/>
      <c r="K402" s="79"/>
      <c r="L402" s="79"/>
      <c r="M402" s="79"/>
    </row>
    <row r="403" spans="1:13" ht="15.75" hidden="1" customHeight="1">
      <c r="A403" s="79"/>
      <c r="B403" s="160"/>
      <c r="C403" s="160"/>
      <c r="D403" s="160"/>
      <c r="E403" s="161" t="s">
        <v>126</v>
      </c>
      <c r="F403" s="161"/>
      <c r="G403" s="162">
        <v>0</v>
      </c>
      <c r="H403" s="79"/>
      <c r="I403" s="79"/>
      <c r="J403" s="79"/>
      <c r="K403" s="79"/>
      <c r="L403" s="79"/>
      <c r="M403" s="79"/>
    </row>
    <row r="404" spans="1:13" ht="15.75" hidden="1" customHeight="1">
      <c r="A404" s="79"/>
      <c r="B404" s="155">
        <v>45847</v>
      </c>
      <c r="C404" s="156">
        <v>0</v>
      </c>
      <c r="D404" s="156">
        <v>13105</v>
      </c>
      <c r="E404" s="157" t="s">
        <v>31</v>
      </c>
      <c r="F404" s="158">
        <v>70916</v>
      </c>
      <c r="G404" s="172">
        <v>800.74</v>
      </c>
      <c r="H404" s="79"/>
      <c r="I404" s="79"/>
      <c r="J404" s="79"/>
      <c r="K404" s="79"/>
      <c r="L404" s="79"/>
      <c r="M404" s="79"/>
    </row>
    <row r="405" spans="1:13" ht="15.75" hidden="1" customHeight="1">
      <c r="A405" s="79"/>
      <c r="B405" s="160"/>
      <c r="C405" s="160"/>
      <c r="D405" s="160"/>
      <c r="E405" s="161" t="s">
        <v>46</v>
      </c>
      <c r="F405" s="161"/>
      <c r="G405" s="162">
        <v>0</v>
      </c>
      <c r="H405" s="79"/>
      <c r="I405" s="79"/>
      <c r="J405" s="79"/>
      <c r="K405" s="79"/>
      <c r="L405" s="79"/>
      <c r="M405" s="79"/>
    </row>
    <row r="406" spans="1:13" ht="15.75" hidden="1" customHeight="1">
      <c r="A406" s="79"/>
      <c r="B406" s="155">
        <v>45847</v>
      </c>
      <c r="C406" s="156">
        <v>0</v>
      </c>
      <c r="D406" s="156">
        <v>13105</v>
      </c>
      <c r="E406" s="157" t="s">
        <v>31</v>
      </c>
      <c r="F406" s="158">
        <v>70917</v>
      </c>
      <c r="G406" s="172">
        <v>274.39</v>
      </c>
      <c r="H406" s="79"/>
      <c r="I406" s="79"/>
      <c r="J406" s="79"/>
      <c r="K406" s="79"/>
      <c r="L406" s="79"/>
      <c r="M406" s="79"/>
    </row>
    <row r="407" spans="1:13" ht="15.75" hidden="1" customHeight="1">
      <c r="A407" s="79"/>
      <c r="B407" s="160"/>
      <c r="C407" s="160"/>
      <c r="D407" s="160"/>
      <c r="E407" s="161" t="s">
        <v>45</v>
      </c>
      <c r="F407" s="161"/>
      <c r="G407" s="162">
        <v>0</v>
      </c>
      <c r="H407" s="79"/>
      <c r="I407" s="79"/>
      <c r="J407" s="79"/>
      <c r="K407" s="79"/>
      <c r="L407" s="79"/>
      <c r="M407" s="79"/>
    </row>
    <row r="408" spans="1:13" ht="15.75" hidden="1" customHeight="1">
      <c r="A408" s="79"/>
      <c r="B408" s="155">
        <v>45847</v>
      </c>
      <c r="C408" s="156">
        <v>0</v>
      </c>
      <c r="D408" s="156">
        <v>13105</v>
      </c>
      <c r="E408" s="157" t="s">
        <v>31</v>
      </c>
      <c r="F408" s="158">
        <v>70918</v>
      </c>
      <c r="G408" s="172">
        <v>555.51</v>
      </c>
      <c r="H408" s="79"/>
      <c r="I408" s="79"/>
      <c r="J408" s="79"/>
      <c r="K408" s="79"/>
      <c r="L408" s="79"/>
      <c r="M408" s="79"/>
    </row>
    <row r="409" spans="1:13" ht="15.75" hidden="1" customHeight="1">
      <c r="A409" s="79"/>
      <c r="B409" s="160"/>
      <c r="C409" s="160"/>
      <c r="D409" s="160"/>
      <c r="E409" s="161" t="s">
        <v>45</v>
      </c>
      <c r="F409" s="161"/>
      <c r="G409" s="162">
        <v>0</v>
      </c>
      <c r="H409" s="79"/>
      <c r="I409" s="79"/>
      <c r="J409" s="79"/>
      <c r="K409" s="79"/>
      <c r="L409" s="79"/>
      <c r="M409" s="79"/>
    </row>
    <row r="410" spans="1:13" ht="15.75" hidden="1" customHeight="1">
      <c r="A410" s="79"/>
      <c r="B410" s="155">
        <v>45847</v>
      </c>
      <c r="C410" s="156">
        <v>0</v>
      </c>
      <c r="D410" s="156">
        <v>13105</v>
      </c>
      <c r="E410" s="157" t="s">
        <v>31</v>
      </c>
      <c r="F410" s="158">
        <v>70919</v>
      </c>
      <c r="G410" s="172">
        <v>459.42</v>
      </c>
      <c r="H410" s="79"/>
      <c r="I410" s="79"/>
      <c r="J410" s="79"/>
      <c r="K410" s="79"/>
      <c r="L410" s="79"/>
      <c r="M410" s="79"/>
    </row>
    <row r="411" spans="1:13" ht="15.75" hidden="1" customHeight="1">
      <c r="A411" s="79"/>
      <c r="B411" s="160"/>
      <c r="C411" s="160"/>
      <c r="D411" s="160"/>
      <c r="E411" s="161" t="s">
        <v>45</v>
      </c>
      <c r="F411" s="161"/>
      <c r="G411" s="162">
        <v>0</v>
      </c>
      <c r="H411" s="79"/>
      <c r="I411" s="79"/>
      <c r="J411" s="79"/>
      <c r="K411" s="79"/>
      <c r="L411" s="79"/>
      <c r="M411" s="79"/>
    </row>
    <row r="412" spans="1:13" ht="15.75" hidden="1" customHeight="1">
      <c r="A412" s="79"/>
      <c r="B412" s="155">
        <v>45847</v>
      </c>
      <c r="C412" s="156">
        <v>0</v>
      </c>
      <c r="D412" s="156">
        <v>13105</v>
      </c>
      <c r="E412" s="157" t="s">
        <v>31</v>
      </c>
      <c r="F412" s="158">
        <v>70920</v>
      </c>
      <c r="G412" s="172">
        <v>357.91</v>
      </c>
      <c r="H412" s="79"/>
      <c r="I412" s="79"/>
      <c r="J412" s="79"/>
      <c r="K412" s="79"/>
      <c r="L412" s="79"/>
      <c r="M412" s="79"/>
    </row>
    <row r="413" spans="1:13" ht="15.75" hidden="1" customHeight="1">
      <c r="A413" s="79"/>
      <c r="B413" s="160"/>
      <c r="C413" s="160"/>
      <c r="D413" s="160"/>
      <c r="E413" s="161" t="s">
        <v>45</v>
      </c>
      <c r="F413" s="161"/>
      <c r="G413" s="162">
        <v>0</v>
      </c>
      <c r="H413" s="79"/>
      <c r="I413" s="79"/>
      <c r="J413" s="79"/>
      <c r="K413" s="79"/>
      <c r="L413" s="79"/>
      <c r="M413" s="79"/>
    </row>
    <row r="414" spans="1:13" ht="15.75" hidden="1" customHeight="1">
      <c r="A414" s="79"/>
      <c r="B414" s="155">
        <v>45847</v>
      </c>
      <c r="C414" s="156">
        <v>0</v>
      </c>
      <c r="D414" s="156">
        <v>13105</v>
      </c>
      <c r="E414" s="157" t="s">
        <v>31</v>
      </c>
      <c r="F414" s="158">
        <v>70921</v>
      </c>
      <c r="G414" s="172">
        <v>368.29</v>
      </c>
      <c r="H414" s="79"/>
      <c r="I414" s="79"/>
      <c r="J414" s="79"/>
      <c r="K414" s="79"/>
      <c r="L414" s="79"/>
      <c r="M414" s="79"/>
    </row>
    <row r="415" spans="1:13" ht="15.75" hidden="1" customHeight="1">
      <c r="A415" s="79"/>
      <c r="B415" s="160"/>
      <c r="C415" s="160"/>
      <c r="D415" s="160"/>
      <c r="E415" s="161" t="s">
        <v>45</v>
      </c>
      <c r="F415" s="161"/>
      <c r="G415" s="162">
        <v>0</v>
      </c>
      <c r="H415" s="79"/>
      <c r="I415" s="79"/>
      <c r="J415" s="79"/>
      <c r="K415" s="79"/>
      <c r="L415" s="79"/>
      <c r="M415" s="79"/>
    </row>
    <row r="416" spans="1:13" ht="15.75" hidden="1" customHeight="1">
      <c r="A416" s="79"/>
      <c r="B416" s="155">
        <v>45847</v>
      </c>
      <c r="C416" s="156">
        <v>0</v>
      </c>
      <c r="D416" s="156">
        <v>13105</v>
      </c>
      <c r="E416" s="157" t="s">
        <v>31</v>
      </c>
      <c r="F416" s="158">
        <v>70922</v>
      </c>
      <c r="G416" s="172">
        <v>206.14</v>
      </c>
      <c r="H416" s="79"/>
      <c r="I416" s="79"/>
      <c r="J416" s="79"/>
      <c r="K416" s="79"/>
      <c r="L416" s="79"/>
      <c r="M416" s="79"/>
    </row>
    <row r="417" spans="1:13" ht="15.75" hidden="1" customHeight="1">
      <c r="A417" s="79"/>
      <c r="B417" s="160"/>
      <c r="C417" s="160"/>
      <c r="D417" s="160"/>
      <c r="E417" s="161" t="s">
        <v>755</v>
      </c>
      <c r="F417" s="161"/>
      <c r="G417" s="162">
        <v>0</v>
      </c>
      <c r="H417" s="79"/>
      <c r="I417" s="79"/>
      <c r="J417" s="79"/>
      <c r="K417" s="79"/>
      <c r="L417" s="79"/>
      <c r="M417" s="79"/>
    </row>
    <row r="418" spans="1:13" ht="15.75" hidden="1" customHeight="1">
      <c r="A418" s="79"/>
      <c r="B418" s="155">
        <v>45847</v>
      </c>
      <c r="C418" s="156">
        <v>0</v>
      </c>
      <c r="D418" s="156">
        <v>13105</v>
      </c>
      <c r="E418" s="157" t="s">
        <v>31</v>
      </c>
      <c r="F418" s="158">
        <v>70923</v>
      </c>
      <c r="G418" s="172">
        <v>195.99</v>
      </c>
      <c r="H418" s="79"/>
      <c r="I418" s="79"/>
      <c r="J418" s="79"/>
      <c r="K418" s="79"/>
      <c r="L418" s="79"/>
      <c r="M418" s="79"/>
    </row>
    <row r="419" spans="1:13" ht="15.75" hidden="1" customHeight="1">
      <c r="A419" s="79"/>
      <c r="B419" s="160"/>
      <c r="C419" s="160"/>
      <c r="D419" s="160"/>
      <c r="E419" s="161" t="s">
        <v>755</v>
      </c>
      <c r="F419" s="161"/>
      <c r="G419" s="162">
        <v>0</v>
      </c>
      <c r="H419" s="79"/>
      <c r="I419" s="79"/>
      <c r="J419" s="79"/>
      <c r="K419" s="79"/>
      <c r="L419" s="79"/>
      <c r="M419" s="79"/>
    </row>
    <row r="420" spans="1:13" ht="15.75" hidden="1" customHeight="1">
      <c r="A420" s="79"/>
      <c r="B420" s="155">
        <v>45847</v>
      </c>
      <c r="C420" s="156">
        <v>0</v>
      </c>
      <c r="D420" s="156">
        <v>13105</v>
      </c>
      <c r="E420" s="157" t="s">
        <v>31</v>
      </c>
      <c r="F420" s="158">
        <v>70924</v>
      </c>
      <c r="G420" s="172">
        <v>538.29999999999995</v>
      </c>
      <c r="H420" s="79"/>
      <c r="I420" s="79"/>
      <c r="J420" s="79"/>
      <c r="K420" s="79"/>
      <c r="L420" s="79"/>
      <c r="M420" s="79"/>
    </row>
    <row r="421" spans="1:13" ht="15.75" hidden="1" customHeight="1">
      <c r="A421" s="79"/>
      <c r="B421" s="160"/>
      <c r="C421" s="160"/>
      <c r="D421" s="160"/>
      <c r="E421" s="161" t="s">
        <v>231</v>
      </c>
      <c r="F421" s="161"/>
      <c r="G421" s="162">
        <v>0</v>
      </c>
      <c r="H421" s="79"/>
      <c r="I421" s="79"/>
      <c r="J421" s="79"/>
      <c r="K421" s="79"/>
      <c r="L421" s="79"/>
      <c r="M421" s="79"/>
    </row>
    <row r="422" spans="1:13" ht="15.75" hidden="1" customHeight="1">
      <c r="A422" s="79"/>
      <c r="B422" s="155">
        <v>45847</v>
      </c>
      <c r="C422" s="156">
        <v>0</v>
      </c>
      <c r="D422" s="156">
        <v>13105</v>
      </c>
      <c r="E422" s="157" t="s">
        <v>31</v>
      </c>
      <c r="F422" s="158">
        <v>70925</v>
      </c>
      <c r="G422" s="172">
        <v>203.9</v>
      </c>
      <c r="H422" s="79"/>
      <c r="I422" s="79"/>
      <c r="J422" s="79"/>
      <c r="K422" s="79"/>
      <c r="L422" s="79"/>
      <c r="M422" s="79"/>
    </row>
    <row r="423" spans="1:13" ht="15.75" hidden="1" customHeight="1">
      <c r="A423" s="79"/>
      <c r="B423" s="160"/>
      <c r="C423" s="160"/>
      <c r="D423" s="160"/>
      <c r="E423" s="161" t="s">
        <v>762</v>
      </c>
      <c r="F423" s="161"/>
      <c r="G423" s="162">
        <v>0</v>
      </c>
      <c r="H423" s="79"/>
      <c r="I423" s="79"/>
      <c r="J423" s="79"/>
      <c r="K423" s="79"/>
      <c r="L423" s="79"/>
      <c r="M423" s="79"/>
    </row>
    <row r="424" spans="1:13" ht="15.75" hidden="1" customHeight="1">
      <c r="A424" s="79"/>
      <c r="B424" s="155">
        <v>45847</v>
      </c>
      <c r="C424" s="156">
        <v>0</v>
      </c>
      <c r="D424" s="156">
        <v>13105</v>
      </c>
      <c r="E424" s="157" t="s">
        <v>31</v>
      </c>
      <c r="F424" s="158">
        <v>70926</v>
      </c>
      <c r="G424" s="172">
        <v>101.57</v>
      </c>
      <c r="H424" s="79"/>
      <c r="I424" s="79"/>
      <c r="J424" s="79"/>
      <c r="K424" s="79"/>
      <c r="L424" s="79"/>
      <c r="M424" s="79"/>
    </row>
    <row r="425" spans="1:13" ht="15.75" hidden="1" customHeight="1">
      <c r="A425" s="79"/>
      <c r="B425" s="160"/>
      <c r="C425" s="160"/>
      <c r="D425" s="160"/>
      <c r="E425" s="161" t="s">
        <v>200</v>
      </c>
      <c r="F425" s="161"/>
      <c r="G425" s="162">
        <v>0</v>
      </c>
      <c r="H425" s="79"/>
      <c r="I425" s="79"/>
      <c r="J425" s="79"/>
      <c r="K425" s="79"/>
      <c r="L425" s="79"/>
      <c r="M425" s="79"/>
    </row>
    <row r="426" spans="1:13" ht="15.75" hidden="1" customHeight="1">
      <c r="A426" s="79"/>
      <c r="B426" s="155">
        <v>45847</v>
      </c>
      <c r="C426" s="156">
        <v>0</v>
      </c>
      <c r="D426" s="156">
        <v>13105</v>
      </c>
      <c r="E426" s="157" t="s">
        <v>31</v>
      </c>
      <c r="F426" s="158">
        <v>70927</v>
      </c>
      <c r="G426" s="172">
        <v>259.88</v>
      </c>
      <c r="H426" s="79"/>
      <c r="I426" s="79"/>
      <c r="J426" s="79"/>
      <c r="K426" s="79"/>
      <c r="L426" s="79"/>
      <c r="M426" s="79"/>
    </row>
    <row r="427" spans="1:13" ht="15.75" hidden="1" customHeight="1">
      <c r="A427" s="79"/>
      <c r="B427" s="160"/>
      <c r="C427" s="160"/>
      <c r="D427" s="160"/>
      <c r="E427" s="161" t="s">
        <v>200</v>
      </c>
      <c r="F427" s="161"/>
      <c r="G427" s="162">
        <v>0</v>
      </c>
      <c r="H427" s="79"/>
      <c r="I427" s="79"/>
      <c r="J427" s="79"/>
      <c r="K427" s="79"/>
      <c r="L427" s="79"/>
      <c r="M427" s="79"/>
    </row>
    <row r="428" spans="1:13" ht="15.75" hidden="1" customHeight="1">
      <c r="A428" s="79"/>
      <c r="B428" s="155">
        <v>45847</v>
      </c>
      <c r="C428" s="156">
        <v>0</v>
      </c>
      <c r="D428" s="156">
        <v>13105</v>
      </c>
      <c r="E428" s="157" t="s">
        <v>31</v>
      </c>
      <c r="F428" s="158">
        <v>70928</v>
      </c>
      <c r="G428" s="172">
        <v>115.59</v>
      </c>
      <c r="H428" s="79"/>
      <c r="I428" s="79"/>
      <c r="J428" s="79"/>
      <c r="K428" s="79"/>
      <c r="L428" s="79"/>
      <c r="M428" s="79"/>
    </row>
    <row r="429" spans="1:13" ht="15.75" hidden="1" customHeight="1">
      <c r="A429" s="79"/>
      <c r="B429" s="160"/>
      <c r="C429" s="160"/>
      <c r="D429" s="160"/>
      <c r="E429" s="161" t="s">
        <v>126</v>
      </c>
      <c r="F429" s="161"/>
      <c r="G429" s="162">
        <v>0</v>
      </c>
      <c r="H429" s="79"/>
      <c r="I429" s="79"/>
      <c r="J429" s="79"/>
      <c r="K429" s="79"/>
      <c r="L429" s="79"/>
      <c r="M429" s="79"/>
    </row>
    <row r="430" spans="1:13" ht="15.75" hidden="1" customHeight="1">
      <c r="A430" s="79"/>
      <c r="B430" s="155">
        <v>45847</v>
      </c>
      <c r="C430" s="156">
        <v>0</v>
      </c>
      <c r="D430" s="156">
        <v>13105</v>
      </c>
      <c r="E430" s="157" t="s">
        <v>31</v>
      </c>
      <c r="F430" s="158">
        <v>70929</v>
      </c>
      <c r="G430" s="172">
        <v>107.45</v>
      </c>
      <c r="H430" s="79"/>
      <c r="I430" s="79"/>
      <c r="J430" s="79"/>
      <c r="K430" s="79"/>
      <c r="L430" s="79"/>
      <c r="M430" s="79"/>
    </row>
    <row r="431" spans="1:13" ht="15.75" hidden="1" customHeight="1">
      <c r="A431" s="79"/>
      <c r="B431" s="160"/>
      <c r="C431" s="160"/>
      <c r="D431" s="160"/>
      <c r="E431" s="161" t="s">
        <v>126</v>
      </c>
      <c r="F431" s="161"/>
      <c r="G431" s="162">
        <v>0</v>
      </c>
      <c r="H431" s="79"/>
      <c r="I431" s="79"/>
      <c r="J431" s="79"/>
      <c r="K431" s="79"/>
      <c r="L431" s="79"/>
      <c r="M431" s="79"/>
    </row>
    <row r="432" spans="1:13" ht="15.75" hidden="1" customHeight="1">
      <c r="A432" s="79"/>
      <c r="B432" s="155">
        <v>45847</v>
      </c>
      <c r="C432" s="156">
        <v>0</v>
      </c>
      <c r="D432" s="156">
        <v>0</v>
      </c>
      <c r="E432" s="157" t="s">
        <v>52</v>
      </c>
      <c r="F432" s="158">
        <v>9903</v>
      </c>
      <c r="G432" s="159">
        <v>14672.81</v>
      </c>
      <c r="H432" s="79"/>
      <c r="I432" s="79"/>
      <c r="J432" s="79"/>
      <c r="K432" s="79"/>
      <c r="L432" s="79"/>
      <c r="M432" s="79"/>
    </row>
    <row r="433" spans="1:13" ht="15.75" hidden="1" customHeight="1">
      <c r="A433" s="79"/>
      <c r="B433" s="160"/>
      <c r="C433" s="160"/>
      <c r="D433" s="160"/>
      <c r="E433" s="161" t="s">
        <v>53</v>
      </c>
      <c r="F433" s="161"/>
      <c r="G433" s="162">
        <v>0</v>
      </c>
      <c r="H433" s="79"/>
      <c r="I433" s="79"/>
      <c r="J433" s="79"/>
      <c r="K433" s="79"/>
      <c r="L433" s="79"/>
      <c r="M433" s="79"/>
    </row>
    <row r="434" spans="1:13" ht="15.75" hidden="1" customHeight="1">
      <c r="A434" s="79"/>
      <c r="B434" s="155">
        <v>45848</v>
      </c>
      <c r="C434" s="156">
        <v>984</v>
      </c>
      <c r="D434" s="156">
        <v>99015</v>
      </c>
      <c r="E434" s="157" t="s">
        <v>27</v>
      </c>
      <c r="F434" s="158">
        <v>550984000024887</v>
      </c>
      <c r="G434" s="159">
        <v>2665.6</v>
      </c>
      <c r="H434" s="79"/>
      <c r="I434" s="79"/>
      <c r="J434" s="79"/>
      <c r="K434" s="79"/>
      <c r="L434" s="79"/>
      <c r="M434" s="79"/>
    </row>
    <row r="435" spans="1:13" ht="15.75" hidden="1" customHeight="1">
      <c r="A435" s="79"/>
      <c r="B435" s="160"/>
      <c r="C435" s="160"/>
      <c r="D435" s="160"/>
      <c r="E435" s="161" t="s">
        <v>890</v>
      </c>
      <c r="F435" s="161"/>
      <c r="G435" s="162">
        <v>0</v>
      </c>
      <c r="H435" s="79"/>
      <c r="I435" s="79"/>
      <c r="J435" s="79"/>
      <c r="K435" s="79"/>
      <c r="L435" s="79"/>
      <c r="M435" s="79"/>
    </row>
    <row r="436" spans="1:13" ht="15.75" hidden="1" customHeight="1">
      <c r="A436" s="79"/>
      <c r="B436" s="155">
        <v>45848</v>
      </c>
      <c r="C436" s="156">
        <v>984</v>
      </c>
      <c r="D436" s="156">
        <v>99015</v>
      </c>
      <c r="E436" s="157" t="s">
        <v>27</v>
      </c>
      <c r="F436" s="158">
        <v>550984000024887</v>
      </c>
      <c r="G436" s="159">
        <v>2665.6</v>
      </c>
      <c r="H436" s="79"/>
      <c r="I436" s="79"/>
      <c r="J436" s="79"/>
      <c r="K436" s="79"/>
      <c r="L436" s="79"/>
      <c r="M436" s="79"/>
    </row>
    <row r="437" spans="1:13" ht="15.75" hidden="1" customHeight="1">
      <c r="A437" s="79"/>
      <c r="B437" s="160"/>
      <c r="C437" s="160"/>
      <c r="D437" s="160"/>
      <c r="E437" s="161" t="s">
        <v>890</v>
      </c>
      <c r="F437" s="161"/>
      <c r="G437" s="162">
        <v>0</v>
      </c>
      <c r="H437" s="79"/>
      <c r="I437" s="79"/>
      <c r="J437" s="79"/>
      <c r="K437" s="79"/>
      <c r="L437" s="79"/>
      <c r="M437" s="79"/>
    </row>
    <row r="438" spans="1:13" ht="15.75" hidden="1" customHeight="1">
      <c r="A438" s="79"/>
      <c r="B438" s="155">
        <v>45848</v>
      </c>
      <c r="C438" s="156">
        <v>1845</v>
      </c>
      <c r="D438" s="156">
        <v>99021</v>
      </c>
      <c r="E438" s="157" t="s">
        <v>27</v>
      </c>
      <c r="F438" s="158">
        <v>611845000040070</v>
      </c>
      <c r="G438" s="159">
        <v>39.9</v>
      </c>
      <c r="H438" s="79"/>
      <c r="I438" s="79"/>
      <c r="J438" s="79"/>
      <c r="K438" s="79"/>
      <c r="L438" s="79"/>
      <c r="M438" s="79"/>
    </row>
    <row r="439" spans="1:13" ht="15.75" hidden="1" customHeight="1">
      <c r="A439" s="79"/>
      <c r="B439" s="160"/>
      <c r="C439" s="160"/>
      <c r="D439" s="160"/>
      <c r="E439" s="161" t="s">
        <v>891</v>
      </c>
      <c r="F439" s="161"/>
      <c r="G439" s="162">
        <v>0</v>
      </c>
      <c r="H439" s="79"/>
      <c r="I439" s="79"/>
      <c r="J439" s="79"/>
      <c r="K439" s="79"/>
      <c r="L439" s="79"/>
      <c r="M439" s="79"/>
    </row>
    <row r="440" spans="1:13" ht="15.75" hidden="1" customHeight="1">
      <c r="A440" s="79"/>
      <c r="B440" s="155">
        <v>45848</v>
      </c>
      <c r="C440" s="156">
        <v>1845</v>
      </c>
      <c r="D440" s="156">
        <v>99021</v>
      </c>
      <c r="E440" s="157" t="s">
        <v>27</v>
      </c>
      <c r="F440" s="158">
        <v>611845000040070</v>
      </c>
      <c r="G440" s="159">
        <v>921.93</v>
      </c>
      <c r="H440" s="79"/>
      <c r="I440" s="79"/>
      <c r="J440" s="79"/>
      <c r="K440" s="79"/>
      <c r="L440" s="79"/>
      <c r="M440" s="79"/>
    </row>
    <row r="441" spans="1:13" ht="15.75" hidden="1" customHeight="1">
      <c r="A441" s="79"/>
      <c r="B441" s="160"/>
      <c r="C441" s="160"/>
      <c r="D441" s="160"/>
      <c r="E441" s="161" t="s">
        <v>892</v>
      </c>
      <c r="F441" s="161"/>
      <c r="G441" s="162">
        <v>0</v>
      </c>
      <c r="H441" s="79"/>
      <c r="I441" s="79"/>
      <c r="J441" s="79"/>
      <c r="K441" s="79"/>
      <c r="L441" s="79"/>
      <c r="M441" s="79"/>
    </row>
    <row r="442" spans="1:13" ht="15.75" hidden="1" customHeight="1">
      <c r="A442" s="79"/>
      <c r="B442" s="155">
        <v>45848</v>
      </c>
      <c r="C442" s="156">
        <v>0</v>
      </c>
      <c r="D442" s="156">
        <v>14105</v>
      </c>
      <c r="E442" s="157" t="s">
        <v>893</v>
      </c>
      <c r="F442" s="158">
        <v>36100000044844</v>
      </c>
      <c r="G442" s="159">
        <v>1678.12</v>
      </c>
      <c r="H442" s="79"/>
      <c r="I442" s="79"/>
      <c r="J442" s="79"/>
      <c r="K442" s="79"/>
      <c r="L442" s="79"/>
      <c r="M442" s="79"/>
    </row>
    <row r="443" spans="1:13" ht="15.75" hidden="1" customHeight="1">
      <c r="A443" s="79"/>
      <c r="B443" s="160"/>
      <c r="C443" s="160"/>
      <c r="D443" s="160"/>
      <c r="E443" s="161" t="s">
        <v>894</v>
      </c>
      <c r="F443" s="161"/>
      <c r="G443" s="162">
        <v>0</v>
      </c>
      <c r="H443" s="79"/>
      <c r="I443" s="79"/>
      <c r="J443" s="79"/>
      <c r="K443" s="79"/>
      <c r="L443" s="79"/>
      <c r="M443" s="79"/>
    </row>
    <row r="444" spans="1:13" ht="15.75" hidden="1" customHeight="1">
      <c r="A444" s="79"/>
      <c r="B444" s="155">
        <v>45848</v>
      </c>
      <c r="C444" s="156">
        <v>0</v>
      </c>
      <c r="D444" s="156">
        <v>14397</v>
      </c>
      <c r="E444" s="157" t="s">
        <v>57</v>
      </c>
      <c r="F444" s="158">
        <v>100922038743902</v>
      </c>
      <c r="G444" s="159">
        <v>6500</v>
      </c>
      <c r="H444" s="79"/>
      <c r="I444" s="79"/>
      <c r="J444" s="79"/>
      <c r="K444" s="79"/>
      <c r="L444" s="79"/>
      <c r="M444" s="79"/>
    </row>
    <row r="445" spans="1:13" ht="15.75" hidden="1" customHeight="1">
      <c r="A445" s="79"/>
      <c r="B445" s="160"/>
      <c r="C445" s="160"/>
      <c r="D445" s="160"/>
      <c r="E445" s="161" t="s">
        <v>895</v>
      </c>
      <c r="F445" s="161"/>
      <c r="G445" s="162">
        <v>0</v>
      </c>
      <c r="H445" s="79"/>
      <c r="I445" s="79"/>
      <c r="J445" s="79"/>
      <c r="K445" s="79"/>
      <c r="L445" s="79"/>
      <c r="M445" s="79"/>
    </row>
    <row r="446" spans="1:13" ht="15.75" hidden="1" customHeight="1">
      <c r="A446" s="79"/>
      <c r="B446" s="155">
        <v>45848</v>
      </c>
      <c r="C446" s="156">
        <v>0</v>
      </c>
      <c r="D446" s="156">
        <v>14397</v>
      </c>
      <c r="E446" s="157" t="s">
        <v>57</v>
      </c>
      <c r="F446" s="158">
        <v>101847093480032</v>
      </c>
      <c r="G446" s="159">
        <v>1808</v>
      </c>
      <c r="H446" s="79"/>
      <c r="I446" s="79"/>
      <c r="J446" s="79"/>
      <c r="K446" s="79"/>
      <c r="L446" s="79"/>
      <c r="M446" s="79"/>
    </row>
    <row r="447" spans="1:13" ht="15.75" hidden="1" customHeight="1">
      <c r="A447" s="79"/>
      <c r="B447" s="160"/>
      <c r="C447" s="160"/>
      <c r="D447" s="160"/>
      <c r="E447" s="161" t="s">
        <v>896</v>
      </c>
      <c r="F447" s="161"/>
      <c r="G447" s="162">
        <v>0</v>
      </c>
      <c r="H447" s="79"/>
      <c r="I447" s="79"/>
      <c r="J447" s="79"/>
      <c r="K447" s="79"/>
      <c r="L447" s="79"/>
      <c r="M447" s="79"/>
    </row>
    <row r="448" spans="1:13" ht="15.75" customHeight="1">
      <c r="A448" s="173" t="s">
        <v>423</v>
      </c>
      <c r="B448" s="166">
        <v>45848</v>
      </c>
      <c r="C448" s="167">
        <v>0</v>
      </c>
      <c r="D448" s="167">
        <v>14138</v>
      </c>
      <c r="E448" s="168" t="s">
        <v>141</v>
      </c>
      <c r="F448" s="169">
        <v>202507090015342</v>
      </c>
      <c r="G448" s="170">
        <v>971.04</v>
      </c>
      <c r="H448" s="176" t="s">
        <v>897</v>
      </c>
      <c r="I448" s="176" t="s">
        <v>595</v>
      </c>
      <c r="J448" s="79" t="s">
        <v>714</v>
      </c>
      <c r="K448" s="79"/>
      <c r="L448" s="79"/>
      <c r="M448" s="79"/>
    </row>
    <row r="449" spans="1:13" ht="15.75" hidden="1" customHeight="1">
      <c r="A449" s="79"/>
      <c r="B449" s="160"/>
      <c r="C449" s="160"/>
      <c r="D449" s="160"/>
      <c r="E449" s="161" t="s">
        <v>143</v>
      </c>
      <c r="F449" s="161"/>
      <c r="G449" s="162">
        <v>0</v>
      </c>
      <c r="H449" s="79"/>
      <c r="I449" s="79"/>
      <c r="J449" s="79"/>
      <c r="K449" s="79"/>
      <c r="L449" s="79"/>
      <c r="M449" s="79"/>
    </row>
    <row r="450" spans="1:13" ht="15.75" customHeight="1">
      <c r="A450" s="163" t="s">
        <v>140</v>
      </c>
      <c r="B450" s="155">
        <v>45848</v>
      </c>
      <c r="C450" s="156">
        <v>0</v>
      </c>
      <c r="D450" s="156">
        <v>14138</v>
      </c>
      <c r="E450" s="157" t="s">
        <v>141</v>
      </c>
      <c r="F450" s="158">
        <v>202507090015344</v>
      </c>
      <c r="G450" s="159">
        <v>1476.65</v>
      </c>
      <c r="H450" s="160" t="s">
        <v>898</v>
      </c>
      <c r="I450" s="160" t="s">
        <v>595</v>
      </c>
      <c r="J450" s="79"/>
      <c r="K450" s="79"/>
      <c r="L450" s="79"/>
      <c r="M450" s="79"/>
    </row>
    <row r="451" spans="1:13" ht="15.75" hidden="1" customHeight="1">
      <c r="A451" s="79"/>
      <c r="B451" s="160"/>
      <c r="C451" s="160"/>
      <c r="D451" s="160"/>
      <c r="E451" s="161" t="s">
        <v>143</v>
      </c>
      <c r="F451" s="161"/>
      <c r="G451" s="162">
        <v>0</v>
      </c>
      <c r="H451" s="79"/>
      <c r="I451" s="79"/>
      <c r="J451" s="79"/>
      <c r="K451" s="79"/>
      <c r="L451" s="79"/>
      <c r="M451" s="79"/>
    </row>
    <row r="452" spans="1:13" ht="15.75" customHeight="1">
      <c r="A452" s="163" t="s">
        <v>140</v>
      </c>
      <c r="B452" s="155">
        <v>45848</v>
      </c>
      <c r="C452" s="156">
        <v>0</v>
      </c>
      <c r="D452" s="156">
        <v>14138</v>
      </c>
      <c r="E452" s="157" t="s">
        <v>141</v>
      </c>
      <c r="F452" s="158">
        <v>202507090015346</v>
      </c>
      <c r="G452" s="159">
        <v>971.04</v>
      </c>
      <c r="H452" s="79" t="s">
        <v>899</v>
      </c>
      <c r="I452" s="79" t="s">
        <v>595</v>
      </c>
      <c r="J452" s="79"/>
      <c r="K452" s="79"/>
      <c r="L452" s="79"/>
      <c r="M452" s="79"/>
    </row>
    <row r="453" spans="1:13" ht="15.75" hidden="1" customHeight="1">
      <c r="A453" s="79"/>
      <c r="B453" s="160"/>
      <c r="C453" s="160"/>
      <c r="D453" s="160"/>
      <c r="E453" s="161" t="s">
        <v>143</v>
      </c>
      <c r="F453" s="161"/>
      <c r="G453" s="162">
        <v>0</v>
      </c>
      <c r="H453" s="79"/>
      <c r="I453" s="79"/>
      <c r="J453" s="79"/>
      <c r="K453" s="79"/>
      <c r="L453" s="79"/>
      <c r="M453" s="79"/>
    </row>
    <row r="454" spans="1:13" ht="15.75" customHeight="1">
      <c r="A454" s="163" t="s">
        <v>140</v>
      </c>
      <c r="B454" s="155">
        <v>45848</v>
      </c>
      <c r="C454" s="156">
        <v>0</v>
      </c>
      <c r="D454" s="156">
        <v>14138</v>
      </c>
      <c r="E454" s="157" t="s">
        <v>141</v>
      </c>
      <c r="F454" s="158">
        <v>202507090015348</v>
      </c>
      <c r="G454" s="159">
        <v>1476.65</v>
      </c>
      <c r="H454" s="79" t="s">
        <v>900</v>
      </c>
      <c r="I454" s="79" t="s">
        <v>595</v>
      </c>
      <c r="J454" s="79"/>
      <c r="K454" s="79"/>
      <c r="L454" s="79"/>
      <c r="M454" s="79"/>
    </row>
    <row r="455" spans="1:13" ht="15.75" hidden="1" customHeight="1">
      <c r="A455" s="79"/>
      <c r="B455" s="160"/>
      <c r="C455" s="160"/>
      <c r="D455" s="160"/>
      <c r="E455" s="161" t="s">
        <v>143</v>
      </c>
      <c r="F455" s="161"/>
      <c r="G455" s="162">
        <v>0</v>
      </c>
      <c r="H455" s="79"/>
      <c r="I455" s="79"/>
      <c r="J455" s="79"/>
      <c r="K455" s="79"/>
      <c r="L455" s="79"/>
      <c r="M455" s="79"/>
    </row>
    <row r="456" spans="1:13" ht="15.75" customHeight="1">
      <c r="A456" s="163" t="s">
        <v>140</v>
      </c>
      <c r="B456" s="155">
        <v>45848</v>
      </c>
      <c r="C456" s="156">
        <v>0</v>
      </c>
      <c r="D456" s="156">
        <v>14138</v>
      </c>
      <c r="E456" s="157" t="s">
        <v>141</v>
      </c>
      <c r="F456" s="158">
        <v>202507090015350</v>
      </c>
      <c r="G456" s="159">
        <v>971.04</v>
      </c>
      <c r="H456" s="79" t="s">
        <v>901</v>
      </c>
      <c r="I456" s="79" t="s">
        <v>595</v>
      </c>
      <c r="J456" s="79"/>
      <c r="K456" s="79"/>
      <c r="L456" s="79"/>
      <c r="M456" s="79"/>
    </row>
    <row r="457" spans="1:13" ht="15.75" hidden="1" customHeight="1">
      <c r="A457" s="79"/>
      <c r="B457" s="160"/>
      <c r="C457" s="160"/>
      <c r="D457" s="160"/>
      <c r="E457" s="161" t="s">
        <v>143</v>
      </c>
      <c r="F457" s="161"/>
      <c r="G457" s="162">
        <v>0</v>
      </c>
      <c r="H457" s="79"/>
      <c r="I457" s="79"/>
      <c r="J457" s="79"/>
      <c r="K457" s="79"/>
      <c r="L457" s="79"/>
      <c r="M457" s="79"/>
    </row>
    <row r="458" spans="1:13" ht="15.75" customHeight="1">
      <c r="A458" s="163" t="s">
        <v>140</v>
      </c>
      <c r="B458" s="155">
        <v>45848</v>
      </c>
      <c r="C458" s="156">
        <v>0</v>
      </c>
      <c r="D458" s="156">
        <v>14138</v>
      </c>
      <c r="E458" s="157" t="s">
        <v>141</v>
      </c>
      <c r="F458" s="158">
        <v>202507090015354</v>
      </c>
      <c r="G458" s="159">
        <v>1476.65</v>
      </c>
      <c r="H458" s="160" t="s">
        <v>902</v>
      </c>
      <c r="I458" s="160" t="s">
        <v>595</v>
      </c>
      <c r="J458" s="79"/>
      <c r="K458" s="79"/>
      <c r="L458" s="79"/>
      <c r="M458" s="79"/>
    </row>
    <row r="459" spans="1:13" ht="15.75" hidden="1" customHeight="1">
      <c r="A459" s="79"/>
      <c r="B459" s="160"/>
      <c r="C459" s="160"/>
      <c r="D459" s="160"/>
      <c r="E459" s="161" t="s">
        <v>143</v>
      </c>
      <c r="F459" s="161"/>
      <c r="G459" s="162">
        <v>0</v>
      </c>
      <c r="H459" s="79"/>
      <c r="I459" s="79"/>
      <c r="J459" s="79"/>
      <c r="K459" s="79"/>
      <c r="L459" s="79"/>
      <c r="M459" s="79"/>
    </row>
    <row r="460" spans="1:13" ht="15.75" customHeight="1">
      <c r="A460" s="163" t="s">
        <v>140</v>
      </c>
      <c r="B460" s="155">
        <v>45848</v>
      </c>
      <c r="C460" s="156">
        <v>0</v>
      </c>
      <c r="D460" s="156">
        <v>14138</v>
      </c>
      <c r="E460" s="157" t="s">
        <v>141</v>
      </c>
      <c r="F460" s="158">
        <v>202507090015363</v>
      </c>
      <c r="G460" s="159">
        <v>971.04</v>
      </c>
      <c r="H460" s="160" t="s">
        <v>903</v>
      </c>
      <c r="I460" s="160" t="s">
        <v>595</v>
      </c>
      <c r="J460" s="79"/>
      <c r="K460" s="79"/>
      <c r="L460" s="79"/>
      <c r="M460" s="79"/>
    </row>
    <row r="461" spans="1:13" ht="15.75" hidden="1" customHeight="1">
      <c r="A461" s="79"/>
      <c r="B461" s="160"/>
      <c r="C461" s="160"/>
      <c r="D461" s="160"/>
      <c r="E461" s="161" t="s">
        <v>143</v>
      </c>
      <c r="F461" s="161"/>
      <c r="G461" s="162">
        <v>0</v>
      </c>
      <c r="H461" s="79"/>
      <c r="I461" s="79"/>
      <c r="J461" s="79"/>
      <c r="K461" s="79"/>
      <c r="L461" s="79"/>
      <c r="M461" s="79"/>
    </row>
    <row r="462" spans="1:13" ht="15.75" customHeight="1">
      <c r="A462" s="163" t="s">
        <v>140</v>
      </c>
      <c r="B462" s="166">
        <v>45848</v>
      </c>
      <c r="C462" s="167">
        <v>0</v>
      </c>
      <c r="D462" s="167">
        <v>14138</v>
      </c>
      <c r="E462" s="168" t="s">
        <v>141</v>
      </c>
      <c r="F462" s="169">
        <v>202507090015368</v>
      </c>
      <c r="G462" s="170">
        <v>1476.65</v>
      </c>
      <c r="H462" s="176" t="s">
        <v>897</v>
      </c>
      <c r="I462" s="176" t="s">
        <v>595</v>
      </c>
      <c r="J462" s="79" t="s">
        <v>836</v>
      </c>
      <c r="K462" s="79"/>
      <c r="L462" s="79"/>
      <c r="M462" s="79"/>
    </row>
    <row r="463" spans="1:13" ht="15.75" hidden="1" customHeight="1">
      <c r="A463" s="79"/>
      <c r="B463" s="160"/>
      <c r="C463" s="160"/>
      <c r="D463" s="160"/>
      <c r="E463" s="161" t="s">
        <v>143</v>
      </c>
      <c r="F463" s="161"/>
      <c r="G463" s="162">
        <v>0</v>
      </c>
      <c r="H463" s="79"/>
      <c r="I463" s="79"/>
      <c r="J463" s="79"/>
      <c r="K463" s="79"/>
      <c r="L463" s="79"/>
      <c r="M463" s="79"/>
    </row>
    <row r="464" spans="1:13" ht="15.75" customHeight="1">
      <c r="A464" s="163" t="s">
        <v>140</v>
      </c>
      <c r="B464" s="155">
        <v>45848</v>
      </c>
      <c r="C464" s="156">
        <v>0</v>
      </c>
      <c r="D464" s="156">
        <v>14138</v>
      </c>
      <c r="E464" s="157" t="s">
        <v>141</v>
      </c>
      <c r="F464" s="158">
        <v>202507090015382</v>
      </c>
      <c r="G464" s="159">
        <v>1426.29</v>
      </c>
      <c r="H464" s="160" t="s">
        <v>904</v>
      </c>
      <c r="I464" s="160" t="s">
        <v>428</v>
      </c>
      <c r="J464" s="79"/>
      <c r="K464" s="79"/>
      <c r="L464" s="79"/>
      <c r="M464" s="79"/>
    </row>
    <row r="465" spans="1:13" ht="15.75" hidden="1" customHeight="1">
      <c r="A465" s="79"/>
      <c r="B465" s="160"/>
      <c r="C465" s="160"/>
      <c r="D465" s="160"/>
      <c r="E465" s="161" t="s">
        <v>143</v>
      </c>
      <c r="F465" s="161"/>
      <c r="G465" s="162">
        <v>0</v>
      </c>
      <c r="H465" s="79"/>
      <c r="I465" s="79"/>
      <c r="J465" s="79"/>
      <c r="K465" s="79"/>
      <c r="L465" s="79"/>
      <c r="M465" s="79"/>
    </row>
    <row r="466" spans="1:13" ht="15.75" customHeight="1">
      <c r="A466" s="163" t="s">
        <v>140</v>
      </c>
      <c r="B466" s="155">
        <v>45848</v>
      </c>
      <c r="C466" s="156">
        <v>0</v>
      </c>
      <c r="D466" s="156">
        <v>14138</v>
      </c>
      <c r="E466" s="157" t="s">
        <v>141</v>
      </c>
      <c r="F466" s="158">
        <v>202507090015388</v>
      </c>
      <c r="G466" s="159">
        <v>1668.08</v>
      </c>
      <c r="H466" s="160" t="s">
        <v>905</v>
      </c>
      <c r="I466" s="160" t="s">
        <v>428</v>
      </c>
      <c r="J466" s="79"/>
      <c r="K466" s="79"/>
      <c r="L466" s="79"/>
      <c r="M466" s="79"/>
    </row>
    <row r="467" spans="1:13" ht="15.75" hidden="1" customHeight="1">
      <c r="A467" s="79"/>
      <c r="B467" s="160"/>
      <c r="C467" s="160"/>
      <c r="D467" s="160"/>
      <c r="E467" s="161" t="s">
        <v>143</v>
      </c>
      <c r="F467" s="161"/>
      <c r="G467" s="162">
        <v>0</v>
      </c>
      <c r="H467" s="79"/>
      <c r="I467" s="79"/>
      <c r="J467" s="79"/>
      <c r="K467" s="79"/>
      <c r="L467" s="79"/>
      <c r="M467" s="79"/>
    </row>
    <row r="468" spans="1:13" ht="15.75" hidden="1" customHeight="1">
      <c r="A468" s="79"/>
      <c r="B468" s="155">
        <v>45848</v>
      </c>
      <c r="C468" s="156">
        <v>1533</v>
      </c>
      <c r="D468" s="156">
        <v>99008</v>
      </c>
      <c r="E468" s="157" t="s">
        <v>29</v>
      </c>
      <c r="F468" s="158">
        <v>317774</v>
      </c>
      <c r="G468" s="172">
        <v>150</v>
      </c>
      <c r="H468" s="79"/>
      <c r="I468" s="79"/>
      <c r="J468" s="79"/>
      <c r="K468" s="79"/>
      <c r="L468" s="79"/>
      <c r="M468" s="79"/>
    </row>
    <row r="469" spans="1:13" ht="15.75" hidden="1" customHeight="1">
      <c r="A469" s="79"/>
      <c r="B469" s="160"/>
      <c r="C469" s="160"/>
      <c r="D469" s="160"/>
      <c r="E469" s="161" t="s">
        <v>906</v>
      </c>
      <c r="F469" s="161"/>
      <c r="G469" s="162">
        <v>0</v>
      </c>
      <c r="H469" s="79"/>
      <c r="I469" s="79"/>
      <c r="J469" s="79"/>
      <c r="K469" s="79"/>
      <c r="L469" s="79"/>
      <c r="M469" s="79"/>
    </row>
    <row r="470" spans="1:13" ht="15.75" hidden="1" customHeight="1">
      <c r="A470" s="79"/>
      <c r="B470" s="155">
        <v>45848</v>
      </c>
      <c r="C470" s="156">
        <v>1533</v>
      </c>
      <c r="D470" s="156">
        <v>99008</v>
      </c>
      <c r="E470" s="157" t="s">
        <v>29</v>
      </c>
      <c r="F470" s="158">
        <v>526195</v>
      </c>
      <c r="G470" s="172">
        <v>35.5</v>
      </c>
      <c r="H470" s="79"/>
      <c r="I470" s="79"/>
      <c r="J470" s="79"/>
      <c r="K470" s="79"/>
      <c r="L470" s="79"/>
      <c r="M470" s="79"/>
    </row>
    <row r="471" spans="1:13" ht="15.75" hidden="1" customHeight="1">
      <c r="A471" s="79"/>
      <c r="B471" s="160"/>
      <c r="C471" s="160"/>
      <c r="D471" s="160"/>
      <c r="E471" s="161" t="s">
        <v>907</v>
      </c>
      <c r="F471" s="161"/>
      <c r="G471" s="162">
        <v>0</v>
      </c>
      <c r="H471" s="79"/>
      <c r="I471" s="79"/>
      <c r="J471" s="79"/>
      <c r="K471" s="79"/>
      <c r="L471" s="79"/>
      <c r="M471" s="79"/>
    </row>
    <row r="472" spans="1:13" ht="15.75" hidden="1" customHeight="1">
      <c r="A472" s="79"/>
      <c r="B472" s="155">
        <v>45848</v>
      </c>
      <c r="C472" s="156">
        <v>0</v>
      </c>
      <c r="D472" s="156">
        <v>13105</v>
      </c>
      <c r="E472" s="157" t="s">
        <v>80</v>
      </c>
      <c r="F472" s="158">
        <v>71001</v>
      </c>
      <c r="G472" s="172">
        <v>506.79</v>
      </c>
      <c r="H472" s="79"/>
      <c r="I472" s="79"/>
      <c r="J472" s="79"/>
      <c r="K472" s="79"/>
      <c r="L472" s="79"/>
      <c r="M472" s="79"/>
    </row>
    <row r="473" spans="1:13" ht="15.75" hidden="1" customHeight="1">
      <c r="A473" s="79"/>
      <c r="B473" s="160"/>
      <c r="C473" s="160"/>
      <c r="D473" s="160"/>
      <c r="E473" s="161" t="s">
        <v>154</v>
      </c>
      <c r="F473" s="161"/>
      <c r="G473" s="162">
        <v>0</v>
      </c>
      <c r="H473" s="79"/>
      <c r="I473" s="79"/>
      <c r="J473" s="79"/>
      <c r="K473" s="79"/>
      <c r="L473" s="79"/>
      <c r="M473" s="79"/>
    </row>
    <row r="474" spans="1:13" ht="15.75" hidden="1" customHeight="1">
      <c r="A474" s="79"/>
      <c r="B474" s="155">
        <v>45848</v>
      </c>
      <c r="C474" s="156">
        <v>0</v>
      </c>
      <c r="D474" s="156">
        <v>13105</v>
      </c>
      <c r="E474" s="157" t="s">
        <v>31</v>
      </c>
      <c r="F474" s="158">
        <v>71002</v>
      </c>
      <c r="G474" s="172">
        <v>229.11</v>
      </c>
      <c r="H474" s="79"/>
      <c r="I474" s="79"/>
      <c r="J474" s="79"/>
      <c r="K474" s="79"/>
      <c r="L474" s="79"/>
      <c r="M474" s="79"/>
    </row>
    <row r="475" spans="1:13" ht="15.75" hidden="1" customHeight="1">
      <c r="A475" s="79"/>
      <c r="B475" s="160"/>
      <c r="C475" s="160"/>
      <c r="D475" s="160"/>
      <c r="E475" s="161" t="s">
        <v>755</v>
      </c>
      <c r="F475" s="161"/>
      <c r="G475" s="162">
        <v>0</v>
      </c>
      <c r="H475" s="79"/>
      <c r="I475" s="79"/>
      <c r="J475" s="79"/>
      <c r="K475" s="79"/>
      <c r="L475" s="79"/>
      <c r="M475" s="79"/>
    </row>
    <row r="476" spans="1:13" ht="15.75" hidden="1" customHeight="1">
      <c r="A476" s="79"/>
      <c r="B476" s="155">
        <v>45848</v>
      </c>
      <c r="C476" s="156">
        <v>0</v>
      </c>
      <c r="D476" s="156">
        <v>13105</v>
      </c>
      <c r="E476" s="157" t="s">
        <v>118</v>
      </c>
      <c r="F476" s="158">
        <v>71003</v>
      </c>
      <c r="G476" s="172">
        <v>30000</v>
      </c>
      <c r="H476" s="79"/>
      <c r="I476" s="79"/>
      <c r="J476" s="79"/>
      <c r="K476" s="79"/>
      <c r="L476" s="79"/>
      <c r="M476" s="79"/>
    </row>
    <row r="477" spans="1:13" ht="22.5" hidden="1" customHeight="1">
      <c r="A477" s="79"/>
      <c r="B477" s="160"/>
      <c r="C477" s="160"/>
      <c r="D477" s="160"/>
      <c r="E477" s="161" t="s">
        <v>908</v>
      </c>
      <c r="F477" s="161"/>
      <c r="G477" s="162">
        <v>0</v>
      </c>
      <c r="H477" s="79"/>
      <c r="I477" s="79"/>
      <c r="J477" s="79"/>
      <c r="K477" s="79"/>
      <c r="L477" s="79"/>
      <c r="M477" s="79"/>
    </row>
    <row r="478" spans="1:13" ht="15.75" hidden="1" customHeight="1">
      <c r="A478" s="79"/>
      <c r="B478" s="155">
        <v>45848</v>
      </c>
      <c r="C478" s="156">
        <v>0</v>
      </c>
      <c r="D478" s="156">
        <v>13113</v>
      </c>
      <c r="E478" s="157" t="s">
        <v>189</v>
      </c>
      <c r="F478" s="158">
        <v>891911200133786</v>
      </c>
      <c r="G478" s="172">
        <v>10</v>
      </c>
      <c r="H478" s="79"/>
      <c r="I478" s="79"/>
      <c r="J478" s="79"/>
      <c r="K478" s="79"/>
      <c r="L478" s="79"/>
      <c r="M478" s="79"/>
    </row>
    <row r="479" spans="1:13" ht="15.75" hidden="1" customHeight="1">
      <c r="A479" s="79"/>
      <c r="B479" s="160"/>
      <c r="C479" s="160"/>
      <c r="D479" s="160"/>
      <c r="E479" s="161" t="s">
        <v>909</v>
      </c>
      <c r="F479" s="161"/>
      <c r="G479" s="162">
        <v>0</v>
      </c>
      <c r="H479" s="79"/>
      <c r="I479" s="79"/>
      <c r="J479" s="79"/>
      <c r="K479" s="79"/>
      <c r="L479" s="79"/>
      <c r="M479" s="79"/>
    </row>
    <row r="480" spans="1:13" ht="15.75" hidden="1" customHeight="1">
      <c r="A480" s="79"/>
      <c r="B480" s="155">
        <v>45848</v>
      </c>
      <c r="C480" s="156">
        <v>0</v>
      </c>
      <c r="D480" s="156">
        <v>13013</v>
      </c>
      <c r="E480" s="157" t="s">
        <v>87</v>
      </c>
      <c r="F480" s="158">
        <v>46301</v>
      </c>
      <c r="G480" s="172">
        <v>54.12</v>
      </c>
      <c r="H480" s="79"/>
      <c r="I480" s="79"/>
      <c r="J480" s="79"/>
      <c r="K480" s="79"/>
      <c r="L480" s="79"/>
      <c r="M480" s="79"/>
    </row>
    <row r="481" spans="1:13" ht="15.75" hidden="1" customHeight="1">
      <c r="A481" s="79"/>
      <c r="B481" s="160"/>
      <c r="C481" s="160"/>
      <c r="D481" s="160"/>
      <c r="E481" s="161" t="s">
        <v>88</v>
      </c>
      <c r="F481" s="161"/>
      <c r="G481" s="162">
        <v>0</v>
      </c>
      <c r="H481" s="79"/>
      <c r="I481" s="79"/>
      <c r="J481" s="79"/>
      <c r="K481" s="79"/>
      <c r="L481" s="79"/>
      <c r="M481" s="79"/>
    </row>
    <row r="482" spans="1:13" ht="15.75" hidden="1" customHeight="1">
      <c r="A482" s="79"/>
      <c r="B482" s="155">
        <v>45848</v>
      </c>
      <c r="C482" s="156">
        <v>0</v>
      </c>
      <c r="D482" s="156">
        <v>0</v>
      </c>
      <c r="E482" s="157" t="s">
        <v>52</v>
      </c>
      <c r="F482" s="158">
        <v>9903</v>
      </c>
      <c r="G482" s="159">
        <v>1821.24</v>
      </c>
      <c r="H482" s="79"/>
      <c r="I482" s="79"/>
      <c r="J482" s="79"/>
      <c r="K482" s="79"/>
      <c r="L482" s="79"/>
      <c r="M482" s="79"/>
    </row>
    <row r="483" spans="1:13" ht="15.75" hidden="1" customHeight="1">
      <c r="A483" s="79"/>
      <c r="B483" s="160"/>
      <c r="C483" s="160"/>
      <c r="D483" s="160"/>
      <c r="E483" s="161" t="s">
        <v>53</v>
      </c>
      <c r="F483" s="161"/>
      <c r="G483" s="162">
        <v>0</v>
      </c>
      <c r="H483" s="79"/>
      <c r="I483" s="79"/>
      <c r="J483" s="79"/>
      <c r="K483" s="79"/>
      <c r="L483" s="79"/>
      <c r="M483" s="79"/>
    </row>
    <row r="484" spans="1:13" ht="15.75" hidden="1" customHeight="1">
      <c r="A484" s="79"/>
      <c r="B484" s="155">
        <v>45849</v>
      </c>
      <c r="C484" s="156">
        <v>1533</v>
      </c>
      <c r="D484" s="156">
        <v>99008</v>
      </c>
      <c r="E484" s="157" t="s">
        <v>29</v>
      </c>
      <c r="F484" s="158">
        <v>226916</v>
      </c>
      <c r="G484" s="172">
        <v>244.02</v>
      </c>
      <c r="H484" s="79"/>
      <c r="I484" s="79"/>
      <c r="J484" s="79"/>
      <c r="K484" s="79"/>
      <c r="L484" s="79"/>
      <c r="M484" s="79"/>
    </row>
    <row r="485" spans="1:13" ht="15.75" hidden="1" customHeight="1">
      <c r="A485" s="79"/>
      <c r="B485" s="160"/>
      <c r="C485" s="160"/>
      <c r="D485" s="160"/>
      <c r="E485" s="161" t="s">
        <v>910</v>
      </c>
      <c r="F485" s="161"/>
      <c r="G485" s="162">
        <v>0</v>
      </c>
      <c r="H485" s="79"/>
      <c r="I485" s="79"/>
      <c r="J485" s="79"/>
      <c r="K485" s="79"/>
      <c r="L485" s="79"/>
      <c r="M485" s="79"/>
    </row>
    <row r="486" spans="1:13" ht="15.75" hidden="1" customHeight="1">
      <c r="A486" s="79"/>
      <c r="B486" s="155">
        <v>45849</v>
      </c>
      <c r="C486" s="156">
        <v>1533</v>
      </c>
      <c r="D486" s="156">
        <v>99008</v>
      </c>
      <c r="E486" s="157" t="s">
        <v>29</v>
      </c>
      <c r="F486" s="158">
        <v>776806</v>
      </c>
      <c r="G486" s="172">
        <v>120</v>
      </c>
      <c r="H486" s="79"/>
      <c r="I486" s="79"/>
      <c r="J486" s="79"/>
      <c r="K486" s="79"/>
      <c r="L486" s="79"/>
      <c r="M486" s="79"/>
    </row>
    <row r="487" spans="1:13" ht="15.75" hidden="1" customHeight="1">
      <c r="A487" s="79"/>
      <c r="B487" s="160"/>
      <c r="C487" s="160"/>
      <c r="D487" s="160"/>
      <c r="E487" s="161" t="s">
        <v>911</v>
      </c>
      <c r="F487" s="161"/>
      <c r="G487" s="162">
        <v>0</v>
      </c>
      <c r="H487" s="79"/>
      <c r="I487" s="79"/>
      <c r="J487" s="79"/>
      <c r="K487" s="79"/>
      <c r="L487" s="79"/>
      <c r="M487" s="79"/>
    </row>
    <row r="488" spans="1:13" ht="15.75" hidden="1" customHeight="1">
      <c r="A488" s="79"/>
      <c r="B488" s="155">
        <v>45849</v>
      </c>
      <c r="C488" s="156">
        <v>0</v>
      </c>
      <c r="D488" s="156">
        <v>13105</v>
      </c>
      <c r="E488" s="157" t="s">
        <v>31</v>
      </c>
      <c r="F488" s="158">
        <v>71101</v>
      </c>
      <c r="G488" s="172">
        <v>298</v>
      </c>
      <c r="H488" s="79"/>
      <c r="I488" s="79"/>
      <c r="J488" s="79"/>
      <c r="K488" s="79"/>
      <c r="L488" s="79"/>
      <c r="M488" s="79"/>
    </row>
    <row r="489" spans="1:13" ht="15.75" hidden="1" customHeight="1">
      <c r="A489" s="79"/>
      <c r="B489" s="160"/>
      <c r="C489" s="160"/>
      <c r="D489" s="160"/>
      <c r="E489" s="161" t="s">
        <v>912</v>
      </c>
      <c r="F489" s="161"/>
      <c r="G489" s="162">
        <v>0</v>
      </c>
      <c r="H489" s="79"/>
      <c r="I489" s="79"/>
      <c r="J489" s="79"/>
      <c r="K489" s="79"/>
      <c r="L489" s="79"/>
      <c r="M489" s="79"/>
    </row>
    <row r="490" spans="1:13" ht="15.75" hidden="1" customHeight="1">
      <c r="A490" s="79"/>
      <c r="B490" s="155">
        <v>45849</v>
      </c>
      <c r="C490" s="156">
        <v>0</v>
      </c>
      <c r="D490" s="156">
        <v>13105</v>
      </c>
      <c r="E490" s="157" t="s">
        <v>31</v>
      </c>
      <c r="F490" s="158">
        <v>71102</v>
      </c>
      <c r="G490" s="172">
        <v>776.45</v>
      </c>
      <c r="H490" s="79"/>
      <c r="I490" s="79"/>
      <c r="J490" s="79"/>
      <c r="K490" s="79"/>
      <c r="L490" s="79"/>
      <c r="M490" s="79"/>
    </row>
    <row r="491" spans="1:13" ht="15.75" hidden="1" customHeight="1">
      <c r="A491" s="79"/>
      <c r="B491" s="160"/>
      <c r="C491" s="160"/>
      <c r="D491" s="160"/>
      <c r="E491" s="161" t="s">
        <v>65</v>
      </c>
      <c r="F491" s="161"/>
      <c r="G491" s="162">
        <v>0</v>
      </c>
      <c r="H491" s="79"/>
      <c r="I491" s="79"/>
      <c r="J491" s="79"/>
      <c r="K491" s="79"/>
      <c r="L491" s="79"/>
      <c r="M491" s="79"/>
    </row>
    <row r="492" spans="1:13" ht="15.75" hidden="1" customHeight="1">
      <c r="A492" s="79"/>
      <c r="B492" s="155">
        <v>45849</v>
      </c>
      <c r="C492" s="156">
        <v>0</v>
      </c>
      <c r="D492" s="156">
        <v>13105</v>
      </c>
      <c r="E492" s="157" t="s">
        <v>31</v>
      </c>
      <c r="F492" s="158">
        <v>71103</v>
      </c>
      <c r="G492" s="172">
        <v>188.05</v>
      </c>
      <c r="H492" s="79"/>
      <c r="I492" s="79"/>
      <c r="J492" s="79"/>
      <c r="K492" s="79"/>
      <c r="L492" s="79"/>
      <c r="M492" s="79"/>
    </row>
    <row r="493" spans="1:13" ht="15.75" hidden="1" customHeight="1">
      <c r="A493" s="79"/>
      <c r="B493" s="160"/>
      <c r="C493" s="160"/>
      <c r="D493" s="160"/>
      <c r="E493" s="161" t="s">
        <v>51</v>
      </c>
      <c r="F493" s="161"/>
      <c r="G493" s="162">
        <v>0</v>
      </c>
      <c r="H493" s="79"/>
      <c r="I493" s="79"/>
      <c r="J493" s="79"/>
      <c r="K493" s="79"/>
      <c r="L493" s="79"/>
      <c r="M493" s="79"/>
    </row>
    <row r="494" spans="1:13" ht="15.75" hidden="1" customHeight="1">
      <c r="A494" s="79"/>
      <c r="B494" s="155">
        <v>45849</v>
      </c>
      <c r="C494" s="156">
        <v>0</v>
      </c>
      <c r="D494" s="156">
        <v>0</v>
      </c>
      <c r="E494" s="157" t="s">
        <v>52</v>
      </c>
      <c r="F494" s="158">
        <v>9903</v>
      </c>
      <c r="G494" s="159">
        <v>1626.52</v>
      </c>
      <c r="H494" s="79"/>
      <c r="I494" s="79"/>
      <c r="J494" s="79"/>
      <c r="K494" s="79"/>
      <c r="L494" s="79"/>
      <c r="M494" s="79"/>
    </row>
    <row r="495" spans="1:13" ht="15.75" hidden="1" customHeight="1">
      <c r="A495" s="79"/>
      <c r="B495" s="160"/>
      <c r="C495" s="160"/>
      <c r="D495" s="160"/>
      <c r="E495" s="161" t="s">
        <v>53</v>
      </c>
      <c r="F495" s="161"/>
      <c r="G495" s="162">
        <v>0</v>
      </c>
      <c r="H495" s="79"/>
      <c r="I495" s="79"/>
      <c r="J495" s="79"/>
      <c r="K495" s="79"/>
      <c r="L495" s="79"/>
      <c r="M495" s="79"/>
    </row>
    <row r="496" spans="1:13" ht="15.75" hidden="1" customHeight="1">
      <c r="A496" s="79"/>
      <c r="B496" s="155">
        <v>45852</v>
      </c>
      <c r="C496" s="156">
        <v>0</v>
      </c>
      <c r="D496" s="156">
        <v>14397</v>
      </c>
      <c r="E496" s="157" t="s">
        <v>57</v>
      </c>
      <c r="F496" s="158">
        <v>140909506403211</v>
      </c>
      <c r="G496" s="159">
        <v>136.22999999999999</v>
      </c>
      <c r="H496" s="79"/>
      <c r="I496" s="79"/>
      <c r="J496" s="79"/>
      <c r="K496" s="79"/>
      <c r="L496" s="79"/>
      <c r="M496" s="79"/>
    </row>
    <row r="497" spans="1:13" ht="15.75" hidden="1" customHeight="1">
      <c r="A497" s="79"/>
      <c r="B497" s="160"/>
      <c r="C497" s="160"/>
      <c r="D497" s="160"/>
      <c r="E497" s="161" t="s">
        <v>913</v>
      </c>
      <c r="F497" s="161"/>
      <c r="G497" s="162">
        <v>0</v>
      </c>
      <c r="H497" s="79"/>
      <c r="I497" s="79"/>
      <c r="J497" s="79"/>
      <c r="K497" s="79"/>
      <c r="L497" s="79"/>
      <c r="M497" s="79"/>
    </row>
    <row r="498" spans="1:13" ht="15.75" hidden="1" customHeight="1">
      <c r="A498" s="79"/>
      <c r="B498" s="155">
        <v>45852</v>
      </c>
      <c r="C498" s="156">
        <v>0</v>
      </c>
      <c r="D498" s="156">
        <v>14397</v>
      </c>
      <c r="E498" s="157" t="s">
        <v>57</v>
      </c>
      <c r="F498" s="158">
        <v>141010316086432</v>
      </c>
      <c r="G498" s="159">
        <v>446</v>
      </c>
      <c r="H498" s="79"/>
      <c r="I498" s="79"/>
      <c r="J498" s="79"/>
      <c r="K498" s="79"/>
      <c r="L498" s="79"/>
      <c r="M498" s="79"/>
    </row>
    <row r="499" spans="1:13" ht="15.75" hidden="1" customHeight="1">
      <c r="A499" s="79"/>
      <c r="B499" s="160"/>
      <c r="C499" s="160"/>
      <c r="D499" s="160"/>
      <c r="E499" s="161" t="s">
        <v>914</v>
      </c>
      <c r="F499" s="161"/>
      <c r="G499" s="162">
        <v>0</v>
      </c>
      <c r="H499" s="79"/>
      <c r="I499" s="79"/>
      <c r="J499" s="79"/>
      <c r="K499" s="79"/>
      <c r="L499" s="79"/>
      <c r="M499" s="79"/>
    </row>
    <row r="500" spans="1:13" ht="15.75" hidden="1" customHeight="1">
      <c r="A500" s="79"/>
      <c r="B500" s="155">
        <v>45852</v>
      </c>
      <c r="C500" s="156">
        <v>0</v>
      </c>
      <c r="D500" s="156">
        <v>14397</v>
      </c>
      <c r="E500" s="157" t="s">
        <v>57</v>
      </c>
      <c r="F500" s="158">
        <v>141546531944621</v>
      </c>
      <c r="G500" s="159">
        <v>343.32</v>
      </c>
      <c r="H500" s="79"/>
      <c r="I500" s="79"/>
      <c r="J500" s="79"/>
      <c r="K500" s="79"/>
      <c r="L500" s="79"/>
      <c r="M500" s="79"/>
    </row>
    <row r="501" spans="1:13" ht="15.75" hidden="1" customHeight="1">
      <c r="A501" s="79"/>
      <c r="B501" s="160"/>
      <c r="C501" s="160"/>
      <c r="D501" s="160"/>
      <c r="E501" s="161" t="s">
        <v>915</v>
      </c>
      <c r="F501" s="161"/>
      <c r="G501" s="162">
        <v>0</v>
      </c>
      <c r="H501" s="79"/>
      <c r="I501" s="79"/>
      <c r="J501" s="79"/>
      <c r="K501" s="79"/>
      <c r="L501" s="79"/>
      <c r="M501" s="79"/>
    </row>
    <row r="502" spans="1:13" ht="15.75" hidden="1" customHeight="1">
      <c r="A502" s="79"/>
      <c r="B502" s="155">
        <v>45852</v>
      </c>
      <c r="C502" s="156">
        <v>1533</v>
      </c>
      <c r="D502" s="156">
        <v>99008</v>
      </c>
      <c r="E502" s="157" t="s">
        <v>29</v>
      </c>
      <c r="F502" s="158">
        <v>357629</v>
      </c>
      <c r="G502" s="172">
        <v>441.27</v>
      </c>
      <c r="H502" s="79"/>
      <c r="I502" s="79"/>
      <c r="J502" s="79"/>
      <c r="K502" s="79"/>
      <c r="L502" s="79"/>
      <c r="M502" s="79"/>
    </row>
    <row r="503" spans="1:13" ht="15.75" hidden="1" customHeight="1">
      <c r="A503" s="79"/>
      <c r="B503" s="160"/>
      <c r="C503" s="160"/>
      <c r="D503" s="160"/>
      <c r="E503" s="161" t="s">
        <v>916</v>
      </c>
      <c r="F503" s="161"/>
      <c r="G503" s="162">
        <v>0</v>
      </c>
      <c r="H503" s="79"/>
      <c r="I503" s="79"/>
      <c r="J503" s="79"/>
      <c r="K503" s="79"/>
      <c r="L503" s="79"/>
      <c r="M503" s="79"/>
    </row>
    <row r="504" spans="1:13" ht="15.75" hidden="1" customHeight="1">
      <c r="A504" s="79"/>
      <c r="B504" s="155">
        <v>45852</v>
      </c>
      <c r="C504" s="156">
        <v>0</v>
      </c>
      <c r="D504" s="156">
        <v>13105</v>
      </c>
      <c r="E504" s="157" t="s">
        <v>31</v>
      </c>
      <c r="F504" s="158">
        <v>71401</v>
      </c>
      <c r="G504" s="172">
        <v>1991.13</v>
      </c>
      <c r="H504" s="79"/>
      <c r="I504" s="79"/>
      <c r="J504" s="79"/>
      <c r="K504" s="79"/>
      <c r="L504" s="79"/>
      <c r="M504" s="79"/>
    </row>
    <row r="505" spans="1:13" ht="15.75" hidden="1" customHeight="1">
      <c r="A505" s="79"/>
      <c r="B505" s="160"/>
      <c r="C505" s="160"/>
      <c r="D505" s="160"/>
      <c r="E505" s="161" t="s">
        <v>65</v>
      </c>
      <c r="F505" s="161"/>
      <c r="G505" s="162">
        <v>0</v>
      </c>
      <c r="H505" s="79"/>
      <c r="I505" s="79"/>
      <c r="J505" s="79"/>
      <c r="K505" s="79"/>
      <c r="L505" s="79"/>
      <c r="M505" s="79"/>
    </row>
    <row r="506" spans="1:13" ht="15.75" hidden="1" customHeight="1">
      <c r="A506" s="79"/>
      <c r="B506" s="155">
        <v>45852</v>
      </c>
      <c r="C506" s="156">
        <v>0</v>
      </c>
      <c r="D506" s="156">
        <v>13105</v>
      </c>
      <c r="E506" s="157" t="s">
        <v>31</v>
      </c>
      <c r="F506" s="158">
        <v>71402</v>
      </c>
      <c r="G506" s="172">
        <v>1883.33</v>
      </c>
      <c r="H506" s="79"/>
      <c r="I506" s="79"/>
      <c r="J506" s="79"/>
      <c r="K506" s="79"/>
      <c r="L506" s="79"/>
      <c r="M506" s="79"/>
    </row>
    <row r="507" spans="1:13" ht="15.75" hidden="1" customHeight="1">
      <c r="A507" s="79"/>
      <c r="B507" s="160"/>
      <c r="C507" s="160"/>
      <c r="D507" s="160"/>
      <c r="E507" s="161" t="s">
        <v>65</v>
      </c>
      <c r="F507" s="161"/>
      <c r="G507" s="162">
        <v>0</v>
      </c>
      <c r="H507" s="79"/>
      <c r="I507" s="79"/>
      <c r="J507" s="79"/>
      <c r="K507" s="79"/>
      <c r="L507" s="79"/>
      <c r="M507" s="79"/>
    </row>
    <row r="508" spans="1:13" ht="15.75" hidden="1" customHeight="1">
      <c r="A508" s="79"/>
      <c r="B508" s="155">
        <v>45852</v>
      </c>
      <c r="C508" s="156">
        <v>0</v>
      </c>
      <c r="D508" s="156">
        <v>13105</v>
      </c>
      <c r="E508" s="157" t="s">
        <v>31</v>
      </c>
      <c r="F508" s="158">
        <v>71403</v>
      </c>
      <c r="G508" s="172">
        <v>452.88</v>
      </c>
      <c r="H508" s="79"/>
      <c r="I508" s="79"/>
      <c r="J508" s="79"/>
      <c r="K508" s="79"/>
      <c r="L508" s="79"/>
      <c r="M508" s="79"/>
    </row>
    <row r="509" spans="1:13" ht="15.75" hidden="1" customHeight="1">
      <c r="A509" s="79"/>
      <c r="B509" s="160"/>
      <c r="C509" s="160"/>
      <c r="D509" s="160"/>
      <c r="E509" s="161" t="s">
        <v>41</v>
      </c>
      <c r="F509" s="161"/>
      <c r="G509" s="162">
        <v>0</v>
      </c>
      <c r="H509" s="79"/>
      <c r="I509" s="79"/>
      <c r="J509" s="79"/>
      <c r="K509" s="79"/>
      <c r="L509" s="79"/>
      <c r="M509" s="79"/>
    </row>
    <row r="510" spans="1:13" ht="15.75" hidden="1" customHeight="1">
      <c r="A510" s="79"/>
      <c r="B510" s="155">
        <v>45852</v>
      </c>
      <c r="C510" s="156">
        <v>0</v>
      </c>
      <c r="D510" s="156">
        <v>13105</v>
      </c>
      <c r="E510" s="157" t="s">
        <v>31</v>
      </c>
      <c r="F510" s="158">
        <v>71404</v>
      </c>
      <c r="G510" s="172">
        <v>5099.49</v>
      </c>
      <c r="H510" s="79"/>
      <c r="I510" s="79"/>
      <c r="J510" s="79"/>
      <c r="K510" s="79"/>
      <c r="L510" s="79"/>
      <c r="M510" s="79"/>
    </row>
    <row r="511" spans="1:13" ht="15.75" hidden="1" customHeight="1">
      <c r="A511" s="79"/>
      <c r="B511" s="160"/>
      <c r="C511" s="160"/>
      <c r="D511" s="160"/>
      <c r="E511" s="161" t="s">
        <v>362</v>
      </c>
      <c r="F511" s="161"/>
      <c r="G511" s="162">
        <v>0</v>
      </c>
      <c r="H511" s="79"/>
      <c r="I511" s="79"/>
      <c r="J511" s="79"/>
      <c r="K511" s="79"/>
      <c r="L511" s="79"/>
      <c r="M511" s="79"/>
    </row>
    <row r="512" spans="1:13" ht="15.75" hidden="1" customHeight="1">
      <c r="A512" s="79"/>
      <c r="B512" s="155">
        <v>45852</v>
      </c>
      <c r="C512" s="156">
        <v>0</v>
      </c>
      <c r="D512" s="156">
        <v>13105</v>
      </c>
      <c r="E512" s="157" t="s">
        <v>31</v>
      </c>
      <c r="F512" s="158">
        <v>71405</v>
      </c>
      <c r="G512" s="172">
        <v>305.73</v>
      </c>
      <c r="H512" s="79"/>
      <c r="I512" s="79"/>
      <c r="J512" s="79"/>
      <c r="K512" s="79"/>
      <c r="L512" s="79"/>
      <c r="M512" s="79"/>
    </row>
    <row r="513" spans="1:13" ht="15.75" hidden="1" customHeight="1">
      <c r="A513" s="79"/>
      <c r="B513" s="160"/>
      <c r="C513" s="160"/>
      <c r="D513" s="160"/>
      <c r="E513" s="161" t="s">
        <v>46</v>
      </c>
      <c r="F513" s="161"/>
      <c r="G513" s="162">
        <v>0</v>
      </c>
      <c r="H513" s="79"/>
      <c r="I513" s="79"/>
      <c r="J513" s="79"/>
      <c r="K513" s="79"/>
      <c r="L513" s="79"/>
      <c r="M513" s="79"/>
    </row>
    <row r="514" spans="1:13" ht="15.75" hidden="1" customHeight="1">
      <c r="A514" s="79"/>
      <c r="B514" s="155">
        <v>45852</v>
      </c>
      <c r="C514" s="156">
        <v>0</v>
      </c>
      <c r="D514" s="156">
        <v>13105</v>
      </c>
      <c r="E514" s="157" t="s">
        <v>31</v>
      </c>
      <c r="F514" s="158">
        <v>71406</v>
      </c>
      <c r="G514" s="172">
        <v>390.73</v>
      </c>
      <c r="H514" s="79"/>
      <c r="I514" s="79"/>
      <c r="J514" s="79"/>
      <c r="K514" s="79"/>
      <c r="L514" s="79"/>
      <c r="M514" s="79"/>
    </row>
    <row r="515" spans="1:13" ht="15.75" hidden="1" customHeight="1">
      <c r="A515" s="79"/>
      <c r="B515" s="160"/>
      <c r="C515" s="160"/>
      <c r="D515" s="160"/>
      <c r="E515" s="161" t="s">
        <v>231</v>
      </c>
      <c r="F515" s="161"/>
      <c r="G515" s="162">
        <v>0</v>
      </c>
      <c r="H515" s="79"/>
      <c r="I515" s="79"/>
      <c r="J515" s="79"/>
      <c r="K515" s="79"/>
      <c r="L515" s="79"/>
      <c r="M515" s="79"/>
    </row>
    <row r="516" spans="1:13" ht="15.75" hidden="1" customHeight="1">
      <c r="A516" s="79"/>
      <c r="B516" s="155">
        <v>45852</v>
      </c>
      <c r="C516" s="156">
        <v>0</v>
      </c>
      <c r="D516" s="156">
        <v>13105</v>
      </c>
      <c r="E516" s="157" t="s">
        <v>31</v>
      </c>
      <c r="F516" s="158">
        <v>71407</v>
      </c>
      <c r="G516" s="172">
        <v>314.94</v>
      </c>
      <c r="H516" s="79"/>
      <c r="I516" s="79"/>
      <c r="J516" s="79"/>
      <c r="K516" s="79"/>
      <c r="L516" s="79"/>
      <c r="M516" s="79"/>
    </row>
    <row r="517" spans="1:13" ht="15.75" hidden="1" customHeight="1">
      <c r="A517" s="79"/>
      <c r="B517" s="160"/>
      <c r="C517" s="160"/>
      <c r="D517" s="160"/>
      <c r="E517" s="161" t="s">
        <v>78</v>
      </c>
      <c r="F517" s="161"/>
      <c r="G517" s="162">
        <v>0</v>
      </c>
      <c r="H517" s="79"/>
      <c r="I517" s="79"/>
      <c r="J517" s="79"/>
      <c r="K517" s="79"/>
      <c r="L517" s="79"/>
      <c r="M517" s="79"/>
    </row>
    <row r="518" spans="1:13" ht="15.75" hidden="1" customHeight="1">
      <c r="A518" s="79"/>
      <c r="B518" s="155">
        <v>45852</v>
      </c>
      <c r="C518" s="156">
        <v>0</v>
      </c>
      <c r="D518" s="156">
        <v>13105</v>
      </c>
      <c r="E518" s="157" t="s">
        <v>31</v>
      </c>
      <c r="F518" s="158">
        <v>71408</v>
      </c>
      <c r="G518" s="172">
        <v>325.92</v>
      </c>
      <c r="H518" s="79"/>
      <c r="I518" s="79"/>
      <c r="J518" s="79"/>
      <c r="K518" s="79"/>
      <c r="L518" s="79"/>
      <c r="M518" s="79"/>
    </row>
    <row r="519" spans="1:13" ht="15.75" hidden="1" customHeight="1">
      <c r="A519" s="79"/>
      <c r="B519" s="160"/>
      <c r="C519" s="160"/>
      <c r="D519" s="160"/>
      <c r="E519" s="161" t="s">
        <v>200</v>
      </c>
      <c r="F519" s="161"/>
      <c r="G519" s="162">
        <v>0</v>
      </c>
      <c r="H519" s="79"/>
      <c r="I519" s="79"/>
      <c r="J519" s="79"/>
      <c r="K519" s="79"/>
      <c r="L519" s="79"/>
      <c r="M519" s="79"/>
    </row>
    <row r="520" spans="1:13" ht="15.75" hidden="1" customHeight="1">
      <c r="A520" s="79"/>
      <c r="B520" s="155">
        <v>45852</v>
      </c>
      <c r="C520" s="156">
        <v>0</v>
      </c>
      <c r="D520" s="156">
        <v>13105</v>
      </c>
      <c r="E520" s="157" t="s">
        <v>80</v>
      </c>
      <c r="F520" s="158">
        <v>71409</v>
      </c>
      <c r="G520" s="172">
        <v>4695.01</v>
      </c>
      <c r="H520" s="79"/>
      <c r="I520" s="79"/>
      <c r="J520" s="79"/>
      <c r="K520" s="79"/>
      <c r="L520" s="79"/>
      <c r="M520" s="79"/>
    </row>
    <row r="521" spans="1:13" ht="15.75" hidden="1" customHeight="1">
      <c r="A521" s="79"/>
      <c r="B521" s="160"/>
      <c r="C521" s="160"/>
      <c r="D521" s="160"/>
      <c r="E521" s="161" t="s">
        <v>172</v>
      </c>
      <c r="F521" s="161"/>
      <c r="G521" s="162">
        <v>0</v>
      </c>
      <c r="H521" s="79"/>
      <c r="I521" s="79"/>
      <c r="J521" s="79"/>
      <c r="K521" s="79"/>
      <c r="L521" s="79"/>
      <c r="M521" s="79"/>
    </row>
    <row r="522" spans="1:13" ht="15.75" hidden="1" customHeight="1">
      <c r="A522" s="79"/>
      <c r="B522" s="155">
        <v>45852</v>
      </c>
      <c r="C522" s="156">
        <v>0</v>
      </c>
      <c r="D522" s="156">
        <v>0</v>
      </c>
      <c r="E522" s="157" t="s">
        <v>52</v>
      </c>
      <c r="F522" s="158">
        <v>9903</v>
      </c>
      <c r="G522" s="159">
        <v>14974.88</v>
      </c>
      <c r="H522" s="79"/>
      <c r="I522" s="79"/>
      <c r="J522" s="79"/>
      <c r="K522" s="79"/>
      <c r="L522" s="79"/>
      <c r="M522" s="79"/>
    </row>
    <row r="523" spans="1:13" ht="15.75" hidden="1" customHeight="1">
      <c r="A523" s="79"/>
      <c r="B523" s="160"/>
      <c r="C523" s="160"/>
      <c r="D523" s="160"/>
      <c r="E523" s="161" t="s">
        <v>53</v>
      </c>
      <c r="F523" s="161"/>
      <c r="G523" s="162">
        <v>0</v>
      </c>
      <c r="H523" s="79"/>
      <c r="I523" s="79"/>
      <c r="J523" s="79"/>
      <c r="K523" s="79"/>
      <c r="L523" s="79"/>
      <c r="M523" s="79"/>
    </row>
    <row r="524" spans="1:13" ht="15.75" hidden="1" customHeight="1">
      <c r="A524" s="79"/>
      <c r="B524" s="155">
        <v>45853</v>
      </c>
      <c r="C524" s="156">
        <v>0</v>
      </c>
      <c r="D524" s="156">
        <v>14397</v>
      </c>
      <c r="E524" s="157" t="s">
        <v>57</v>
      </c>
      <c r="F524" s="158">
        <v>150941528545142</v>
      </c>
      <c r="G524" s="159">
        <v>1103.55</v>
      </c>
      <c r="H524" s="79"/>
      <c r="I524" s="79"/>
      <c r="J524" s="79"/>
      <c r="K524" s="79"/>
      <c r="L524" s="79"/>
      <c r="M524" s="79"/>
    </row>
    <row r="525" spans="1:13" ht="15.75" hidden="1" customHeight="1">
      <c r="A525" s="79"/>
      <c r="B525" s="160"/>
      <c r="C525" s="160"/>
      <c r="D525" s="160"/>
      <c r="E525" s="161" t="s">
        <v>917</v>
      </c>
      <c r="F525" s="161"/>
      <c r="G525" s="162">
        <v>0</v>
      </c>
      <c r="H525" s="79"/>
      <c r="I525" s="79"/>
      <c r="J525" s="79"/>
      <c r="K525" s="79"/>
      <c r="L525" s="79"/>
      <c r="M525" s="79"/>
    </row>
    <row r="526" spans="1:13" ht="15.75" hidden="1" customHeight="1">
      <c r="A526" s="79"/>
      <c r="B526" s="155">
        <v>45853</v>
      </c>
      <c r="C526" s="156">
        <v>0</v>
      </c>
      <c r="D526" s="156">
        <v>14397</v>
      </c>
      <c r="E526" s="157" t="s">
        <v>57</v>
      </c>
      <c r="F526" s="158">
        <v>151553377278972</v>
      </c>
      <c r="G526" s="159">
        <v>10143</v>
      </c>
      <c r="H526" s="79"/>
      <c r="I526" s="79"/>
      <c r="J526" s="79"/>
      <c r="K526" s="79"/>
      <c r="L526" s="79"/>
      <c r="M526" s="79"/>
    </row>
    <row r="527" spans="1:13" ht="15.75" hidden="1" customHeight="1">
      <c r="A527" s="79"/>
      <c r="B527" s="160"/>
      <c r="C527" s="160"/>
      <c r="D527" s="160"/>
      <c r="E527" s="161" t="s">
        <v>918</v>
      </c>
      <c r="F527" s="161"/>
      <c r="G527" s="162">
        <v>0</v>
      </c>
      <c r="H527" s="79"/>
      <c r="I527" s="79"/>
      <c r="J527" s="79"/>
      <c r="K527" s="79"/>
      <c r="L527" s="79"/>
      <c r="M527" s="79"/>
    </row>
    <row r="528" spans="1:13" ht="15.75" hidden="1" customHeight="1">
      <c r="A528" s="79"/>
      <c r="B528" s="155">
        <v>45853</v>
      </c>
      <c r="C528" s="156">
        <v>0</v>
      </c>
      <c r="D528" s="156">
        <v>14397</v>
      </c>
      <c r="E528" s="157" t="s">
        <v>57</v>
      </c>
      <c r="F528" s="158">
        <v>151555315027741</v>
      </c>
      <c r="G528" s="159">
        <v>10000</v>
      </c>
      <c r="H528" s="79"/>
      <c r="I528" s="79"/>
      <c r="J528" s="79"/>
      <c r="K528" s="79"/>
      <c r="L528" s="79"/>
      <c r="M528" s="79"/>
    </row>
    <row r="529" spans="1:13" ht="15.75" hidden="1" customHeight="1">
      <c r="A529" s="79"/>
      <c r="B529" s="160"/>
      <c r="C529" s="160"/>
      <c r="D529" s="160"/>
      <c r="E529" s="161" t="s">
        <v>919</v>
      </c>
      <c r="F529" s="161"/>
      <c r="G529" s="162">
        <v>0</v>
      </c>
      <c r="H529" s="79"/>
      <c r="I529" s="79"/>
      <c r="J529" s="79"/>
      <c r="K529" s="79"/>
      <c r="L529" s="79"/>
      <c r="M529" s="79"/>
    </row>
    <row r="530" spans="1:13" ht="15.75" customHeight="1">
      <c r="A530" s="163" t="s">
        <v>140</v>
      </c>
      <c r="B530" s="155">
        <v>45853</v>
      </c>
      <c r="C530" s="156">
        <v>0</v>
      </c>
      <c r="D530" s="156">
        <v>14138</v>
      </c>
      <c r="E530" s="157" t="s">
        <v>141</v>
      </c>
      <c r="F530" s="158">
        <v>202507140000117</v>
      </c>
      <c r="G530" s="159">
        <v>1635.73</v>
      </c>
      <c r="H530" s="160" t="s">
        <v>920</v>
      </c>
      <c r="I530" s="160" t="s">
        <v>428</v>
      </c>
      <c r="J530" s="79"/>
      <c r="K530" s="79"/>
      <c r="L530" s="79"/>
      <c r="M530" s="79"/>
    </row>
    <row r="531" spans="1:13" ht="15.75" hidden="1" customHeight="1">
      <c r="A531" s="79"/>
      <c r="B531" s="160"/>
      <c r="C531" s="160"/>
      <c r="D531" s="160"/>
      <c r="E531" s="161" t="s">
        <v>143</v>
      </c>
      <c r="F531" s="161"/>
      <c r="G531" s="162">
        <v>0</v>
      </c>
      <c r="H531" s="79"/>
      <c r="I531" s="79"/>
      <c r="J531" s="79"/>
      <c r="K531" s="79"/>
      <c r="L531" s="79"/>
      <c r="M531" s="79"/>
    </row>
    <row r="532" spans="1:13" ht="15.75" customHeight="1">
      <c r="A532" s="163" t="s">
        <v>140</v>
      </c>
      <c r="B532" s="155">
        <v>45853</v>
      </c>
      <c r="C532" s="156">
        <v>0</v>
      </c>
      <c r="D532" s="156">
        <v>14138</v>
      </c>
      <c r="E532" s="157" t="s">
        <v>141</v>
      </c>
      <c r="F532" s="158">
        <v>202507140000119</v>
      </c>
      <c r="G532" s="159">
        <v>1668.08</v>
      </c>
      <c r="H532" s="160" t="s">
        <v>921</v>
      </c>
      <c r="I532" s="160" t="s">
        <v>428</v>
      </c>
      <c r="J532" s="79"/>
      <c r="K532" s="79"/>
      <c r="L532" s="79"/>
      <c r="M532" s="79"/>
    </row>
    <row r="533" spans="1:13" ht="15.75" hidden="1" customHeight="1">
      <c r="A533" s="79"/>
      <c r="B533" s="160"/>
      <c r="C533" s="160"/>
      <c r="D533" s="160"/>
      <c r="E533" s="161" t="s">
        <v>143</v>
      </c>
      <c r="F533" s="161"/>
      <c r="G533" s="162">
        <v>0</v>
      </c>
      <c r="H533" s="79"/>
      <c r="I533" s="79"/>
      <c r="J533" s="79"/>
      <c r="K533" s="79"/>
      <c r="L533" s="79"/>
      <c r="M533" s="79"/>
    </row>
    <row r="534" spans="1:13" ht="15.75" customHeight="1">
      <c r="A534" s="163" t="s">
        <v>140</v>
      </c>
      <c r="B534" s="155">
        <v>45853</v>
      </c>
      <c r="C534" s="156">
        <v>0</v>
      </c>
      <c r="D534" s="156">
        <v>14138</v>
      </c>
      <c r="E534" s="157" t="s">
        <v>141</v>
      </c>
      <c r="F534" s="158">
        <v>202507140099863</v>
      </c>
      <c r="G534" s="159">
        <v>1668.08</v>
      </c>
      <c r="H534" s="160" t="s">
        <v>922</v>
      </c>
      <c r="I534" s="160" t="s">
        <v>428</v>
      </c>
      <c r="J534" s="79"/>
      <c r="K534" s="79"/>
      <c r="L534" s="79"/>
      <c r="M534" s="79"/>
    </row>
    <row r="535" spans="1:13" ht="15.75" hidden="1" customHeight="1">
      <c r="A535" s="79"/>
      <c r="B535" s="160"/>
      <c r="C535" s="160"/>
      <c r="D535" s="160"/>
      <c r="E535" s="161" t="s">
        <v>143</v>
      </c>
      <c r="F535" s="161"/>
      <c r="G535" s="162">
        <v>0</v>
      </c>
      <c r="H535" s="79"/>
      <c r="I535" s="79"/>
      <c r="J535" s="79"/>
      <c r="K535" s="79"/>
      <c r="L535" s="79"/>
      <c r="M535" s="79"/>
    </row>
    <row r="536" spans="1:13" ht="15.75" customHeight="1">
      <c r="A536" s="163" t="s">
        <v>140</v>
      </c>
      <c r="B536" s="155">
        <v>45853</v>
      </c>
      <c r="C536" s="156">
        <v>0</v>
      </c>
      <c r="D536" s="156">
        <v>14138</v>
      </c>
      <c r="E536" s="157" t="s">
        <v>141</v>
      </c>
      <c r="F536" s="158">
        <v>202507140099864</v>
      </c>
      <c r="G536" s="159">
        <v>1158.2</v>
      </c>
      <c r="H536" s="79" t="s">
        <v>923</v>
      </c>
      <c r="I536" s="79" t="s">
        <v>428</v>
      </c>
      <c r="J536" s="79"/>
      <c r="K536" s="79"/>
      <c r="L536" s="79"/>
      <c r="M536" s="79"/>
    </row>
    <row r="537" spans="1:13" ht="15.75" hidden="1" customHeight="1">
      <c r="A537" s="79"/>
      <c r="B537" s="160"/>
      <c r="C537" s="160"/>
      <c r="D537" s="160"/>
      <c r="E537" s="161" t="s">
        <v>143</v>
      </c>
      <c r="F537" s="161"/>
      <c r="G537" s="162">
        <v>0</v>
      </c>
      <c r="H537" s="79"/>
      <c r="I537" s="79"/>
      <c r="J537" s="79"/>
      <c r="K537" s="79"/>
      <c r="L537" s="79"/>
      <c r="M537" s="79"/>
    </row>
    <row r="538" spans="1:13" ht="15.75" customHeight="1">
      <c r="A538" s="163" t="s">
        <v>140</v>
      </c>
      <c r="B538" s="155">
        <v>45853</v>
      </c>
      <c r="C538" s="156">
        <v>0</v>
      </c>
      <c r="D538" s="156">
        <v>14138</v>
      </c>
      <c r="E538" s="157" t="s">
        <v>141</v>
      </c>
      <c r="F538" s="158">
        <v>202507140099867</v>
      </c>
      <c r="G538" s="159">
        <v>3758.69</v>
      </c>
      <c r="H538" s="79" t="s">
        <v>924</v>
      </c>
      <c r="I538" s="79" t="s">
        <v>428</v>
      </c>
      <c r="J538" s="79"/>
      <c r="K538" s="79"/>
      <c r="L538" s="79"/>
      <c r="M538" s="79"/>
    </row>
    <row r="539" spans="1:13" ht="15.75" hidden="1" customHeight="1">
      <c r="A539" s="79"/>
      <c r="B539" s="160"/>
      <c r="C539" s="160"/>
      <c r="D539" s="160"/>
      <c r="E539" s="161" t="s">
        <v>143</v>
      </c>
      <c r="F539" s="161"/>
      <c r="G539" s="162">
        <v>0</v>
      </c>
      <c r="H539" s="79"/>
      <c r="I539" s="79"/>
      <c r="J539" s="79"/>
      <c r="K539" s="79"/>
      <c r="L539" s="79"/>
      <c r="M539" s="79"/>
    </row>
    <row r="540" spans="1:13" ht="15.75" hidden="1" customHeight="1">
      <c r="A540" s="79"/>
      <c r="B540" s="155">
        <v>45853</v>
      </c>
      <c r="C540" s="156">
        <v>1533</v>
      </c>
      <c r="D540" s="156">
        <v>99008</v>
      </c>
      <c r="E540" s="157" t="s">
        <v>29</v>
      </c>
      <c r="F540" s="158">
        <v>742152</v>
      </c>
      <c r="G540" s="172">
        <v>133</v>
      </c>
      <c r="H540" s="79"/>
      <c r="I540" s="79"/>
      <c r="J540" s="79"/>
      <c r="K540" s="79"/>
      <c r="L540" s="79"/>
      <c r="M540" s="79"/>
    </row>
    <row r="541" spans="1:13" ht="15.75" hidden="1" customHeight="1">
      <c r="A541" s="79"/>
      <c r="B541" s="160"/>
      <c r="C541" s="160"/>
      <c r="D541" s="160"/>
      <c r="E541" s="161" t="s">
        <v>925</v>
      </c>
      <c r="F541" s="161"/>
      <c r="G541" s="162">
        <v>0</v>
      </c>
      <c r="H541" s="79"/>
      <c r="I541" s="79"/>
      <c r="J541" s="79"/>
      <c r="K541" s="79"/>
      <c r="L541" s="79"/>
      <c r="M541" s="79"/>
    </row>
    <row r="542" spans="1:13" ht="15.75" hidden="1" customHeight="1">
      <c r="A542" s="79"/>
      <c r="B542" s="155">
        <v>45853</v>
      </c>
      <c r="C542" s="156">
        <v>1533</v>
      </c>
      <c r="D542" s="156">
        <v>99008</v>
      </c>
      <c r="E542" s="157" t="s">
        <v>29</v>
      </c>
      <c r="F542" s="158">
        <v>910876</v>
      </c>
      <c r="G542" s="172">
        <v>53.77</v>
      </c>
      <c r="H542" s="79"/>
      <c r="I542" s="79"/>
      <c r="J542" s="79"/>
      <c r="K542" s="79"/>
      <c r="L542" s="79"/>
      <c r="M542" s="79"/>
    </row>
    <row r="543" spans="1:13" ht="15.75" hidden="1" customHeight="1">
      <c r="A543" s="79"/>
      <c r="B543" s="160"/>
      <c r="C543" s="160"/>
      <c r="D543" s="160"/>
      <c r="E543" s="161" t="s">
        <v>926</v>
      </c>
      <c r="F543" s="161"/>
      <c r="G543" s="162">
        <v>0</v>
      </c>
      <c r="H543" s="79"/>
      <c r="I543" s="79"/>
      <c r="J543" s="79"/>
      <c r="K543" s="79"/>
      <c r="L543" s="79"/>
      <c r="M543" s="79"/>
    </row>
    <row r="544" spans="1:13" ht="15.75" hidden="1" customHeight="1">
      <c r="A544" s="79"/>
      <c r="B544" s="155">
        <v>45853</v>
      </c>
      <c r="C544" s="156">
        <v>0</v>
      </c>
      <c r="D544" s="156">
        <v>13105</v>
      </c>
      <c r="E544" s="157" t="s">
        <v>80</v>
      </c>
      <c r="F544" s="158">
        <v>71501</v>
      </c>
      <c r="G544" s="172">
        <v>21063.39</v>
      </c>
      <c r="H544" s="79"/>
      <c r="I544" s="79"/>
      <c r="J544" s="79"/>
      <c r="K544" s="79"/>
      <c r="L544" s="79"/>
      <c r="M544" s="79"/>
    </row>
    <row r="545" spans="1:13" ht="15.75" hidden="1" customHeight="1">
      <c r="A545" s="79"/>
      <c r="B545" s="160"/>
      <c r="C545" s="160"/>
      <c r="D545" s="160"/>
      <c r="E545" s="161" t="s">
        <v>81</v>
      </c>
      <c r="F545" s="161"/>
      <c r="G545" s="162">
        <v>0</v>
      </c>
      <c r="H545" s="79"/>
      <c r="I545" s="79"/>
      <c r="J545" s="79"/>
      <c r="K545" s="79"/>
      <c r="L545" s="79"/>
      <c r="M545" s="79"/>
    </row>
    <row r="546" spans="1:13" ht="15.75" hidden="1" customHeight="1">
      <c r="A546" s="79"/>
      <c r="B546" s="155">
        <v>45853</v>
      </c>
      <c r="C546" s="156">
        <v>0</v>
      </c>
      <c r="D546" s="156">
        <v>13105</v>
      </c>
      <c r="E546" s="157" t="s">
        <v>80</v>
      </c>
      <c r="F546" s="158">
        <v>71502</v>
      </c>
      <c r="G546" s="172">
        <v>2162.4699999999998</v>
      </c>
      <c r="H546" s="79"/>
      <c r="I546" s="79"/>
      <c r="J546" s="79"/>
      <c r="K546" s="79"/>
      <c r="L546" s="79"/>
      <c r="M546" s="79"/>
    </row>
    <row r="547" spans="1:13" ht="15.75" hidden="1" customHeight="1">
      <c r="A547" s="79"/>
      <c r="B547" s="160"/>
      <c r="C547" s="160"/>
      <c r="D547" s="160"/>
      <c r="E547" s="161" t="s">
        <v>81</v>
      </c>
      <c r="F547" s="161"/>
      <c r="G547" s="162">
        <v>0</v>
      </c>
      <c r="H547" s="79"/>
      <c r="I547" s="79"/>
      <c r="J547" s="79"/>
      <c r="K547" s="79"/>
      <c r="L547" s="79"/>
      <c r="M547" s="79"/>
    </row>
    <row r="548" spans="1:13" ht="15.75" hidden="1" customHeight="1">
      <c r="A548" s="79"/>
      <c r="B548" s="155">
        <v>45853</v>
      </c>
      <c r="C548" s="156">
        <v>0</v>
      </c>
      <c r="D548" s="156">
        <v>13105</v>
      </c>
      <c r="E548" s="157" t="s">
        <v>80</v>
      </c>
      <c r="F548" s="158">
        <v>71503</v>
      </c>
      <c r="G548" s="172">
        <v>1461.29</v>
      </c>
      <c r="H548" s="79"/>
      <c r="I548" s="79"/>
      <c r="J548" s="79"/>
      <c r="K548" s="79"/>
      <c r="L548" s="79"/>
      <c r="M548" s="79"/>
    </row>
    <row r="549" spans="1:13" ht="15.75" hidden="1" customHeight="1">
      <c r="A549" s="79"/>
      <c r="B549" s="160"/>
      <c r="C549" s="160"/>
      <c r="D549" s="160"/>
      <c r="E549" s="161" t="s">
        <v>81</v>
      </c>
      <c r="F549" s="161"/>
      <c r="G549" s="162">
        <v>0</v>
      </c>
      <c r="H549" s="79"/>
      <c r="I549" s="79"/>
      <c r="J549" s="79"/>
      <c r="K549" s="79"/>
      <c r="L549" s="79"/>
      <c r="M549" s="79"/>
    </row>
    <row r="550" spans="1:13" ht="15.75" hidden="1" customHeight="1">
      <c r="A550" s="79"/>
      <c r="B550" s="155">
        <v>45853</v>
      </c>
      <c r="C550" s="156">
        <v>0</v>
      </c>
      <c r="D550" s="156">
        <v>13105</v>
      </c>
      <c r="E550" s="157" t="s">
        <v>80</v>
      </c>
      <c r="F550" s="158">
        <v>71504</v>
      </c>
      <c r="G550" s="172">
        <v>822.03</v>
      </c>
      <c r="H550" s="79"/>
      <c r="I550" s="79"/>
      <c r="J550" s="79"/>
      <c r="K550" s="79"/>
      <c r="L550" s="79"/>
      <c r="M550" s="79"/>
    </row>
    <row r="551" spans="1:13" ht="15.75" hidden="1" customHeight="1">
      <c r="A551" s="79"/>
      <c r="B551" s="160"/>
      <c r="C551" s="160"/>
      <c r="D551" s="160"/>
      <c r="E551" s="161" t="s">
        <v>81</v>
      </c>
      <c r="F551" s="161"/>
      <c r="G551" s="162">
        <v>0</v>
      </c>
      <c r="H551" s="79"/>
      <c r="I551" s="79"/>
      <c r="J551" s="79"/>
      <c r="K551" s="79"/>
      <c r="L551" s="79"/>
      <c r="M551" s="79"/>
    </row>
    <row r="552" spans="1:13" ht="15.75" hidden="1" customHeight="1">
      <c r="A552" s="79"/>
      <c r="B552" s="155">
        <v>45853</v>
      </c>
      <c r="C552" s="156">
        <v>0</v>
      </c>
      <c r="D552" s="156">
        <v>13105</v>
      </c>
      <c r="E552" s="157" t="s">
        <v>80</v>
      </c>
      <c r="F552" s="158">
        <v>71505</v>
      </c>
      <c r="G552" s="172">
        <v>687.09</v>
      </c>
      <c r="H552" s="79"/>
      <c r="I552" s="79"/>
      <c r="J552" s="79"/>
      <c r="K552" s="79"/>
      <c r="L552" s="79"/>
      <c r="M552" s="79"/>
    </row>
    <row r="553" spans="1:13" ht="15.75" hidden="1" customHeight="1">
      <c r="A553" s="79"/>
      <c r="B553" s="160"/>
      <c r="C553" s="160"/>
      <c r="D553" s="160"/>
      <c r="E553" s="161" t="s">
        <v>81</v>
      </c>
      <c r="F553" s="161"/>
      <c r="G553" s="162">
        <v>0</v>
      </c>
      <c r="H553" s="79"/>
      <c r="I553" s="79"/>
      <c r="J553" s="79"/>
      <c r="K553" s="79"/>
      <c r="L553" s="79"/>
      <c r="M553" s="79"/>
    </row>
    <row r="554" spans="1:13" ht="15.75" hidden="1" customHeight="1">
      <c r="A554" s="79"/>
      <c r="B554" s="155">
        <v>45853</v>
      </c>
      <c r="C554" s="156">
        <v>0</v>
      </c>
      <c r="D554" s="156">
        <v>13105</v>
      </c>
      <c r="E554" s="157" t="s">
        <v>80</v>
      </c>
      <c r="F554" s="158">
        <v>71506</v>
      </c>
      <c r="G554" s="172">
        <v>533.17999999999995</v>
      </c>
      <c r="H554" s="79"/>
      <c r="I554" s="79"/>
      <c r="J554" s="79"/>
      <c r="K554" s="79"/>
      <c r="L554" s="79"/>
      <c r="M554" s="79"/>
    </row>
    <row r="555" spans="1:13" ht="15.75" hidden="1" customHeight="1">
      <c r="A555" s="79"/>
      <c r="B555" s="160"/>
      <c r="C555" s="160"/>
      <c r="D555" s="160"/>
      <c r="E555" s="161" t="s">
        <v>81</v>
      </c>
      <c r="F555" s="161"/>
      <c r="G555" s="162">
        <v>0</v>
      </c>
      <c r="H555" s="79"/>
      <c r="I555" s="79"/>
      <c r="J555" s="79"/>
      <c r="K555" s="79"/>
      <c r="L555" s="79"/>
      <c r="M555" s="79"/>
    </row>
    <row r="556" spans="1:13" ht="15.75" hidden="1" customHeight="1">
      <c r="A556" s="79"/>
      <c r="B556" s="155">
        <v>45853</v>
      </c>
      <c r="C556" s="156">
        <v>0</v>
      </c>
      <c r="D556" s="156">
        <v>13105</v>
      </c>
      <c r="E556" s="157" t="s">
        <v>80</v>
      </c>
      <c r="F556" s="158">
        <v>71507</v>
      </c>
      <c r="G556" s="172">
        <v>110.84</v>
      </c>
      <c r="H556" s="79"/>
      <c r="I556" s="79"/>
      <c r="J556" s="79"/>
      <c r="K556" s="79"/>
      <c r="L556" s="79"/>
      <c r="M556" s="79"/>
    </row>
    <row r="557" spans="1:13" ht="15.75" hidden="1" customHeight="1">
      <c r="A557" s="79"/>
      <c r="B557" s="160"/>
      <c r="C557" s="160"/>
      <c r="D557" s="160"/>
      <c r="E557" s="161" t="s">
        <v>81</v>
      </c>
      <c r="F557" s="161"/>
      <c r="G557" s="162">
        <v>0</v>
      </c>
      <c r="H557" s="79"/>
      <c r="I557" s="79"/>
      <c r="J557" s="79"/>
      <c r="K557" s="79"/>
      <c r="L557" s="79"/>
      <c r="M557" s="79"/>
    </row>
    <row r="558" spans="1:13" ht="15.75" hidden="1" customHeight="1">
      <c r="A558" s="79"/>
      <c r="B558" s="155">
        <v>45853</v>
      </c>
      <c r="C558" s="156">
        <v>0</v>
      </c>
      <c r="D558" s="156">
        <v>13105</v>
      </c>
      <c r="E558" s="157" t="s">
        <v>80</v>
      </c>
      <c r="F558" s="158">
        <v>71508</v>
      </c>
      <c r="G558" s="172">
        <v>1.75</v>
      </c>
      <c r="H558" s="79"/>
      <c r="I558" s="79"/>
      <c r="J558" s="79"/>
      <c r="K558" s="79"/>
      <c r="L558" s="79"/>
      <c r="M558" s="79"/>
    </row>
    <row r="559" spans="1:13" ht="15.75" hidden="1" customHeight="1">
      <c r="A559" s="79"/>
      <c r="B559" s="160"/>
      <c r="C559" s="160"/>
      <c r="D559" s="160"/>
      <c r="E559" s="161" t="s">
        <v>81</v>
      </c>
      <c r="F559" s="161"/>
      <c r="G559" s="162">
        <v>0</v>
      </c>
      <c r="H559" s="79"/>
      <c r="I559" s="79"/>
      <c r="J559" s="79"/>
      <c r="K559" s="79"/>
      <c r="L559" s="79"/>
      <c r="M559" s="79"/>
    </row>
    <row r="560" spans="1:13" ht="15.75" hidden="1" customHeight="1">
      <c r="A560" s="79"/>
      <c r="B560" s="155">
        <v>45853</v>
      </c>
      <c r="C560" s="156">
        <v>0</v>
      </c>
      <c r="D560" s="156">
        <v>13105</v>
      </c>
      <c r="E560" s="157" t="s">
        <v>31</v>
      </c>
      <c r="F560" s="158">
        <v>71509</v>
      </c>
      <c r="G560" s="172">
        <v>3850</v>
      </c>
      <c r="H560" s="79"/>
      <c r="I560" s="79"/>
      <c r="J560" s="79"/>
      <c r="K560" s="79"/>
      <c r="L560" s="79"/>
      <c r="M560" s="79"/>
    </row>
    <row r="561" spans="1:13" ht="15.75" hidden="1" customHeight="1">
      <c r="A561" s="79"/>
      <c r="B561" s="160"/>
      <c r="C561" s="160"/>
      <c r="D561" s="160"/>
      <c r="E561" s="161" t="s">
        <v>173</v>
      </c>
      <c r="F561" s="161"/>
      <c r="G561" s="162">
        <v>0</v>
      </c>
      <c r="H561" s="79"/>
      <c r="I561" s="79"/>
      <c r="J561" s="79"/>
      <c r="K561" s="79"/>
      <c r="L561" s="79"/>
      <c r="M561" s="79"/>
    </row>
    <row r="562" spans="1:13" ht="15.75" hidden="1" customHeight="1">
      <c r="A562" s="79"/>
      <c r="B562" s="155">
        <v>45853</v>
      </c>
      <c r="C562" s="156">
        <v>0</v>
      </c>
      <c r="D562" s="156">
        <v>13105</v>
      </c>
      <c r="E562" s="157" t="s">
        <v>31</v>
      </c>
      <c r="F562" s="158">
        <v>71510</v>
      </c>
      <c r="G562" s="172">
        <v>1666.67</v>
      </c>
      <c r="H562" s="79"/>
      <c r="I562" s="79"/>
      <c r="J562" s="79"/>
      <c r="K562" s="79"/>
      <c r="L562" s="79"/>
      <c r="M562" s="79"/>
    </row>
    <row r="563" spans="1:13" ht="15.75" hidden="1" customHeight="1">
      <c r="A563" s="79"/>
      <c r="B563" s="160"/>
      <c r="C563" s="160"/>
      <c r="D563" s="160"/>
      <c r="E563" s="161" t="s">
        <v>32</v>
      </c>
      <c r="F563" s="161"/>
      <c r="G563" s="162">
        <v>0</v>
      </c>
      <c r="H563" s="79"/>
      <c r="I563" s="79"/>
      <c r="J563" s="79"/>
      <c r="K563" s="79"/>
      <c r="L563" s="79"/>
      <c r="M563" s="79"/>
    </row>
    <row r="564" spans="1:13" ht="15.75" hidden="1" customHeight="1">
      <c r="A564" s="79"/>
      <c r="B564" s="155">
        <v>45853</v>
      </c>
      <c r="C564" s="156">
        <v>0</v>
      </c>
      <c r="D564" s="156">
        <v>13105</v>
      </c>
      <c r="E564" s="157" t="s">
        <v>31</v>
      </c>
      <c r="F564" s="158">
        <v>71511</v>
      </c>
      <c r="G564" s="172">
        <v>1320</v>
      </c>
      <c r="H564" s="79"/>
      <c r="I564" s="79"/>
      <c r="J564" s="79"/>
      <c r="K564" s="79"/>
      <c r="L564" s="79"/>
      <c r="M564" s="79"/>
    </row>
    <row r="565" spans="1:13" ht="15.75" hidden="1" customHeight="1">
      <c r="A565" s="79"/>
      <c r="B565" s="160"/>
      <c r="C565" s="160"/>
      <c r="D565" s="160"/>
      <c r="E565" s="161" t="s">
        <v>769</v>
      </c>
      <c r="F565" s="161"/>
      <c r="G565" s="162">
        <v>0</v>
      </c>
      <c r="H565" s="79"/>
      <c r="I565" s="79"/>
      <c r="J565" s="79"/>
      <c r="K565" s="79"/>
      <c r="L565" s="79"/>
      <c r="M565" s="79"/>
    </row>
    <row r="566" spans="1:13" ht="15.75" hidden="1" customHeight="1">
      <c r="A566" s="79"/>
      <c r="B566" s="155">
        <v>45853</v>
      </c>
      <c r="C566" s="156">
        <v>0</v>
      </c>
      <c r="D566" s="156">
        <v>13105</v>
      </c>
      <c r="E566" s="157" t="s">
        <v>31</v>
      </c>
      <c r="F566" s="158">
        <v>71512</v>
      </c>
      <c r="G566" s="172">
        <v>371.1</v>
      </c>
      <c r="H566" s="79"/>
      <c r="I566" s="79"/>
      <c r="J566" s="79"/>
      <c r="K566" s="79"/>
      <c r="L566" s="79"/>
      <c r="M566" s="79"/>
    </row>
    <row r="567" spans="1:13" ht="15.75" hidden="1" customHeight="1">
      <c r="A567" s="79"/>
      <c r="B567" s="160"/>
      <c r="C567" s="160"/>
      <c r="D567" s="160"/>
      <c r="E567" s="161" t="s">
        <v>183</v>
      </c>
      <c r="F567" s="161"/>
      <c r="G567" s="162">
        <v>0</v>
      </c>
      <c r="H567" s="79"/>
      <c r="I567" s="79"/>
      <c r="J567" s="79"/>
      <c r="K567" s="79"/>
      <c r="L567" s="79"/>
      <c r="M567" s="79"/>
    </row>
    <row r="568" spans="1:13" ht="15.75" hidden="1" customHeight="1">
      <c r="A568" s="79"/>
      <c r="B568" s="155">
        <v>45853</v>
      </c>
      <c r="C568" s="156">
        <v>0</v>
      </c>
      <c r="D568" s="156">
        <v>13105</v>
      </c>
      <c r="E568" s="157" t="s">
        <v>31</v>
      </c>
      <c r="F568" s="158">
        <v>71513</v>
      </c>
      <c r="G568" s="172">
        <v>189.9</v>
      </c>
      <c r="H568" s="79"/>
      <c r="I568" s="79"/>
      <c r="J568" s="79"/>
      <c r="K568" s="79"/>
      <c r="L568" s="79"/>
      <c r="M568" s="79"/>
    </row>
    <row r="569" spans="1:13" ht="15.75" hidden="1" customHeight="1">
      <c r="A569" s="79"/>
      <c r="B569" s="160"/>
      <c r="C569" s="160"/>
      <c r="D569" s="160"/>
      <c r="E569" s="161" t="s">
        <v>266</v>
      </c>
      <c r="F569" s="161"/>
      <c r="G569" s="162">
        <v>0</v>
      </c>
      <c r="H569" s="79"/>
      <c r="I569" s="79"/>
      <c r="J569" s="79"/>
      <c r="K569" s="79"/>
      <c r="L569" s="79"/>
      <c r="M569" s="79"/>
    </row>
    <row r="570" spans="1:13" ht="15.75" hidden="1" customHeight="1">
      <c r="A570" s="79"/>
      <c r="B570" s="155">
        <v>45853</v>
      </c>
      <c r="C570" s="156">
        <v>0</v>
      </c>
      <c r="D570" s="156">
        <v>13105</v>
      </c>
      <c r="E570" s="157" t="s">
        <v>31</v>
      </c>
      <c r="F570" s="158">
        <v>71514</v>
      </c>
      <c r="G570" s="172">
        <v>306.33999999999997</v>
      </c>
      <c r="H570" s="79"/>
      <c r="I570" s="79"/>
      <c r="J570" s="79"/>
      <c r="K570" s="79"/>
      <c r="L570" s="79"/>
      <c r="M570" s="79"/>
    </row>
    <row r="571" spans="1:13" ht="15.75" hidden="1" customHeight="1">
      <c r="A571" s="79"/>
      <c r="B571" s="160"/>
      <c r="C571" s="160"/>
      <c r="D571" s="160"/>
      <c r="E571" s="161" t="s">
        <v>231</v>
      </c>
      <c r="F571" s="161"/>
      <c r="G571" s="162">
        <v>0</v>
      </c>
      <c r="H571" s="79"/>
      <c r="I571" s="79"/>
      <c r="J571" s="79"/>
      <c r="K571" s="79"/>
      <c r="L571" s="79"/>
      <c r="M571" s="79"/>
    </row>
    <row r="572" spans="1:13" ht="15.75" hidden="1" customHeight="1">
      <c r="A572" s="79"/>
      <c r="B572" s="155">
        <v>45853</v>
      </c>
      <c r="C572" s="156">
        <v>0</v>
      </c>
      <c r="D572" s="156">
        <v>13105</v>
      </c>
      <c r="E572" s="157" t="s">
        <v>31</v>
      </c>
      <c r="F572" s="158">
        <v>71515</v>
      </c>
      <c r="G572" s="172">
        <v>858.85</v>
      </c>
      <c r="H572" s="79"/>
      <c r="I572" s="79"/>
      <c r="J572" s="79"/>
      <c r="K572" s="79"/>
      <c r="L572" s="79"/>
      <c r="M572" s="79"/>
    </row>
    <row r="573" spans="1:13" ht="15.75" hidden="1" customHeight="1">
      <c r="A573" s="79"/>
      <c r="B573" s="160"/>
      <c r="C573" s="160"/>
      <c r="D573" s="160"/>
      <c r="E573" s="161" t="s">
        <v>165</v>
      </c>
      <c r="F573" s="161"/>
      <c r="G573" s="162">
        <v>0</v>
      </c>
      <c r="H573" s="79"/>
      <c r="I573" s="79"/>
      <c r="J573" s="79"/>
      <c r="K573" s="79"/>
      <c r="L573" s="79"/>
      <c r="M573" s="79"/>
    </row>
    <row r="574" spans="1:13" ht="15.75" hidden="1" customHeight="1">
      <c r="A574" s="79"/>
      <c r="B574" s="155">
        <v>45853</v>
      </c>
      <c r="C574" s="156">
        <v>0</v>
      </c>
      <c r="D574" s="156">
        <v>13105</v>
      </c>
      <c r="E574" s="157" t="s">
        <v>31</v>
      </c>
      <c r="F574" s="158">
        <v>71516</v>
      </c>
      <c r="G574" s="172">
        <v>339.38</v>
      </c>
      <c r="H574" s="79"/>
      <c r="I574" s="79"/>
      <c r="J574" s="79"/>
      <c r="K574" s="79"/>
      <c r="L574" s="79"/>
      <c r="M574" s="79"/>
    </row>
    <row r="575" spans="1:13" ht="15.75" hidden="1" customHeight="1">
      <c r="A575" s="79"/>
      <c r="B575" s="160"/>
      <c r="C575" s="160"/>
      <c r="D575" s="160"/>
      <c r="E575" s="161" t="s">
        <v>396</v>
      </c>
      <c r="F575" s="161"/>
      <c r="G575" s="162">
        <v>0</v>
      </c>
      <c r="H575" s="79"/>
      <c r="I575" s="79"/>
      <c r="J575" s="79"/>
      <c r="K575" s="79"/>
      <c r="L575" s="79"/>
      <c r="M575" s="79"/>
    </row>
    <row r="576" spans="1:13" ht="15.75" hidden="1" customHeight="1">
      <c r="A576" s="79"/>
      <c r="B576" s="155">
        <v>45853</v>
      </c>
      <c r="C576" s="156">
        <v>0</v>
      </c>
      <c r="D576" s="156">
        <v>13105</v>
      </c>
      <c r="E576" s="157" t="s">
        <v>31</v>
      </c>
      <c r="F576" s="158">
        <v>71517</v>
      </c>
      <c r="G576" s="172">
        <v>493.2</v>
      </c>
      <c r="H576" s="79"/>
      <c r="I576" s="79"/>
      <c r="J576" s="79"/>
      <c r="K576" s="79"/>
      <c r="L576" s="79"/>
      <c r="M576" s="79"/>
    </row>
    <row r="577" spans="1:13" ht="15.75" hidden="1" customHeight="1">
      <c r="A577" s="79"/>
      <c r="B577" s="160"/>
      <c r="C577" s="160"/>
      <c r="D577" s="160"/>
      <c r="E577" s="161" t="s">
        <v>50</v>
      </c>
      <c r="F577" s="161"/>
      <c r="G577" s="162">
        <v>0</v>
      </c>
      <c r="H577" s="79"/>
      <c r="I577" s="79"/>
      <c r="J577" s="79"/>
      <c r="K577" s="79"/>
      <c r="L577" s="79"/>
      <c r="M577" s="79"/>
    </row>
    <row r="578" spans="1:13" ht="15.75" hidden="1" customHeight="1">
      <c r="A578" s="79"/>
      <c r="B578" s="155">
        <v>45853</v>
      </c>
      <c r="C578" s="156">
        <v>0</v>
      </c>
      <c r="D578" s="156">
        <v>0</v>
      </c>
      <c r="E578" s="157" t="s">
        <v>52</v>
      </c>
      <c r="F578" s="158">
        <v>9903</v>
      </c>
      <c r="G578" s="159">
        <v>5288.92</v>
      </c>
      <c r="H578" s="79"/>
      <c r="I578" s="79"/>
      <c r="J578" s="79"/>
      <c r="K578" s="79"/>
      <c r="L578" s="79"/>
      <c r="M578" s="79"/>
    </row>
    <row r="579" spans="1:13" ht="15.75" hidden="1" customHeight="1">
      <c r="A579" s="79"/>
      <c r="B579" s="160"/>
      <c r="C579" s="160"/>
      <c r="D579" s="160"/>
      <c r="E579" s="161" t="s">
        <v>53</v>
      </c>
      <c r="F579" s="161"/>
      <c r="G579" s="162">
        <v>0</v>
      </c>
      <c r="H579" s="79"/>
      <c r="I579" s="79"/>
      <c r="J579" s="79"/>
      <c r="K579" s="79"/>
      <c r="L579" s="79"/>
      <c r="M579" s="79"/>
    </row>
    <row r="580" spans="1:13" ht="15.75" hidden="1" customHeight="1">
      <c r="A580" s="79"/>
      <c r="B580" s="155">
        <v>45854</v>
      </c>
      <c r="C580" s="156">
        <v>2256</v>
      </c>
      <c r="D580" s="156">
        <v>99021</v>
      </c>
      <c r="E580" s="157" t="s">
        <v>27</v>
      </c>
      <c r="F580" s="158">
        <v>612256000106555</v>
      </c>
      <c r="G580" s="159">
        <v>836.91</v>
      </c>
      <c r="H580" s="79"/>
      <c r="I580" s="79"/>
      <c r="J580" s="79"/>
      <c r="K580" s="79"/>
      <c r="L580" s="79"/>
      <c r="M580" s="79"/>
    </row>
    <row r="581" spans="1:13" ht="15.75" hidden="1" customHeight="1">
      <c r="A581" s="79"/>
      <c r="B581" s="160"/>
      <c r="C581" s="160"/>
      <c r="D581" s="160"/>
      <c r="E581" s="161" t="s">
        <v>927</v>
      </c>
      <c r="F581" s="161"/>
      <c r="G581" s="162">
        <v>0</v>
      </c>
      <c r="H581" s="79"/>
      <c r="I581" s="79"/>
      <c r="J581" s="79"/>
      <c r="K581" s="79"/>
      <c r="L581" s="79"/>
      <c r="M581" s="79"/>
    </row>
    <row r="582" spans="1:13" ht="15.75" hidden="1" customHeight="1">
      <c r="A582" s="79"/>
      <c r="B582" s="155">
        <v>45854</v>
      </c>
      <c r="C582" s="156">
        <v>0</v>
      </c>
      <c r="D582" s="156">
        <v>14175</v>
      </c>
      <c r="E582" s="157" t="s">
        <v>62</v>
      </c>
      <c r="F582" s="158">
        <v>388008968</v>
      </c>
      <c r="G582" s="159">
        <v>1200</v>
      </c>
      <c r="H582" s="79"/>
      <c r="I582" s="79"/>
      <c r="J582" s="79"/>
      <c r="K582" s="79"/>
      <c r="L582" s="79"/>
      <c r="M582" s="79"/>
    </row>
    <row r="583" spans="1:13" ht="15.75" hidden="1" customHeight="1">
      <c r="A583" s="79"/>
      <c r="B583" s="160"/>
      <c r="C583" s="160"/>
      <c r="D583" s="160"/>
      <c r="E583" s="161" t="s">
        <v>97</v>
      </c>
      <c r="F583" s="161"/>
      <c r="G583" s="162">
        <v>0</v>
      </c>
      <c r="H583" s="79"/>
      <c r="I583" s="79"/>
      <c r="J583" s="79"/>
      <c r="K583" s="79"/>
      <c r="L583" s="79"/>
      <c r="M583" s="79"/>
    </row>
    <row r="584" spans="1:13" ht="15.75" hidden="1" customHeight="1">
      <c r="A584" s="79"/>
      <c r="B584" s="155">
        <v>45854</v>
      </c>
      <c r="C584" s="156">
        <v>0</v>
      </c>
      <c r="D584" s="156">
        <v>14397</v>
      </c>
      <c r="E584" s="157" t="s">
        <v>57</v>
      </c>
      <c r="F584" s="158">
        <v>160918227991431</v>
      </c>
      <c r="G584" s="159">
        <v>61.75</v>
      </c>
      <c r="H584" s="79"/>
      <c r="I584" s="79"/>
      <c r="J584" s="79"/>
      <c r="K584" s="79"/>
      <c r="L584" s="79"/>
      <c r="M584" s="79"/>
    </row>
    <row r="585" spans="1:13" ht="15.75" hidden="1" customHeight="1">
      <c r="A585" s="79"/>
      <c r="B585" s="160"/>
      <c r="C585" s="160"/>
      <c r="D585" s="160"/>
      <c r="E585" s="161" t="s">
        <v>928</v>
      </c>
      <c r="F585" s="161"/>
      <c r="G585" s="162">
        <v>0</v>
      </c>
      <c r="H585" s="79"/>
      <c r="I585" s="79"/>
      <c r="J585" s="79"/>
      <c r="K585" s="79"/>
      <c r="L585" s="79"/>
      <c r="M585" s="79"/>
    </row>
    <row r="586" spans="1:13" ht="15.75" hidden="1" customHeight="1">
      <c r="A586" s="79"/>
      <c r="B586" s="155">
        <v>45854</v>
      </c>
      <c r="C586" s="156">
        <v>1533</v>
      </c>
      <c r="D586" s="156">
        <v>99008</v>
      </c>
      <c r="E586" s="157" t="s">
        <v>29</v>
      </c>
      <c r="F586" s="158">
        <v>246256</v>
      </c>
      <c r="G586" s="172">
        <v>142.6</v>
      </c>
      <c r="H586" s="79"/>
      <c r="I586" s="79"/>
      <c r="J586" s="79"/>
      <c r="K586" s="79"/>
      <c r="L586" s="79"/>
      <c r="M586" s="79"/>
    </row>
    <row r="587" spans="1:13" ht="15.75" hidden="1" customHeight="1">
      <c r="A587" s="79"/>
      <c r="B587" s="160"/>
      <c r="C587" s="160"/>
      <c r="D587" s="160"/>
      <c r="E587" s="161" t="s">
        <v>929</v>
      </c>
      <c r="F587" s="161"/>
      <c r="G587" s="162">
        <v>0</v>
      </c>
      <c r="H587" s="79"/>
      <c r="I587" s="79"/>
      <c r="J587" s="79"/>
      <c r="K587" s="79"/>
      <c r="L587" s="79"/>
      <c r="M587" s="79"/>
    </row>
    <row r="588" spans="1:13" ht="15.75" hidden="1" customHeight="1">
      <c r="A588" s="79"/>
      <c r="B588" s="155">
        <v>45854</v>
      </c>
      <c r="C588" s="156">
        <v>0</v>
      </c>
      <c r="D588" s="156">
        <v>13105</v>
      </c>
      <c r="E588" s="157" t="s">
        <v>31</v>
      </c>
      <c r="F588" s="158">
        <v>71601</v>
      </c>
      <c r="G588" s="172">
        <v>217.5</v>
      </c>
      <c r="H588" s="79"/>
      <c r="I588" s="79"/>
      <c r="J588" s="79"/>
      <c r="K588" s="79"/>
      <c r="L588" s="79"/>
      <c r="M588" s="79"/>
    </row>
    <row r="589" spans="1:13" ht="15.75" hidden="1" customHeight="1">
      <c r="A589" s="79"/>
      <c r="B589" s="160"/>
      <c r="C589" s="160"/>
      <c r="D589" s="160"/>
      <c r="E589" s="161" t="s">
        <v>51</v>
      </c>
      <c r="F589" s="161"/>
      <c r="G589" s="162">
        <v>0</v>
      </c>
      <c r="H589" s="79"/>
      <c r="I589" s="79"/>
      <c r="J589" s="79"/>
      <c r="K589" s="79"/>
      <c r="L589" s="79"/>
      <c r="M589" s="79"/>
    </row>
    <row r="590" spans="1:13" ht="15.75" hidden="1" customHeight="1">
      <c r="A590" s="79"/>
      <c r="B590" s="155">
        <v>45854</v>
      </c>
      <c r="C590" s="156">
        <v>0</v>
      </c>
      <c r="D590" s="156">
        <v>13105</v>
      </c>
      <c r="E590" s="157" t="s">
        <v>80</v>
      </c>
      <c r="F590" s="158">
        <v>71602</v>
      </c>
      <c r="G590" s="172">
        <v>651.34</v>
      </c>
      <c r="H590" s="79"/>
      <c r="I590" s="79"/>
      <c r="J590" s="79"/>
      <c r="K590" s="79"/>
      <c r="L590" s="79"/>
      <c r="M590" s="79"/>
    </row>
    <row r="591" spans="1:13" ht="15.75" hidden="1" customHeight="1">
      <c r="A591" s="79"/>
      <c r="B591" s="160"/>
      <c r="C591" s="160"/>
      <c r="D591" s="160"/>
      <c r="E591" s="161" t="s">
        <v>81</v>
      </c>
      <c r="F591" s="161"/>
      <c r="G591" s="162">
        <v>0</v>
      </c>
      <c r="H591" s="79"/>
      <c r="I591" s="79"/>
      <c r="J591" s="79"/>
      <c r="K591" s="79"/>
      <c r="L591" s="79"/>
      <c r="M591" s="79"/>
    </row>
    <row r="592" spans="1:13" ht="15.75" hidden="1" customHeight="1">
      <c r="A592" s="79"/>
      <c r="B592" s="155">
        <v>45854</v>
      </c>
      <c r="C592" s="156">
        <v>0</v>
      </c>
      <c r="D592" s="156">
        <v>13105</v>
      </c>
      <c r="E592" s="157" t="s">
        <v>80</v>
      </c>
      <c r="F592" s="158">
        <v>71603</v>
      </c>
      <c r="G592" s="172">
        <v>306.25</v>
      </c>
      <c r="H592" s="79"/>
      <c r="I592" s="79"/>
      <c r="J592" s="79"/>
      <c r="K592" s="79"/>
      <c r="L592" s="79"/>
      <c r="M592" s="79"/>
    </row>
    <row r="593" spans="1:13" ht="15.75" hidden="1" customHeight="1">
      <c r="A593" s="79"/>
      <c r="B593" s="160"/>
      <c r="C593" s="160"/>
      <c r="D593" s="160"/>
      <c r="E593" s="161" t="s">
        <v>81</v>
      </c>
      <c r="F593" s="161"/>
      <c r="G593" s="162">
        <v>0</v>
      </c>
      <c r="H593" s="79"/>
      <c r="I593" s="79"/>
      <c r="J593" s="79"/>
      <c r="K593" s="79"/>
      <c r="L593" s="79"/>
      <c r="M593" s="79"/>
    </row>
    <row r="594" spans="1:13" ht="15.75" hidden="1" customHeight="1">
      <c r="A594" s="79"/>
      <c r="B594" s="155">
        <v>45854</v>
      </c>
      <c r="C594" s="156">
        <v>0</v>
      </c>
      <c r="D594" s="156">
        <v>13105</v>
      </c>
      <c r="E594" s="157" t="s">
        <v>34</v>
      </c>
      <c r="F594" s="158">
        <v>71604</v>
      </c>
      <c r="G594" s="172">
        <v>957.81</v>
      </c>
      <c r="H594" s="79"/>
      <c r="I594" s="79"/>
      <c r="J594" s="79"/>
      <c r="K594" s="79"/>
      <c r="L594" s="79"/>
      <c r="M594" s="79"/>
    </row>
    <row r="595" spans="1:13" ht="15.75" hidden="1" customHeight="1">
      <c r="A595" s="79"/>
      <c r="B595" s="160"/>
      <c r="C595" s="160"/>
      <c r="D595" s="160"/>
      <c r="E595" s="161" t="s">
        <v>207</v>
      </c>
      <c r="F595" s="161"/>
      <c r="G595" s="162">
        <v>0</v>
      </c>
      <c r="H595" s="79"/>
      <c r="I595" s="79"/>
      <c r="J595" s="79"/>
      <c r="K595" s="79"/>
      <c r="L595" s="79"/>
      <c r="M595" s="79"/>
    </row>
    <row r="596" spans="1:13" ht="15.75" hidden="1" customHeight="1">
      <c r="A596" s="79"/>
      <c r="B596" s="155">
        <v>45854</v>
      </c>
      <c r="C596" s="156">
        <v>0</v>
      </c>
      <c r="D596" s="156">
        <v>0</v>
      </c>
      <c r="E596" s="157" t="s">
        <v>52</v>
      </c>
      <c r="F596" s="158">
        <v>9903</v>
      </c>
      <c r="G596" s="159">
        <v>176.84</v>
      </c>
      <c r="H596" s="79"/>
      <c r="I596" s="79"/>
      <c r="J596" s="79"/>
      <c r="K596" s="79"/>
      <c r="L596" s="79"/>
      <c r="M596" s="79"/>
    </row>
    <row r="597" spans="1:13" ht="15.75" hidden="1" customHeight="1">
      <c r="A597" s="79"/>
      <c r="B597" s="160"/>
      <c r="C597" s="160"/>
      <c r="D597" s="160"/>
      <c r="E597" s="161" t="s">
        <v>53</v>
      </c>
      <c r="F597" s="161"/>
      <c r="G597" s="162">
        <v>0</v>
      </c>
      <c r="H597" s="79"/>
      <c r="I597" s="79"/>
      <c r="J597" s="79"/>
      <c r="K597" s="79"/>
      <c r="L597" s="79"/>
      <c r="M597" s="79"/>
    </row>
    <row r="598" spans="1:13" ht="15.75" hidden="1" customHeight="1">
      <c r="A598" s="79"/>
      <c r="B598" s="155">
        <v>45855</v>
      </c>
      <c r="C598" s="156">
        <v>0</v>
      </c>
      <c r="D598" s="156">
        <v>14175</v>
      </c>
      <c r="E598" s="157" t="s">
        <v>62</v>
      </c>
      <c r="F598" s="158">
        <v>388105069</v>
      </c>
      <c r="G598" s="159">
        <v>3832</v>
      </c>
      <c r="H598" s="79"/>
      <c r="I598" s="79"/>
      <c r="J598" s="79"/>
      <c r="K598" s="79"/>
      <c r="L598" s="79"/>
      <c r="M598" s="79"/>
    </row>
    <row r="599" spans="1:13" ht="15.75" hidden="1" customHeight="1">
      <c r="A599" s="79"/>
      <c r="B599" s="160"/>
      <c r="C599" s="160"/>
      <c r="D599" s="160"/>
      <c r="E599" s="161" t="s">
        <v>97</v>
      </c>
      <c r="F599" s="161"/>
      <c r="G599" s="162">
        <v>0</v>
      </c>
      <c r="H599" s="79"/>
      <c r="I599" s="79"/>
      <c r="J599" s="79"/>
      <c r="K599" s="79"/>
      <c r="L599" s="79"/>
      <c r="M599" s="79"/>
    </row>
    <row r="600" spans="1:13" ht="15.75" hidden="1" customHeight="1">
      <c r="A600" s="79"/>
      <c r="B600" s="155">
        <v>45855</v>
      </c>
      <c r="C600" s="156">
        <v>0</v>
      </c>
      <c r="D600" s="156">
        <v>14397</v>
      </c>
      <c r="E600" s="157" t="s">
        <v>57</v>
      </c>
      <c r="F600" s="158">
        <v>171414320044702</v>
      </c>
      <c r="G600" s="159">
        <v>3102.76</v>
      </c>
      <c r="H600" s="79"/>
      <c r="I600" s="79"/>
      <c r="J600" s="79"/>
      <c r="K600" s="79"/>
      <c r="L600" s="79"/>
      <c r="M600" s="79"/>
    </row>
    <row r="601" spans="1:13" ht="15.75" hidden="1" customHeight="1">
      <c r="A601" s="79"/>
      <c r="B601" s="160"/>
      <c r="C601" s="160"/>
      <c r="D601" s="160"/>
      <c r="E601" s="161" t="s">
        <v>930</v>
      </c>
      <c r="F601" s="161"/>
      <c r="G601" s="162">
        <v>0</v>
      </c>
      <c r="H601" s="79"/>
      <c r="I601" s="79"/>
      <c r="J601" s="79"/>
      <c r="K601" s="79"/>
      <c r="L601" s="79"/>
      <c r="M601" s="79"/>
    </row>
    <row r="602" spans="1:13" ht="15.75" hidden="1" customHeight="1">
      <c r="A602" s="79"/>
      <c r="B602" s="155">
        <v>45855</v>
      </c>
      <c r="C602" s="156">
        <v>0</v>
      </c>
      <c r="D602" s="156">
        <v>14397</v>
      </c>
      <c r="E602" s="157" t="s">
        <v>57</v>
      </c>
      <c r="F602" s="158">
        <v>171601592886732</v>
      </c>
      <c r="G602" s="159">
        <v>7000</v>
      </c>
      <c r="H602" s="79"/>
      <c r="I602" s="79"/>
      <c r="J602" s="79"/>
      <c r="K602" s="79"/>
      <c r="L602" s="79"/>
      <c r="M602" s="79"/>
    </row>
    <row r="603" spans="1:13" ht="15.75" hidden="1" customHeight="1">
      <c r="A603" s="79"/>
      <c r="B603" s="160"/>
      <c r="C603" s="160"/>
      <c r="D603" s="160"/>
      <c r="E603" s="161" t="s">
        <v>931</v>
      </c>
      <c r="F603" s="161"/>
      <c r="G603" s="162">
        <v>0</v>
      </c>
      <c r="H603" s="79"/>
      <c r="I603" s="79"/>
      <c r="J603" s="79"/>
      <c r="K603" s="79"/>
      <c r="L603" s="79"/>
      <c r="M603" s="79"/>
    </row>
    <row r="604" spans="1:13" ht="15.75" hidden="1" customHeight="1">
      <c r="A604" s="79"/>
      <c r="B604" s="155">
        <v>45855</v>
      </c>
      <c r="C604" s="156">
        <v>0</v>
      </c>
      <c r="D604" s="156">
        <v>14397</v>
      </c>
      <c r="E604" s="157" t="s">
        <v>57</v>
      </c>
      <c r="F604" s="158">
        <v>171852151943252</v>
      </c>
      <c r="G604" s="159">
        <v>50000</v>
      </c>
      <c r="H604" s="79"/>
      <c r="I604" s="79"/>
      <c r="J604" s="79"/>
      <c r="K604" s="79"/>
      <c r="L604" s="79"/>
      <c r="M604" s="79"/>
    </row>
    <row r="605" spans="1:13" ht="15.75" hidden="1" customHeight="1">
      <c r="A605" s="79"/>
      <c r="B605" s="160"/>
      <c r="C605" s="160"/>
      <c r="D605" s="160"/>
      <c r="E605" s="161" t="s">
        <v>932</v>
      </c>
      <c r="F605" s="161"/>
      <c r="G605" s="162">
        <v>0</v>
      </c>
      <c r="H605" s="79"/>
      <c r="I605" s="79"/>
      <c r="J605" s="79"/>
      <c r="K605" s="79"/>
      <c r="L605" s="79"/>
      <c r="M605" s="79"/>
    </row>
    <row r="606" spans="1:13" ht="15.75" hidden="1" customHeight="1">
      <c r="A606" s="79"/>
      <c r="B606" s="155">
        <v>45855</v>
      </c>
      <c r="C606" s="156">
        <v>0</v>
      </c>
      <c r="D606" s="156">
        <v>13105</v>
      </c>
      <c r="E606" s="157" t="s">
        <v>80</v>
      </c>
      <c r="F606" s="158">
        <v>71701</v>
      </c>
      <c r="G606" s="172">
        <v>280.8</v>
      </c>
      <c r="H606" s="79"/>
      <c r="I606" s="79"/>
      <c r="J606" s="79"/>
      <c r="K606" s="79"/>
      <c r="L606" s="79"/>
      <c r="M606" s="79"/>
    </row>
    <row r="607" spans="1:13" ht="15.75" hidden="1" customHeight="1">
      <c r="A607" s="79"/>
      <c r="B607" s="160"/>
      <c r="C607" s="160"/>
      <c r="D607" s="160"/>
      <c r="E607" s="161" t="s">
        <v>81</v>
      </c>
      <c r="F607" s="161"/>
      <c r="G607" s="162">
        <v>0</v>
      </c>
      <c r="H607" s="79"/>
      <c r="I607" s="79"/>
      <c r="J607" s="79"/>
      <c r="K607" s="79"/>
      <c r="L607" s="79"/>
      <c r="M607" s="79"/>
    </row>
    <row r="608" spans="1:13" ht="15.75" hidden="1" customHeight="1">
      <c r="A608" s="79"/>
      <c r="B608" s="155">
        <v>45855</v>
      </c>
      <c r="C608" s="156">
        <v>0</v>
      </c>
      <c r="D608" s="156">
        <v>13105</v>
      </c>
      <c r="E608" s="157" t="s">
        <v>31</v>
      </c>
      <c r="F608" s="158">
        <v>71702</v>
      </c>
      <c r="G608" s="172">
        <v>4890</v>
      </c>
      <c r="H608" s="79"/>
      <c r="I608" s="79"/>
      <c r="J608" s="79"/>
      <c r="K608" s="79"/>
      <c r="L608" s="79"/>
      <c r="M608" s="79"/>
    </row>
    <row r="609" spans="1:13" ht="15.75" hidden="1" customHeight="1">
      <c r="A609" s="79"/>
      <c r="B609" s="160"/>
      <c r="C609" s="160"/>
      <c r="D609" s="160"/>
      <c r="E609" s="161" t="s">
        <v>32</v>
      </c>
      <c r="F609" s="161"/>
      <c r="G609" s="162">
        <v>0</v>
      </c>
      <c r="H609" s="79"/>
      <c r="I609" s="79"/>
      <c r="J609" s="79"/>
      <c r="K609" s="79"/>
      <c r="L609" s="79"/>
      <c r="M609" s="79"/>
    </row>
    <row r="610" spans="1:13" ht="15.75" hidden="1" customHeight="1">
      <c r="A610" s="79"/>
      <c r="B610" s="155">
        <v>45855</v>
      </c>
      <c r="C610" s="156">
        <v>0</v>
      </c>
      <c r="D610" s="156">
        <v>13105</v>
      </c>
      <c r="E610" s="157" t="s">
        <v>31</v>
      </c>
      <c r="F610" s="158">
        <v>71703</v>
      </c>
      <c r="G610" s="172">
        <v>2077.34</v>
      </c>
      <c r="H610" s="79"/>
      <c r="I610" s="79"/>
      <c r="J610" s="79"/>
      <c r="K610" s="79"/>
      <c r="L610" s="79"/>
      <c r="M610" s="79"/>
    </row>
    <row r="611" spans="1:13" ht="15.75" hidden="1" customHeight="1">
      <c r="A611" s="79"/>
      <c r="B611" s="160"/>
      <c r="C611" s="160"/>
      <c r="D611" s="160"/>
      <c r="E611" s="161" t="s">
        <v>32</v>
      </c>
      <c r="F611" s="161"/>
      <c r="G611" s="162">
        <v>0</v>
      </c>
      <c r="H611" s="79"/>
      <c r="I611" s="79"/>
      <c r="J611" s="79"/>
      <c r="K611" s="79"/>
      <c r="L611" s="79"/>
      <c r="M611" s="79"/>
    </row>
    <row r="612" spans="1:13" ht="15.75" hidden="1" customHeight="1">
      <c r="A612" s="79"/>
      <c r="B612" s="155">
        <v>45855</v>
      </c>
      <c r="C612" s="156">
        <v>0</v>
      </c>
      <c r="D612" s="156">
        <v>13105</v>
      </c>
      <c r="E612" s="157" t="s">
        <v>31</v>
      </c>
      <c r="F612" s="158">
        <v>71704</v>
      </c>
      <c r="G612" s="172">
        <v>410.95</v>
      </c>
      <c r="H612" s="79"/>
      <c r="I612" s="79"/>
      <c r="J612" s="79"/>
      <c r="K612" s="79"/>
      <c r="L612" s="79"/>
      <c r="M612" s="79"/>
    </row>
    <row r="613" spans="1:13" ht="15.75" hidden="1" customHeight="1">
      <c r="A613" s="79"/>
      <c r="B613" s="160"/>
      <c r="C613" s="160"/>
      <c r="D613" s="160"/>
      <c r="E613" s="161" t="s">
        <v>180</v>
      </c>
      <c r="F613" s="161"/>
      <c r="G613" s="162">
        <v>0</v>
      </c>
      <c r="H613" s="79"/>
      <c r="I613" s="79"/>
      <c r="J613" s="79"/>
      <c r="K613" s="79"/>
      <c r="L613" s="79"/>
      <c r="M613" s="79"/>
    </row>
    <row r="614" spans="1:13" ht="15.75" hidden="1" customHeight="1">
      <c r="A614" s="79"/>
      <c r="B614" s="155">
        <v>45855</v>
      </c>
      <c r="C614" s="156">
        <v>0</v>
      </c>
      <c r="D614" s="156">
        <v>13105</v>
      </c>
      <c r="E614" s="157" t="s">
        <v>31</v>
      </c>
      <c r="F614" s="158">
        <v>71705</v>
      </c>
      <c r="G614" s="172">
        <v>272.77999999999997</v>
      </c>
      <c r="H614" s="79"/>
      <c r="I614" s="79"/>
      <c r="J614" s="79"/>
      <c r="K614" s="79"/>
      <c r="L614" s="79"/>
      <c r="M614" s="79"/>
    </row>
    <row r="615" spans="1:13" ht="15.75" hidden="1" customHeight="1">
      <c r="A615" s="79"/>
      <c r="B615" s="160"/>
      <c r="C615" s="160"/>
      <c r="D615" s="160"/>
      <c r="E615" s="161" t="s">
        <v>67</v>
      </c>
      <c r="F615" s="161"/>
      <c r="G615" s="162">
        <v>0</v>
      </c>
      <c r="H615" s="79"/>
      <c r="I615" s="79"/>
      <c r="J615" s="79"/>
      <c r="K615" s="79"/>
      <c r="L615" s="79"/>
      <c r="M615" s="79"/>
    </row>
    <row r="616" spans="1:13" ht="15.75" hidden="1" customHeight="1">
      <c r="A616" s="79"/>
      <c r="B616" s="155">
        <v>45855</v>
      </c>
      <c r="C616" s="156">
        <v>0</v>
      </c>
      <c r="D616" s="156">
        <v>13105</v>
      </c>
      <c r="E616" s="157" t="s">
        <v>31</v>
      </c>
      <c r="F616" s="158">
        <v>71706</v>
      </c>
      <c r="G616" s="172">
        <v>313.95999999999998</v>
      </c>
      <c r="H616" s="79"/>
      <c r="I616" s="79"/>
      <c r="J616" s="79"/>
      <c r="K616" s="79"/>
      <c r="L616" s="79"/>
      <c r="M616" s="79"/>
    </row>
    <row r="617" spans="1:13" ht="15.75" hidden="1" customHeight="1">
      <c r="A617" s="79"/>
      <c r="B617" s="160"/>
      <c r="C617" s="160"/>
      <c r="D617" s="160"/>
      <c r="E617" s="161" t="s">
        <v>41</v>
      </c>
      <c r="F617" s="161"/>
      <c r="G617" s="162">
        <v>0</v>
      </c>
      <c r="H617" s="79"/>
      <c r="I617" s="79"/>
      <c r="J617" s="79"/>
      <c r="K617" s="79"/>
      <c r="L617" s="79"/>
      <c r="M617" s="79"/>
    </row>
    <row r="618" spans="1:13" ht="15.75" hidden="1" customHeight="1">
      <c r="A618" s="79"/>
      <c r="B618" s="155">
        <v>45855</v>
      </c>
      <c r="C618" s="156">
        <v>0</v>
      </c>
      <c r="D618" s="156">
        <v>13105</v>
      </c>
      <c r="E618" s="157" t="s">
        <v>31</v>
      </c>
      <c r="F618" s="158">
        <v>71707</v>
      </c>
      <c r="G618" s="172">
        <v>591</v>
      </c>
      <c r="H618" s="79"/>
      <c r="I618" s="79"/>
      <c r="J618" s="79"/>
      <c r="K618" s="79"/>
      <c r="L618" s="79"/>
      <c r="M618" s="79"/>
    </row>
    <row r="619" spans="1:13" ht="15.75" hidden="1" customHeight="1">
      <c r="A619" s="79"/>
      <c r="B619" s="160"/>
      <c r="C619" s="160"/>
      <c r="D619" s="160"/>
      <c r="E619" s="161" t="s">
        <v>41</v>
      </c>
      <c r="F619" s="161"/>
      <c r="G619" s="162">
        <v>0</v>
      </c>
      <c r="H619" s="79"/>
      <c r="I619" s="79"/>
      <c r="J619" s="79"/>
      <c r="K619" s="79"/>
      <c r="L619" s="79"/>
      <c r="M619" s="79"/>
    </row>
    <row r="620" spans="1:13" ht="15.75" hidden="1" customHeight="1">
      <c r="A620" s="79"/>
      <c r="B620" s="155">
        <v>45855</v>
      </c>
      <c r="C620" s="156">
        <v>0</v>
      </c>
      <c r="D620" s="156">
        <v>13105</v>
      </c>
      <c r="E620" s="157" t="s">
        <v>31</v>
      </c>
      <c r="F620" s="158">
        <v>71708</v>
      </c>
      <c r="G620" s="172">
        <v>2407.62</v>
      </c>
      <c r="H620" s="79"/>
      <c r="I620" s="79"/>
      <c r="J620" s="79"/>
      <c r="K620" s="79"/>
      <c r="L620" s="79"/>
      <c r="M620" s="79"/>
    </row>
    <row r="621" spans="1:13" ht="15.75" hidden="1" customHeight="1">
      <c r="A621" s="79"/>
      <c r="B621" s="160"/>
      <c r="C621" s="160"/>
      <c r="D621" s="160"/>
      <c r="E621" s="161" t="s">
        <v>323</v>
      </c>
      <c r="F621" s="161"/>
      <c r="G621" s="162">
        <v>0</v>
      </c>
      <c r="H621" s="79"/>
      <c r="I621" s="79"/>
      <c r="J621" s="79"/>
      <c r="K621" s="79"/>
      <c r="L621" s="79"/>
      <c r="M621" s="79"/>
    </row>
    <row r="622" spans="1:13" ht="15.75" hidden="1" customHeight="1">
      <c r="A622" s="79"/>
      <c r="B622" s="155">
        <v>45855</v>
      </c>
      <c r="C622" s="156">
        <v>0</v>
      </c>
      <c r="D622" s="156">
        <v>13105</v>
      </c>
      <c r="E622" s="157" t="s">
        <v>31</v>
      </c>
      <c r="F622" s="158">
        <v>71709</v>
      </c>
      <c r="G622" s="172">
        <v>497.65</v>
      </c>
      <c r="H622" s="79"/>
      <c r="I622" s="79"/>
      <c r="J622" s="79"/>
      <c r="K622" s="79"/>
      <c r="L622" s="79"/>
      <c r="M622" s="79"/>
    </row>
    <row r="623" spans="1:13" ht="15.75" hidden="1" customHeight="1">
      <c r="A623" s="79"/>
      <c r="B623" s="160"/>
      <c r="C623" s="160"/>
      <c r="D623" s="160"/>
      <c r="E623" s="161" t="s">
        <v>44</v>
      </c>
      <c r="F623" s="161"/>
      <c r="G623" s="162">
        <v>0</v>
      </c>
      <c r="H623" s="79"/>
      <c r="I623" s="79"/>
      <c r="J623" s="79"/>
      <c r="K623" s="79"/>
      <c r="L623" s="79"/>
      <c r="M623" s="79"/>
    </row>
    <row r="624" spans="1:13" ht="15.75" hidden="1" customHeight="1">
      <c r="A624" s="79"/>
      <c r="B624" s="155">
        <v>45855</v>
      </c>
      <c r="C624" s="156">
        <v>0</v>
      </c>
      <c r="D624" s="156">
        <v>13105</v>
      </c>
      <c r="E624" s="157" t="s">
        <v>31</v>
      </c>
      <c r="F624" s="158">
        <v>71710</v>
      </c>
      <c r="G624" s="172">
        <v>215.25</v>
      </c>
      <c r="H624" s="79"/>
      <c r="I624" s="79"/>
      <c r="J624" s="79"/>
      <c r="K624" s="79"/>
      <c r="L624" s="79"/>
      <c r="M624" s="79"/>
    </row>
    <row r="625" spans="1:13" ht="15.75" hidden="1" customHeight="1">
      <c r="A625" s="79"/>
      <c r="B625" s="160"/>
      <c r="C625" s="160"/>
      <c r="D625" s="160"/>
      <c r="E625" s="161" t="s">
        <v>45</v>
      </c>
      <c r="F625" s="161"/>
      <c r="G625" s="162">
        <v>0</v>
      </c>
      <c r="H625" s="79"/>
      <c r="I625" s="79"/>
      <c r="J625" s="79"/>
      <c r="K625" s="79"/>
      <c r="L625" s="79"/>
      <c r="M625" s="79"/>
    </row>
    <row r="626" spans="1:13" ht="15.75" hidden="1" customHeight="1">
      <c r="A626" s="79"/>
      <c r="B626" s="155">
        <v>45855</v>
      </c>
      <c r="C626" s="156">
        <v>0</v>
      </c>
      <c r="D626" s="156">
        <v>13105</v>
      </c>
      <c r="E626" s="157" t="s">
        <v>31</v>
      </c>
      <c r="F626" s="158">
        <v>71711</v>
      </c>
      <c r="G626" s="172">
        <v>587.66999999999996</v>
      </c>
      <c r="H626" s="79"/>
      <c r="I626" s="79"/>
      <c r="J626" s="79"/>
      <c r="K626" s="79"/>
      <c r="L626" s="79"/>
      <c r="M626" s="79"/>
    </row>
    <row r="627" spans="1:13" ht="15.75" hidden="1" customHeight="1">
      <c r="A627" s="79"/>
      <c r="B627" s="160"/>
      <c r="C627" s="160"/>
      <c r="D627" s="160"/>
      <c r="E627" s="161" t="s">
        <v>46</v>
      </c>
      <c r="F627" s="161"/>
      <c r="G627" s="162">
        <v>0</v>
      </c>
      <c r="H627" s="79"/>
      <c r="I627" s="79"/>
      <c r="J627" s="79"/>
      <c r="K627" s="79"/>
      <c r="L627" s="79"/>
      <c r="M627" s="79"/>
    </row>
    <row r="628" spans="1:13" ht="15.75" hidden="1" customHeight="1">
      <c r="A628" s="79"/>
      <c r="B628" s="155">
        <v>45855</v>
      </c>
      <c r="C628" s="156">
        <v>0</v>
      </c>
      <c r="D628" s="156">
        <v>13105</v>
      </c>
      <c r="E628" s="157" t="s">
        <v>31</v>
      </c>
      <c r="F628" s="158">
        <v>71712</v>
      </c>
      <c r="G628" s="172">
        <v>126.63</v>
      </c>
      <c r="H628" s="79"/>
      <c r="I628" s="79"/>
      <c r="J628" s="79"/>
      <c r="K628" s="79"/>
      <c r="L628" s="79"/>
      <c r="M628" s="79"/>
    </row>
    <row r="629" spans="1:13" ht="15.75" hidden="1" customHeight="1">
      <c r="A629" s="79"/>
      <c r="B629" s="160"/>
      <c r="C629" s="160"/>
      <c r="D629" s="160"/>
      <c r="E629" s="161" t="s">
        <v>46</v>
      </c>
      <c r="F629" s="161"/>
      <c r="G629" s="162">
        <v>0</v>
      </c>
      <c r="H629" s="79"/>
      <c r="I629" s="79"/>
      <c r="J629" s="79"/>
      <c r="K629" s="79"/>
      <c r="L629" s="79"/>
      <c r="M629" s="79"/>
    </row>
    <row r="630" spans="1:13" ht="15.75" hidden="1" customHeight="1">
      <c r="A630" s="79"/>
      <c r="B630" s="155">
        <v>45855</v>
      </c>
      <c r="C630" s="156">
        <v>0</v>
      </c>
      <c r="D630" s="156">
        <v>13105</v>
      </c>
      <c r="E630" s="157" t="s">
        <v>31</v>
      </c>
      <c r="F630" s="158">
        <v>71713</v>
      </c>
      <c r="G630" s="172">
        <v>237.47</v>
      </c>
      <c r="H630" s="79"/>
      <c r="I630" s="79"/>
      <c r="J630" s="79"/>
      <c r="K630" s="79"/>
      <c r="L630" s="79"/>
      <c r="M630" s="79"/>
    </row>
    <row r="631" spans="1:13" ht="15.75" hidden="1" customHeight="1">
      <c r="A631" s="79"/>
      <c r="B631" s="160"/>
      <c r="C631" s="160"/>
      <c r="D631" s="160"/>
      <c r="E631" s="161" t="s">
        <v>340</v>
      </c>
      <c r="F631" s="161"/>
      <c r="G631" s="162">
        <v>0</v>
      </c>
      <c r="H631" s="79"/>
      <c r="I631" s="79"/>
      <c r="J631" s="79"/>
      <c r="K631" s="79"/>
      <c r="L631" s="79"/>
      <c r="M631" s="79"/>
    </row>
    <row r="632" spans="1:13" ht="15.75" hidden="1" customHeight="1">
      <c r="A632" s="79"/>
      <c r="B632" s="155">
        <v>45855</v>
      </c>
      <c r="C632" s="156">
        <v>0</v>
      </c>
      <c r="D632" s="156">
        <v>13105</v>
      </c>
      <c r="E632" s="157" t="s">
        <v>31</v>
      </c>
      <c r="F632" s="158">
        <v>71714</v>
      </c>
      <c r="G632" s="172">
        <v>223.37</v>
      </c>
      <c r="H632" s="79"/>
      <c r="I632" s="79"/>
      <c r="J632" s="79"/>
      <c r="K632" s="79"/>
      <c r="L632" s="79"/>
      <c r="M632" s="79"/>
    </row>
    <row r="633" spans="1:13" ht="15.75" hidden="1" customHeight="1">
      <c r="A633" s="79"/>
      <c r="B633" s="160"/>
      <c r="C633" s="160"/>
      <c r="D633" s="160"/>
      <c r="E633" s="161" t="s">
        <v>755</v>
      </c>
      <c r="F633" s="161"/>
      <c r="G633" s="162">
        <v>0</v>
      </c>
      <c r="H633" s="79"/>
      <c r="I633" s="79"/>
      <c r="J633" s="79"/>
      <c r="K633" s="79"/>
      <c r="L633" s="79"/>
      <c r="M633" s="79"/>
    </row>
    <row r="634" spans="1:13" ht="15.75" hidden="1" customHeight="1">
      <c r="A634" s="79"/>
      <c r="B634" s="155">
        <v>45855</v>
      </c>
      <c r="C634" s="156">
        <v>0</v>
      </c>
      <c r="D634" s="156">
        <v>13105</v>
      </c>
      <c r="E634" s="157" t="s">
        <v>31</v>
      </c>
      <c r="F634" s="158">
        <v>71715</v>
      </c>
      <c r="G634" s="172">
        <v>209.21</v>
      </c>
      <c r="H634" s="79"/>
      <c r="I634" s="79"/>
      <c r="J634" s="79"/>
      <c r="K634" s="79"/>
      <c r="L634" s="79"/>
      <c r="M634" s="79"/>
    </row>
    <row r="635" spans="1:13" ht="15.75" hidden="1" customHeight="1">
      <c r="A635" s="79"/>
      <c r="B635" s="160"/>
      <c r="C635" s="160"/>
      <c r="D635" s="160"/>
      <c r="E635" s="161" t="s">
        <v>755</v>
      </c>
      <c r="F635" s="161"/>
      <c r="G635" s="162">
        <v>0</v>
      </c>
      <c r="H635" s="79"/>
      <c r="I635" s="79"/>
      <c r="J635" s="79"/>
      <c r="K635" s="79"/>
      <c r="L635" s="79"/>
      <c r="M635" s="79"/>
    </row>
    <row r="636" spans="1:13" ht="15.75" hidden="1" customHeight="1">
      <c r="A636" s="79"/>
      <c r="B636" s="155">
        <v>45855</v>
      </c>
      <c r="C636" s="156">
        <v>0</v>
      </c>
      <c r="D636" s="156">
        <v>13105</v>
      </c>
      <c r="E636" s="157" t="s">
        <v>31</v>
      </c>
      <c r="F636" s="158">
        <v>71716</v>
      </c>
      <c r="G636" s="172">
        <v>228.01</v>
      </c>
      <c r="H636" s="79"/>
      <c r="I636" s="79"/>
      <c r="J636" s="79"/>
      <c r="K636" s="79"/>
      <c r="L636" s="79"/>
      <c r="M636" s="79"/>
    </row>
    <row r="637" spans="1:13" ht="15.75" hidden="1" customHeight="1">
      <c r="A637" s="79"/>
      <c r="B637" s="160"/>
      <c r="C637" s="160"/>
      <c r="D637" s="160"/>
      <c r="E637" s="161" t="s">
        <v>111</v>
      </c>
      <c r="F637" s="161"/>
      <c r="G637" s="162">
        <v>0</v>
      </c>
      <c r="H637" s="79"/>
      <c r="I637" s="79"/>
      <c r="J637" s="79"/>
      <c r="K637" s="79"/>
      <c r="L637" s="79"/>
      <c r="M637" s="79"/>
    </row>
    <row r="638" spans="1:13" ht="15.75" hidden="1" customHeight="1">
      <c r="A638" s="79"/>
      <c r="B638" s="155">
        <v>45855</v>
      </c>
      <c r="C638" s="156">
        <v>0</v>
      </c>
      <c r="D638" s="156">
        <v>0</v>
      </c>
      <c r="E638" s="157" t="s">
        <v>59</v>
      </c>
      <c r="F638" s="158">
        <v>9903</v>
      </c>
      <c r="G638" s="172">
        <v>50365.05</v>
      </c>
      <c r="H638" s="79"/>
      <c r="I638" s="79"/>
      <c r="J638" s="79"/>
      <c r="K638" s="79"/>
      <c r="L638" s="79"/>
      <c r="M638" s="79"/>
    </row>
    <row r="639" spans="1:13" ht="15.75" hidden="1" customHeight="1">
      <c r="A639" s="79"/>
      <c r="B639" s="160"/>
      <c r="C639" s="160"/>
      <c r="D639" s="160"/>
      <c r="E639" s="161" t="s">
        <v>53</v>
      </c>
      <c r="F639" s="161"/>
      <c r="G639" s="162">
        <v>0</v>
      </c>
      <c r="H639" s="79"/>
      <c r="I639" s="79"/>
      <c r="J639" s="79"/>
      <c r="K639" s="79"/>
      <c r="L639" s="79"/>
      <c r="M639" s="79"/>
    </row>
    <row r="640" spans="1:13" ht="15.75" hidden="1" customHeight="1">
      <c r="A640" s="79"/>
      <c r="B640" s="155">
        <v>45856</v>
      </c>
      <c r="C640" s="156">
        <v>0</v>
      </c>
      <c r="D640" s="156">
        <v>14397</v>
      </c>
      <c r="E640" s="157" t="s">
        <v>57</v>
      </c>
      <c r="F640" s="158">
        <v>180748195298921</v>
      </c>
      <c r="G640" s="159">
        <v>1427.58</v>
      </c>
      <c r="H640" s="79"/>
      <c r="I640" s="79"/>
      <c r="J640" s="79"/>
      <c r="K640" s="79"/>
      <c r="L640" s="79"/>
      <c r="M640" s="79"/>
    </row>
    <row r="641" spans="1:13" ht="15.75" hidden="1" customHeight="1">
      <c r="A641" s="79"/>
      <c r="B641" s="160"/>
      <c r="C641" s="160"/>
      <c r="D641" s="160"/>
      <c r="E641" s="161" t="s">
        <v>933</v>
      </c>
      <c r="F641" s="161"/>
      <c r="G641" s="162">
        <v>0</v>
      </c>
      <c r="H641" s="79"/>
      <c r="I641" s="79"/>
      <c r="J641" s="79"/>
      <c r="K641" s="79"/>
      <c r="L641" s="79"/>
      <c r="M641" s="79"/>
    </row>
    <row r="642" spans="1:13" ht="15.75" hidden="1" customHeight="1">
      <c r="A642" s="79"/>
      <c r="B642" s="155">
        <v>45856</v>
      </c>
      <c r="C642" s="156">
        <v>0</v>
      </c>
      <c r="D642" s="156">
        <v>14397</v>
      </c>
      <c r="E642" s="157" t="s">
        <v>57</v>
      </c>
      <c r="F642" s="158">
        <v>180953393440182</v>
      </c>
      <c r="G642" s="159">
        <v>141.27000000000001</v>
      </c>
      <c r="H642" s="79"/>
      <c r="I642" s="79"/>
      <c r="J642" s="79"/>
      <c r="K642" s="79"/>
      <c r="L642" s="79"/>
      <c r="M642" s="79"/>
    </row>
    <row r="643" spans="1:13" ht="15.75" hidden="1" customHeight="1">
      <c r="A643" s="79"/>
      <c r="B643" s="160"/>
      <c r="C643" s="160"/>
      <c r="D643" s="160"/>
      <c r="E643" s="161" t="s">
        <v>934</v>
      </c>
      <c r="F643" s="161"/>
      <c r="G643" s="162">
        <v>0</v>
      </c>
      <c r="H643" s="79"/>
      <c r="I643" s="79"/>
      <c r="J643" s="79"/>
      <c r="K643" s="79"/>
      <c r="L643" s="79"/>
      <c r="M643" s="79"/>
    </row>
    <row r="644" spans="1:13" ht="15.75" hidden="1" customHeight="1">
      <c r="A644" s="79"/>
      <c r="B644" s="155">
        <v>45856</v>
      </c>
      <c r="C644" s="156">
        <v>0</v>
      </c>
      <c r="D644" s="156">
        <v>14397</v>
      </c>
      <c r="E644" s="157" t="s">
        <v>57</v>
      </c>
      <c r="F644" s="158">
        <v>181123347313142</v>
      </c>
      <c r="G644" s="159">
        <v>5000</v>
      </c>
      <c r="H644" s="79"/>
      <c r="I644" s="79"/>
      <c r="J644" s="79"/>
      <c r="K644" s="79"/>
      <c r="L644" s="79"/>
      <c r="M644" s="79"/>
    </row>
    <row r="645" spans="1:13" ht="15.75" hidden="1" customHeight="1">
      <c r="A645" s="79"/>
      <c r="B645" s="160"/>
      <c r="C645" s="160"/>
      <c r="D645" s="160"/>
      <c r="E645" s="161" t="s">
        <v>935</v>
      </c>
      <c r="F645" s="161"/>
      <c r="G645" s="162">
        <v>0</v>
      </c>
      <c r="H645" s="79"/>
      <c r="I645" s="79"/>
      <c r="J645" s="79"/>
      <c r="K645" s="79"/>
      <c r="L645" s="79"/>
      <c r="M645" s="79"/>
    </row>
    <row r="646" spans="1:13" ht="15.75" customHeight="1">
      <c r="A646" s="163" t="s">
        <v>140</v>
      </c>
      <c r="B646" s="155">
        <v>45856</v>
      </c>
      <c r="C646" s="156">
        <v>0</v>
      </c>
      <c r="D646" s="156">
        <v>14138</v>
      </c>
      <c r="E646" s="157" t="s">
        <v>141</v>
      </c>
      <c r="F646" s="158">
        <v>202507170001157</v>
      </c>
      <c r="G646" s="159">
        <v>1668.08</v>
      </c>
      <c r="H646" s="160" t="s">
        <v>936</v>
      </c>
      <c r="I646" s="160" t="s">
        <v>428</v>
      </c>
      <c r="J646" s="79"/>
      <c r="K646" s="79"/>
      <c r="L646" s="79"/>
      <c r="M646" s="79"/>
    </row>
    <row r="647" spans="1:13" ht="15.75" hidden="1" customHeight="1">
      <c r="A647" s="79"/>
      <c r="B647" s="160"/>
      <c r="C647" s="160"/>
      <c r="D647" s="160"/>
      <c r="E647" s="161" t="s">
        <v>143</v>
      </c>
      <c r="F647" s="161"/>
      <c r="G647" s="162">
        <v>0</v>
      </c>
      <c r="H647" s="79"/>
      <c r="I647" s="79"/>
      <c r="J647" s="79"/>
      <c r="K647" s="79"/>
      <c r="L647" s="79"/>
      <c r="M647" s="79"/>
    </row>
    <row r="648" spans="1:13" ht="15.75" customHeight="1">
      <c r="A648" s="163" t="s">
        <v>140</v>
      </c>
      <c r="B648" s="155">
        <v>45856</v>
      </c>
      <c r="C648" s="156">
        <v>0</v>
      </c>
      <c r="D648" s="156">
        <v>14138</v>
      </c>
      <c r="E648" s="157" t="s">
        <v>141</v>
      </c>
      <c r="F648" s="158">
        <v>202507170001159</v>
      </c>
      <c r="G648" s="159">
        <v>2521.66</v>
      </c>
      <c r="H648" s="79" t="s">
        <v>937</v>
      </c>
      <c r="I648" s="79" t="s">
        <v>428</v>
      </c>
      <c r="J648" s="79"/>
      <c r="K648" s="79"/>
      <c r="L648" s="79"/>
      <c r="M648" s="79"/>
    </row>
    <row r="649" spans="1:13" ht="15.75" hidden="1" customHeight="1">
      <c r="A649" s="79"/>
      <c r="B649" s="160"/>
      <c r="C649" s="160"/>
      <c r="D649" s="160"/>
      <c r="E649" s="161" t="s">
        <v>143</v>
      </c>
      <c r="F649" s="161"/>
      <c r="G649" s="162">
        <v>0</v>
      </c>
      <c r="H649" s="79"/>
      <c r="I649" s="79"/>
      <c r="J649" s="79"/>
      <c r="K649" s="79"/>
      <c r="L649" s="79"/>
      <c r="M649" s="79"/>
    </row>
    <row r="650" spans="1:13" ht="15.75" customHeight="1">
      <c r="A650" s="163" t="s">
        <v>140</v>
      </c>
      <c r="B650" s="155">
        <v>45856</v>
      </c>
      <c r="C650" s="156">
        <v>0</v>
      </c>
      <c r="D650" s="156">
        <v>14138</v>
      </c>
      <c r="E650" s="157" t="s">
        <v>141</v>
      </c>
      <c r="F650" s="158">
        <v>202507170001161</v>
      </c>
      <c r="G650" s="159">
        <v>1668.08</v>
      </c>
      <c r="H650" s="79" t="s">
        <v>938</v>
      </c>
      <c r="I650" s="79" t="s">
        <v>428</v>
      </c>
      <c r="J650" s="79"/>
      <c r="K650" s="79"/>
      <c r="L650" s="79"/>
      <c r="M650" s="79"/>
    </row>
    <row r="651" spans="1:13" ht="15.75" hidden="1" customHeight="1">
      <c r="A651" s="79"/>
      <c r="B651" s="160"/>
      <c r="C651" s="160"/>
      <c r="D651" s="160"/>
      <c r="E651" s="161" t="s">
        <v>143</v>
      </c>
      <c r="F651" s="161"/>
      <c r="G651" s="162">
        <v>0</v>
      </c>
      <c r="H651" s="79"/>
      <c r="I651" s="79"/>
      <c r="J651" s="79"/>
      <c r="K651" s="79"/>
      <c r="L651" s="79"/>
      <c r="M651" s="79"/>
    </row>
    <row r="652" spans="1:13" ht="15.75" customHeight="1">
      <c r="A652" s="163" t="s">
        <v>140</v>
      </c>
      <c r="B652" s="155">
        <v>45856</v>
      </c>
      <c r="C652" s="156">
        <v>0</v>
      </c>
      <c r="D652" s="156">
        <v>14138</v>
      </c>
      <c r="E652" s="157" t="s">
        <v>141</v>
      </c>
      <c r="F652" s="158">
        <v>202507170001165</v>
      </c>
      <c r="G652" s="159">
        <v>1549.86</v>
      </c>
      <c r="H652" s="79" t="s">
        <v>939</v>
      </c>
      <c r="I652" s="79" t="s">
        <v>428</v>
      </c>
      <c r="J652" s="79"/>
      <c r="K652" s="79"/>
      <c r="L652" s="79"/>
      <c r="M652" s="79"/>
    </row>
    <row r="653" spans="1:13" ht="15.75" hidden="1" customHeight="1">
      <c r="A653" s="79"/>
      <c r="B653" s="160"/>
      <c r="C653" s="160"/>
      <c r="D653" s="160"/>
      <c r="E653" s="161" t="s">
        <v>143</v>
      </c>
      <c r="F653" s="161"/>
      <c r="G653" s="162">
        <v>0</v>
      </c>
      <c r="H653" s="79"/>
      <c r="I653" s="79"/>
      <c r="J653" s="79"/>
      <c r="K653" s="79"/>
      <c r="L653" s="79"/>
      <c r="M653" s="79"/>
    </row>
    <row r="654" spans="1:13" ht="15.75" hidden="1" customHeight="1">
      <c r="A654" s="79"/>
      <c r="B654" s="155">
        <v>45856</v>
      </c>
      <c r="C654" s="156">
        <v>1533</v>
      </c>
      <c r="D654" s="156">
        <v>99008</v>
      </c>
      <c r="E654" s="157" t="s">
        <v>29</v>
      </c>
      <c r="F654" s="158">
        <v>526365</v>
      </c>
      <c r="G654" s="172">
        <v>197.51</v>
      </c>
      <c r="H654" s="79"/>
      <c r="I654" s="79"/>
      <c r="J654" s="79"/>
      <c r="K654" s="79"/>
      <c r="L654" s="79"/>
      <c r="M654" s="79"/>
    </row>
    <row r="655" spans="1:13" ht="15.75" hidden="1" customHeight="1">
      <c r="A655" s="79"/>
      <c r="B655" s="160"/>
      <c r="C655" s="160"/>
      <c r="D655" s="160"/>
      <c r="E655" s="161" t="s">
        <v>940</v>
      </c>
      <c r="F655" s="161"/>
      <c r="G655" s="162">
        <v>0</v>
      </c>
      <c r="H655" s="79"/>
      <c r="I655" s="79"/>
      <c r="J655" s="79"/>
      <c r="K655" s="79"/>
      <c r="L655" s="79"/>
      <c r="M655" s="79"/>
    </row>
    <row r="656" spans="1:13" ht="15.75" hidden="1" customHeight="1">
      <c r="A656" s="79"/>
      <c r="B656" s="155">
        <v>45856</v>
      </c>
      <c r="C656" s="156">
        <v>0</v>
      </c>
      <c r="D656" s="156">
        <v>13105</v>
      </c>
      <c r="E656" s="157" t="s">
        <v>118</v>
      </c>
      <c r="F656" s="158">
        <v>71801</v>
      </c>
      <c r="G656" s="172">
        <v>55000</v>
      </c>
      <c r="H656" s="79"/>
      <c r="I656" s="79"/>
      <c r="J656" s="79"/>
      <c r="K656" s="79"/>
      <c r="L656" s="79"/>
      <c r="M656" s="79"/>
    </row>
    <row r="657" spans="1:13" ht="22.5" hidden="1" customHeight="1">
      <c r="A657" s="79"/>
      <c r="B657" s="160"/>
      <c r="C657" s="160"/>
      <c r="D657" s="160"/>
      <c r="E657" s="161" t="s">
        <v>941</v>
      </c>
      <c r="F657" s="161"/>
      <c r="G657" s="162">
        <v>0</v>
      </c>
      <c r="H657" s="79"/>
      <c r="I657" s="79"/>
      <c r="J657" s="79"/>
      <c r="K657" s="79"/>
      <c r="L657" s="79"/>
      <c r="M657" s="79"/>
    </row>
    <row r="658" spans="1:13" ht="15.75" hidden="1" customHeight="1">
      <c r="A658" s="79"/>
      <c r="B658" s="155">
        <v>45856</v>
      </c>
      <c r="C658" s="156">
        <v>0</v>
      </c>
      <c r="D658" s="156">
        <v>13105</v>
      </c>
      <c r="E658" s="157" t="s">
        <v>80</v>
      </c>
      <c r="F658" s="158">
        <v>71802</v>
      </c>
      <c r="G658" s="172">
        <v>220.83</v>
      </c>
      <c r="H658" s="79"/>
      <c r="I658" s="79"/>
      <c r="J658" s="79"/>
      <c r="K658" s="79"/>
      <c r="L658" s="79"/>
      <c r="M658" s="79"/>
    </row>
    <row r="659" spans="1:13" ht="15.75" hidden="1" customHeight="1">
      <c r="A659" s="79"/>
      <c r="B659" s="160"/>
      <c r="C659" s="160"/>
      <c r="D659" s="160"/>
      <c r="E659" s="161" t="s">
        <v>81</v>
      </c>
      <c r="F659" s="161"/>
      <c r="G659" s="162">
        <v>0</v>
      </c>
      <c r="H659" s="79"/>
      <c r="I659" s="79"/>
      <c r="J659" s="79"/>
      <c r="K659" s="79"/>
      <c r="L659" s="79"/>
      <c r="M659" s="79"/>
    </row>
    <row r="660" spans="1:13" ht="15.75" hidden="1" customHeight="1">
      <c r="A660" s="79"/>
      <c r="B660" s="155">
        <v>45856</v>
      </c>
      <c r="C660" s="156">
        <v>0</v>
      </c>
      <c r="D660" s="156">
        <v>13105</v>
      </c>
      <c r="E660" s="157" t="s">
        <v>31</v>
      </c>
      <c r="F660" s="158">
        <v>71803</v>
      </c>
      <c r="G660" s="172">
        <v>1370.14</v>
      </c>
      <c r="H660" s="79"/>
      <c r="I660" s="79"/>
      <c r="J660" s="79"/>
      <c r="K660" s="79"/>
      <c r="L660" s="79"/>
      <c r="M660" s="79"/>
    </row>
    <row r="661" spans="1:13" ht="15.75" hidden="1" customHeight="1">
      <c r="A661" s="79"/>
      <c r="B661" s="160"/>
      <c r="C661" s="160"/>
      <c r="D661" s="160"/>
      <c r="E661" s="161" t="s">
        <v>66</v>
      </c>
      <c r="F661" s="161"/>
      <c r="G661" s="162">
        <v>0</v>
      </c>
      <c r="H661" s="79"/>
      <c r="I661" s="79"/>
      <c r="J661" s="79"/>
      <c r="K661" s="79"/>
      <c r="L661" s="79"/>
      <c r="M661" s="79"/>
    </row>
    <row r="662" spans="1:13" ht="15.75" hidden="1" customHeight="1">
      <c r="A662" s="79"/>
      <c r="B662" s="155">
        <v>45856</v>
      </c>
      <c r="C662" s="156">
        <v>0</v>
      </c>
      <c r="D662" s="156">
        <v>13105</v>
      </c>
      <c r="E662" s="157" t="s">
        <v>31</v>
      </c>
      <c r="F662" s="158">
        <v>71804</v>
      </c>
      <c r="G662" s="172">
        <v>195.99</v>
      </c>
      <c r="H662" s="79"/>
      <c r="I662" s="79"/>
      <c r="J662" s="79"/>
      <c r="K662" s="79"/>
      <c r="L662" s="79"/>
      <c r="M662" s="79"/>
    </row>
    <row r="663" spans="1:13" ht="15.75" hidden="1" customHeight="1">
      <c r="A663" s="79"/>
      <c r="B663" s="160"/>
      <c r="C663" s="160"/>
      <c r="D663" s="160"/>
      <c r="E663" s="161" t="s">
        <v>755</v>
      </c>
      <c r="F663" s="161"/>
      <c r="G663" s="162">
        <v>0</v>
      </c>
      <c r="H663" s="79"/>
      <c r="I663" s="79"/>
      <c r="J663" s="79"/>
      <c r="K663" s="79"/>
      <c r="L663" s="79"/>
      <c r="M663" s="79"/>
    </row>
    <row r="664" spans="1:13" ht="15.75" hidden="1" customHeight="1">
      <c r="A664" s="79"/>
      <c r="B664" s="155">
        <v>45856</v>
      </c>
      <c r="C664" s="156">
        <v>0</v>
      </c>
      <c r="D664" s="156">
        <v>13105</v>
      </c>
      <c r="E664" s="157" t="s">
        <v>31</v>
      </c>
      <c r="F664" s="158">
        <v>71805</v>
      </c>
      <c r="G664" s="172">
        <v>808.12</v>
      </c>
      <c r="H664" s="79"/>
      <c r="I664" s="79"/>
      <c r="J664" s="79"/>
      <c r="K664" s="79"/>
      <c r="L664" s="79"/>
      <c r="M664" s="79"/>
    </row>
    <row r="665" spans="1:13" ht="15.75" hidden="1" customHeight="1">
      <c r="A665" s="79"/>
      <c r="B665" s="160"/>
      <c r="C665" s="160"/>
      <c r="D665" s="160"/>
      <c r="E665" s="161" t="s">
        <v>46</v>
      </c>
      <c r="F665" s="161"/>
      <c r="G665" s="162">
        <v>0</v>
      </c>
      <c r="H665" s="79"/>
      <c r="I665" s="79"/>
      <c r="J665" s="79"/>
      <c r="K665" s="79"/>
      <c r="L665" s="79"/>
      <c r="M665" s="79"/>
    </row>
    <row r="666" spans="1:13" ht="15.75" hidden="1" customHeight="1">
      <c r="A666" s="79"/>
      <c r="B666" s="155">
        <v>45856</v>
      </c>
      <c r="C666" s="156">
        <v>0</v>
      </c>
      <c r="D666" s="156">
        <v>13105</v>
      </c>
      <c r="E666" s="157" t="s">
        <v>31</v>
      </c>
      <c r="F666" s="158">
        <v>71806</v>
      </c>
      <c r="G666" s="172">
        <v>459.42</v>
      </c>
      <c r="H666" s="79"/>
      <c r="I666" s="79"/>
      <c r="J666" s="79"/>
      <c r="K666" s="79"/>
      <c r="L666" s="79"/>
      <c r="M666" s="79"/>
    </row>
    <row r="667" spans="1:13" ht="15.75" hidden="1" customHeight="1">
      <c r="A667" s="79"/>
      <c r="B667" s="160"/>
      <c r="C667" s="160"/>
      <c r="D667" s="160"/>
      <c r="E667" s="161" t="s">
        <v>45</v>
      </c>
      <c r="F667" s="161"/>
      <c r="G667" s="162">
        <v>0</v>
      </c>
      <c r="H667" s="79"/>
      <c r="I667" s="79"/>
      <c r="J667" s="79"/>
      <c r="K667" s="79"/>
      <c r="L667" s="79"/>
      <c r="M667" s="79"/>
    </row>
    <row r="668" spans="1:13" ht="15.75" hidden="1" customHeight="1">
      <c r="A668" s="79"/>
      <c r="B668" s="155">
        <v>45856</v>
      </c>
      <c r="C668" s="156">
        <v>0</v>
      </c>
      <c r="D668" s="156">
        <v>13105</v>
      </c>
      <c r="E668" s="157" t="s">
        <v>31</v>
      </c>
      <c r="F668" s="158">
        <v>71807</v>
      </c>
      <c r="G668" s="172">
        <v>555.51</v>
      </c>
      <c r="H668" s="79"/>
      <c r="I668" s="79"/>
      <c r="J668" s="79"/>
      <c r="K668" s="79"/>
      <c r="L668" s="79"/>
      <c r="M668" s="79"/>
    </row>
    <row r="669" spans="1:13" ht="15.75" hidden="1" customHeight="1">
      <c r="A669" s="79"/>
      <c r="B669" s="160"/>
      <c r="C669" s="160"/>
      <c r="D669" s="160"/>
      <c r="E669" s="161" t="s">
        <v>45</v>
      </c>
      <c r="F669" s="161"/>
      <c r="G669" s="162">
        <v>0</v>
      </c>
      <c r="H669" s="79"/>
      <c r="I669" s="79"/>
      <c r="J669" s="79"/>
      <c r="K669" s="79"/>
      <c r="L669" s="79"/>
      <c r="M669" s="79"/>
    </row>
    <row r="670" spans="1:13" ht="15.75" hidden="1" customHeight="1">
      <c r="A670" s="79"/>
      <c r="B670" s="155">
        <v>45856</v>
      </c>
      <c r="C670" s="156">
        <v>0</v>
      </c>
      <c r="D670" s="156">
        <v>13105</v>
      </c>
      <c r="E670" s="157" t="s">
        <v>31</v>
      </c>
      <c r="F670" s="158">
        <v>71808</v>
      </c>
      <c r="G670" s="172">
        <v>506.72</v>
      </c>
      <c r="H670" s="79"/>
      <c r="I670" s="79"/>
      <c r="J670" s="79"/>
      <c r="K670" s="79"/>
      <c r="L670" s="79"/>
      <c r="M670" s="79"/>
    </row>
    <row r="671" spans="1:13" ht="15.75" hidden="1" customHeight="1">
      <c r="A671" s="79"/>
      <c r="B671" s="160"/>
      <c r="C671" s="160"/>
      <c r="D671" s="160"/>
      <c r="E671" s="161" t="s">
        <v>47</v>
      </c>
      <c r="F671" s="161"/>
      <c r="G671" s="162">
        <v>0</v>
      </c>
      <c r="H671" s="79"/>
      <c r="I671" s="79"/>
      <c r="J671" s="79"/>
      <c r="K671" s="79"/>
      <c r="L671" s="79"/>
      <c r="M671" s="79"/>
    </row>
    <row r="672" spans="1:13" ht="15.75" hidden="1" customHeight="1">
      <c r="A672" s="79"/>
      <c r="B672" s="155">
        <v>45856</v>
      </c>
      <c r="C672" s="156">
        <v>0</v>
      </c>
      <c r="D672" s="156">
        <v>13113</v>
      </c>
      <c r="E672" s="157" t="s">
        <v>189</v>
      </c>
      <c r="F672" s="158">
        <v>891991200177470</v>
      </c>
      <c r="G672" s="172">
        <v>10</v>
      </c>
      <c r="H672" s="79"/>
      <c r="I672" s="79"/>
      <c r="J672" s="79"/>
      <c r="K672" s="79"/>
      <c r="L672" s="79"/>
      <c r="M672" s="79"/>
    </row>
    <row r="673" spans="1:13" ht="15.75" hidden="1" customHeight="1">
      <c r="A673" s="79"/>
      <c r="B673" s="160"/>
      <c r="C673" s="160"/>
      <c r="D673" s="160"/>
      <c r="E673" s="161" t="s">
        <v>942</v>
      </c>
      <c r="F673" s="161"/>
      <c r="G673" s="162">
        <v>0</v>
      </c>
      <c r="H673" s="79"/>
      <c r="I673" s="79"/>
      <c r="J673" s="79"/>
      <c r="K673" s="79"/>
      <c r="L673" s="79"/>
      <c r="M673" s="79"/>
    </row>
    <row r="674" spans="1:13" ht="15.75" hidden="1" customHeight="1">
      <c r="A674" s="79"/>
      <c r="B674" s="155">
        <v>45856</v>
      </c>
      <c r="C674" s="156">
        <v>0</v>
      </c>
      <c r="D674" s="156">
        <v>0</v>
      </c>
      <c r="E674" s="157" t="s">
        <v>52</v>
      </c>
      <c r="F674" s="158">
        <v>9903</v>
      </c>
      <c r="G674" s="159">
        <v>45347.71</v>
      </c>
      <c r="H674" s="79"/>
      <c r="I674" s="79"/>
      <c r="J674" s="79"/>
      <c r="K674" s="79"/>
      <c r="L674" s="79"/>
      <c r="M674" s="79"/>
    </row>
    <row r="675" spans="1:13" ht="15.75" hidden="1" customHeight="1">
      <c r="A675" s="79"/>
      <c r="B675" s="160"/>
      <c r="C675" s="160"/>
      <c r="D675" s="160"/>
      <c r="E675" s="161" t="s">
        <v>53</v>
      </c>
      <c r="F675" s="161"/>
      <c r="G675" s="162">
        <v>0</v>
      </c>
      <c r="H675" s="79"/>
      <c r="I675" s="79"/>
      <c r="J675" s="79"/>
      <c r="K675" s="79"/>
      <c r="L675" s="79"/>
      <c r="M675" s="79"/>
    </row>
    <row r="676" spans="1:13" ht="15.75" hidden="1" customHeight="1">
      <c r="A676" s="79"/>
      <c r="B676" s="155">
        <v>45859</v>
      </c>
      <c r="C676" s="156">
        <v>128</v>
      </c>
      <c r="D676" s="156">
        <v>99021</v>
      </c>
      <c r="E676" s="157" t="s">
        <v>27</v>
      </c>
      <c r="F676" s="158">
        <v>610128000064860</v>
      </c>
      <c r="G676" s="159">
        <v>2458.89</v>
      </c>
      <c r="H676" s="79"/>
      <c r="I676" s="79"/>
      <c r="J676" s="79"/>
      <c r="K676" s="79"/>
      <c r="L676" s="79"/>
      <c r="M676" s="79"/>
    </row>
    <row r="677" spans="1:13" ht="15.75" hidden="1" customHeight="1">
      <c r="A677" s="79"/>
      <c r="B677" s="160"/>
      <c r="C677" s="160"/>
      <c r="D677" s="160"/>
      <c r="E677" s="161" t="s">
        <v>943</v>
      </c>
      <c r="F677" s="161"/>
      <c r="G677" s="162">
        <v>0</v>
      </c>
      <c r="H677" s="79"/>
      <c r="I677" s="79"/>
      <c r="J677" s="79"/>
      <c r="K677" s="79"/>
      <c r="L677" s="79"/>
      <c r="M677" s="79"/>
    </row>
    <row r="678" spans="1:13" ht="15.75" customHeight="1">
      <c r="A678" s="163" t="s">
        <v>140</v>
      </c>
      <c r="B678" s="155">
        <v>45859</v>
      </c>
      <c r="C678" s="156">
        <v>0</v>
      </c>
      <c r="D678" s="156">
        <v>14138</v>
      </c>
      <c r="E678" s="157" t="s">
        <v>141</v>
      </c>
      <c r="F678" s="158">
        <v>202507180025885</v>
      </c>
      <c r="G678" s="159">
        <v>3266.11</v>
      </c>
      <c r="H678" s="79" t="s">
        <v>944</v>
      </c>
      <c r="I678" s="79" t="s">
        <v>428</v>
      </c>
      <c r="J678" s="79"/>
      <c r="K678" s="79"/>
      <c r="L678" s="79"/>
      <c r="M678" s="79"/>
    </row>
    <row r="679" spans="1:13" ht="15.75" hidden="1" customHeight="1">
      <c r="A679" s="79"/>
      <c r="B679" s="160"/>
      <c r="C679" s="160"/>
      <c r="D679" s="160"/>
      <c r="E679" s="161" t="s">
        <v>143</v>
      </c>
      <c r="F679" s="161"/>
      <c r="G679" s="162">
        <v>0</v>
      </c>
      <c r="H679" s="79"/>
      <c r="I679" s="79"/>
      <c r="J679" s="79"/>
      <c r="K679" s="79"/>
      <c r="L679" s="79"/>
      <c r="M679" s="79"/>
    </row>
    <row r="680" spans="1:13" ht="15.75" customHeight="1">
      <c r="A680" s="163" t="s">
        <v>140</v>
      </c>
      <c r="B680" s="155">
        <v>45859</v>
      </c>
      <c r="C680" s="156">
        <v>0</v>
      </c>
      <c r="D680" s="156">
        <v>14138</v>
      </c>
      <c r="E680" s="157" t="s">
        <v>141</v>
      </c>
      <c r="F680" s="158">
        <v>202507180025963</v>
      </c>
      <c r="G680" s="159">
        <v>2456.16</v>
      </c>
      <c r="H680" s="79" t="s">
        <v>945</v>
      </c>
      <c r="I680" s="79" t="s">
        <v>428</v>
      </c>
      <c r="J680" s="79"/>
      <c r="K680" s="79"/>
      <c r="L680" s="79"/>
      <c r="M680" s="79"/>
    </row>
    <row r="681" spans="1:13" ht="15.75" hidden="1" customHeight="1">
      <c r="A681" s="79"/>
      <c r="B681" s="160"/>
      <c r="C681" s="160"/>
      <c r="D681" s="160"/>
      <c r="E681" s="161" t="s">
        <v>143</v>
      </c>
      <c r="F681" s="161"/>
      <c r="G681" s="162">
        <v>0</v>
      </c>
      <c r="H681" s="79"/>
      <c r="I681" s="79"/>
      <c r="J681" s="79"/>
      <c r="K681" s="79"/>
      <c r="L681" s="79"/>
      <c r="M681" s="79"/>
    </row>
    <row r="682" spans="1:13" ht="15.75" customHeight="1">
      <c r="A682" s="163" t="s">
        <v>140</v>
      </c>
      <c r="B682" s="155">
        <v>45859</v>
      </c>
      <c r="C682" s="156">
        <v>0</v>
      </c>
      <c r="D682" s="156">
        <v>14138</v>
      </c>
      <c r="E682" s="157" t="s">
        <v>141</v>
      </c>
      <c r="F682" s="158">
        <v>202507180025969</v>
      </c>
      <c r="G682" s="159">
        <v>1232.8399999999999</v>
      </c>
      <c r="H682" s="79" t="s">
        <v>946</v>
      </c>
      <c r="I682" s="79" t="s">
        <v>428</v>
      </c>
      <c r="J682" s="79"/>
      <c r="K682" s="79"/>
      <c r="L682" s="79"/>
      <c r="M682" s="79"/>
    </row>
    <row r="683" spans="1:13" ht="15.75" hidden="1" customHeight="1">
      <c r="A683" s="79"/>
      <c r="B683" s="160"/>
      <c r="C683" s="160"/>
      <c r="D683" s="160"/>
      <c r="E683" s="161" t="s">
        <v>143</v>
      </c>
      <c r="F683" s="161"/>
      <c r="G683" s="162">
        <v>0</v>
      </c>
      <c r="H683" s="79"/>
      <c r="I683" s="79"/>
      <c r="J683" s="79"/>
      <c r="K683" s="79"/>
      <c r="L683" s="79"/>
      <c r="M683" s="79"/>
    </row>
    <row r="684" spans="1:13" ht="15.75" hidden="1" customHeight="1">
      <c r="A684" s="79"/>
      <c r="B684" s="155">
        <v>45859</v>
      </c>
      <c r="C684" s="156">
        <v>0</v>
      </c>
      <c r="D684" s="156">
        <v>14397</v>
      </c>
      <c r="E684" s="157" t="s">
        <v>57</v>
      </c>
      <c r="F684" s="158">
        <v>211230540608172</v>
      </c>
      <c r="G684" s="159">
        <v>48.12</v>
      </c>
      <c r="H684" s="79"/>
      <c r="I684" s="79"/>
      <c r="J684" s="79"/>
      <c r="K684" s="79"/>
      <c r="L684" s="79"/>
      <c r="M684" s="79"/>
    </row>
    <row r="685" spans="1:13" ht="15.75" hidden="1" customHeight="1">
      <c r="A685" s="79"/>
      <c r="B685" s="160"/>
      <c r="C685" s="160"/>
      <c r="D685" s="160"/>
      <c r="E685" s="161" t="s">
        <v>947</v>
      </c>
      <c r="F685" s="161"/>
      <c r="G685" s="162">
        <v>0</v>
      </c>
      <c r="H685" s="79"/>
      <c r="I685" s="79"/>
      <c r="J685" s="79"/>
      <c r="K685" s="79"/>
      <c r="L685" s="79"/>
      <c r="M685" s="79"/>
    </row>
    <row r="686" spans="1:13" ht="15.75" hidden="1" customHeight="1">
      <c r="A686" s="79"/>
      <c r="B686" s="155">
        <v>45859</v>
      </c>
      <c r="C686" s="156">
        <v>1533</v>
      </c>
      <c r="D686" s="156">
        <v>99008</v>
      </c>
      <c r="E686" s="157" t="s">
        <v>29</v>
      </c>
      <c r="F686" s="158">
        <v>533780</v>
      </c>
      <c r="G686" s="172">
        <v>113.85</v>
      </c>
      <c r="H686" s="79"/>
      <c r="I686" s="79"/>
      <c r="J686" s="79"/>
      <c r="K686" s="79"/>
      <c r="L686" s="79"/>
      <c r="M686" s="79"/>
    </row>
    <row r="687" spans="1:13" ht="15.75" hidden="1" customHeight="1">
      <c r="A687" s="79"/>
      <c r="B687" s="160"/>
      <c r="C687" s="160"/>
      <c r="D687" s="160"/>
      <c r="E687" s="161" t="s">
        <v>948</v>
      </c>
      <c r="F687" s="161"/>
      <c r="G687" s="162">
        <v>0</v>
      </c>
      <c r="H687" s="79"/>
      <c r="I687" s="79"/>
      <c r="J687" s="79"/>
      <c r="K687" s="79"/>
      <c r="L687" s="79"/>
      <c r="M687" s="79"/>
    </row>
    <row r="688" spans="1:13" ht="15.75" hidden="1" customHeight="1">
      <c r="A688" s="79"/>
      <c r="B688" s="155">
        <v>45859</v>
      </c>
      <c r="C688" s="156">
        <v>1533</v>
      </c>
      <c r="D688" s="156">
        <v>99008</v>
      </c>
      <c r="E688" s="157" t="s">
        <v>29</v>
      </c>
      <c r="F688" s="158">
        <v>929709</v>
      </c>
      <c r="G688" s="172">
        <v>127.37</v>
      </c>
      <c r="H688" s="79"/>
      <c r="I688" s="79"/>
      <c r="J688" s="79"/>
      <c r="K688" s="79"/>
      <c r="L688" s="79"/>
      <c r="M688" s="79"/>
    </row>
    <row r="689" spans="1:13" ht="15.75" hidden="1" customHeight="1">
      <c r="A689" s="79"/>
      <c r="B689" s="160"/>
      <c r="C689" s="160"/>
      <c r="D689" s="160"/>
      <c r="E689" s="161" t="s">
        <v>949</v>
      </c>
      <c r="F689" s="161"/>
      <c r="G689" s="162">
        <v>0</v>
      </c>
      <c r="H689" s="79"/>
      <c r="I689" s="79"/>
      <c r="J689" s="79"/>
      <c r="K689" s="79"/>
      <c r="L689" s="79"/>
      <c r="M689" s="79"/>
    </row>
    <row r="690" spans="1:13" ht="15.75" hidden="1" customHeight="1">
      <c r="A690" s="79"/>
      <c r="B690" s="155">
        <v>45859</v>
      </c>
      <c r="C690" s="156">
        <v>0</v>
      </c>
      <c r="D690" s="156">
        <v>13105</v>
      </c>
      <c r="E690" s="157" t="s">
        <v>80</v>
      </c>
      <c r="F690" s="158">
        <v>72101</v>
      </c>
      <c r="G690" s="172">
        <v>2280.11</v>
      </c>
      <c r="H690" s="79"/>
      <c r="I690" s="79"/>
      <c r="J690" s="79"/>
      <c r="K690" s="79"/>
      <c r="L690" s="79"/>
      <c r="M690" s="79"/>
    </row>
    <row r="691" spans="1:13" ht="15.75" hidden="1" customHeight="1">
      <c r="A691" s="79"/>
      <c r="B691" s="160"/>
      <c r="C691" s="160"/>
      <c r="D691" s="160"/>
      <c r="E691" s="161" t="s">
        <v>81</v>
      </c>
      <c r="F691" s="161"/>
      <c r="G691" s="162">
        <v>0</v>
      </c>
      <c r="H691" s="79"/>
      <c r="I691" s="79"/>
      <c r="J691" s="79"/>
      <c r="K691" s="79"/>
      <c r="L691" s="79"/>
      <c r="M691" s="79"/>
    </row>
    <row r="692" spans="1:13" ht="15.75" hidden="1" customHeight="1">
      <c r="A692" s="79"/>
      <c r="B692" s="155">
        <v>45859</v>
      </c>
      <c r="C692" s="156">
        <v>0</v>
      </c>
      <c r="D692" s="156">
        <v>13105</v>
      </c>
      <c r="E692" s="157" t="s">
        <v>31</v>
      </c>
      <c r="F692" s="158">
        <v>72102</v>
      </c>
      <c r="G692" s="172">
        <v>282.58</v>
      </c>
      <c r="H692" s="79"/>
      <c r="I692" s="79"/>
      <c r="J692" s="79"/>
      <c r="K692" s="79"/>
      <c r="L692" s="79"/>
      <c r="M692" s="79"/>
    </row>
    <row r="693" spans="1:13" ht="15.75" hidden="1" customHeight="1">
      <c r="A693" s="79"/>
      <c r="B693" s="160"/>
      <c r="C693" s="160"/>
      <c r="D693" s="160"/>
      <c r="E693" s="161" t="s">
        <v>41</v>
      </c>
      <c r="F693" s="161"/>
      <c r="G693" s="162">
        <v>0</v>
      </c>
      <c r="H693" s="79"/>
      <c r="I693" s="79"/>
      <c r="J693" s="79"/>
      <c r="K693" s="79"/>
      <c r="L693" s="79"/>
      <c r="M693" s="79"/>
    </row>
    <row r="694" spans="1:13" ht="15.75" hidden="1" customHeight="1">
      <c r="A694" s="79"/>
      <c r="B694" s="155">
        <v>45859</v>
      </c>
      <c r="C694" s="156">
        <v>0</v>
      </c>
      <c r="D694" s="156">
        <v>13105</v>
      </c>
      <c r="E694" s="157" t="s">
        <v>31</v>
      </c>
      <c r="F694" s="158">
        <v>72103</v>
      </c>
      <c r="G694" s="172">
        <v>2207.52</v>
      </c>
      <c r="H694" s="79"/>
      <c r="I694" s="79"/>
      <c r="J694" s="79"/>
      <c r="K694" s="79"/>
      <c r="L694" s="79"/>
      <c r="M694" s="79"/>
    </row>
    <row r="695" spans="1:13" ht="15.75" hidden="1" customHeight="1">
      <c r="A695" s="79"/>
      <c r="B695" s="160"/>
      <c r="C695" s="160"/>
      <c r="D695" s="160"/>
      <c r="E695" s="161" t="s">
        <v>348</v>
      </c>
      <c r="F695" s="161"/>
      <c r="G695" s="162">
        <v>0</v>
      </c>
      <c r="H695" s="79"/>
      <c r="I695" s="79"/>
      <c r="J695" s="79"/>
      <c r="K695" s="79"/>
      <c r="L695" s="79"/>
      <c r="M695" s="79"/>
    </row>
    <row r="696" spans="1:13" ht="15.75" hidden="1" customHeight="1">
      <c r="A696" s="79"/>
      <c r="B696" s="155">
        <v>45859</v>
      </c>
      <c r="C696" s="156">
        <v>0</v>
      </c>
      <c r="D696" s="156">
        <v>13105</v>
      </c>
      <c r="E696" s="157" t="s">
        <v>31</v>
      </c>
      <c r="F696" s="158">
        <v>72104</v>
      </c>
      <c r="G696" s="172">
        <v>1733.83</v>
      </c>
      <c r="H696" s="79"/>
      <c r="I696" s="79"/>
      <c r="J696" s="79"/>
      <c r="K696" s="79"/>
      <c r="L696" s="79"/>
      <c r="M696" s="79"/>
    </row>
    <row r="697" spans="1:13" ht="15.75" hidden="1" customHeight="1">
      <c r="A697" s="79"/>
      <c r="B697" s="160"/>
      <c r="C697" s="160"/>
      <c r="D697" s="160"/>
      <c r="E697" s="161" t="s">
        <v>122</v>
      </c>
      <c r="F697" s="161"/>
      <c r="G697" s="162">
        <v>0</v>
      </c>
      <c r="H697" s="79"/>
      <c r="I697" s="79"/>
      <c r="J697" s="79"/>
      <c r="K697" s="79"/>
      <c r="L697" s="79"/>
      <c r="M697" s="79"/>
    </row>
    <row r="698" spans="1:13" ht="15.75" hidden="1" customHeight="1">
      <c r="A698" s="79"/>
      <c r="B698" s="155">
        <v>45859</v>
      </c>
      <c r="C698" s="156">
        <v>0</v>
      </c>
      <c r="D698" s="156">
        <v>13105</v>
      </c>
      <c r="E698" s="157" t="s">
        <v>80</v>
      </c>
      <c r="F698" s="158">
        <v>72105</v>
      </c>
      <c r="G698" s="172">
        <v>688.02</v>
      </c>
      <c r="H698" s="79"/>
      <c r="I698" s="79"/>
      <c r="J698" s="79"/>
      <c r="K698" s="79"/>
      <c r="L698" s="79"/>
      <c r="M698" s="79"/>
    </row>
    <row r="699" spans="1:13" ht="15.75" hidden="1" customHeight="1">
      <c r="A699" s="79"/>
      <c r="B699" s="160"/>
      <c r="C699" s="160"/>
      <c r="D699" s="160"/>
      <c r="E699" s="161" t="s">
        <v>81</v>
      </c>
      <c r="F699" s="161"/>
      <c r="G699" s="162">
        <v>0</v>
      </c>
      <c r="H699" s="79"/>
      <c r="I699" s="79"/>
      <c r="J699" s="79"/>
      <c r="K699" s="79"/>
      <c r="L699" s="79"/>
      <c r="M699" s="79"/>
    </row>
    <row r="700" spans="1:13" ht="15.75" hidden="1" customHeight="1">
      <c r="A700" s="79"/>
      <c r="B700" s="155">
        <v>45859</v>
      </c>
      <c r="C700" s="156">
        <v>0</v>
      </c>
      <c r="D700" s="156">
        <v>0</v>
      </c>
      <c r="E700" s="157" t="s">
        <v>59</v>
      </c>
      <c r="F700" s="158">
        <v>9903</v>
      </c>
      <c r="G700" s="172">
        <v>2028.84</v>
      </c>
      <c r="H700" s="79"/>
      <c r="I700" s="79"/>
      <c r="J700" s="79"/>
      <c r="K700" s="79"/>
      <c r="L700" s="79"/>
      <c r="M700" s="79"/>
    </row>
    <row r="701" spans="1:13" ht="15.75" hidden="1" customHeight="1">
      <c r="A701" s="79"/>
      <c r="B701" s="160"/>
      <c r="C701" s="160"/>
      <c r="D701" s="160"/>
      <c r="E701" s="161" t="s">
        <v>53</v>
      </c>
      <c r="F701" s="161"/>
      <c r="G701" s="162">
        <v>0</v>
      </c>
      <c r="H701" s="79"/>
      <c r="I701" s="79"/>
      <c r="J701" s="79"/>
      <c r="K701" s="79"/>
      <c r="L701" s="79"/>
      <c r="M701" s="79"/>
    </row>
    <row r="702" spans="1:13" ht="15.75" customHeight="1">
      <c r="A702" s="163" t="s">
        <v>140</v>
      </c>
      <c r="B702" s="155">
        <v>45860</v>
      </c>
      <c r="C702" s="156">
        <v>0</v>
      </c>
      <c r="D702" s="156">
        <v>14138</v>
      </c>
      <c r="E702" s="157" t="s">
        <v>141</v>
      </c>
      <c r="F702" s="158">
        <v>202507210068092</v>
      </c>
      <c r="G702" s="159">
        <v>1918.47</v>
      </c>
      <c r="H702" s="160" t="s">
        <v>950</v>
      </c>
      <c r="I702" s="160" t="s">
        <v>428</v>
      </c>
      <c r="J702" s="79"/>
      <c r="K702" s="79"/>
      <c r="L702" s="79"/>
      <c r="M702" s="79"/>
    </row>
    <row r="703" spans="1:13" ht="15.75" hidden="1" customHeight="1">
      <c r="A703" s="79"/>
      <c r="B703" s="160"/>
      <c r="C703" s="160"/>
      <c r="D703" s="160"/>
      <c r="E703" s="161" t="s">
        <v>143</v>
      </c>
      <c r="F703" s="161"/>
      <c r="G703" s="162">
        <v>0</v>
      </c>
      <c r="H703" s="79"/>
      <c r="I703" s="79"/>
      <c r="J703" s="79"/>
      <c r="K703" s="79"/>
      <c r="L703" s="79"/>
      <c r="M703" s="79"/>
    </row>
    <row r="704" spans="1:13" ht="15.75" customHeight="1">
      <c r="A704" s="163" t="s">
        <v>140</v>
      </c>
      <c r="B704" s="155">
        <v>45860</v>
      </c>
      <c r="C704" s="156">
        <v>0</v>
      </c>
      <c r="D704" s="156">
        <v>14138</v>
      </c>
      <c r="E704" s="157" t="s">
        <v>141</v>
      </c>
      <c r="F704" s="158">
        <v>202507210068093</v>
      </c>
      <c r="G704" s="159">
        <v>1668.08</v>
      </c>
      <c r="H704" s="160" t="s">
        <v>951</v>
      </c>
      <c r="I704" s="160" t="s">
        <v>428</v>
      </c>
      <c r="J704" s="79"/>
      <c r="K704" s="79"/>
      <c r="L704" s="79"/>
      <c r="M704" s="79"/>
    </row>
    <row r="705" spans="1:13" ht="15.75" hidden="1" customHeight="1">
      <c r="A705" s="79"/>
      <c r="B705" s="160"/>
      <c r="C705" s="160"/>
      <c r="D705" s="160"/>
      <c r="E705" s="161" t="s">
        <v>143</v>
      </c>
      <c r="F705" s="161"/>
      <c r="G705" s="162">
        <v>0</v>
      </c>
      <c r="H705" s="79"/>
      <c r="I705" s="79"/>
      <c r="J705" s="79"/>
      <c r="K705" s="79"/>
      <c r="L705" s="79"/>
      <c r="M705" s="79"/>
    </row>
    <row r="706" spans="1:13" ht="15.75" hidden="1" customHeight="1">
      <c r="A706" s="79"/>
      <c r="B706" s="155">
        <v>45860</v>
      </c>
      <c r="C706" s="156">
        <v>0</v>
      </c>
      <c r="D706" s="156">
        <v>14397</v>
      </c>
      <c r="E706" s="157" t="s">
        <v>57</v>
      </c>
      <c r="F706" s="158">
        <v>220850216524481</v>
      </c>
      <c r="G706" s="159">
        <v>600</v>
      </c>
      <c r="H706" s="79"/>
      <c r="I706" s="79"/>
      <c r="J706" s="79"/>
      <c r="K706" s="79"/>
      <c r="L706" s="79"/>
      <c r="M706" s="79"/>
    </row>
    <row r="707" spans="1:13" ht="15.75" hidden="1" customHeight="1">
      <c r="A707" s="79"/>
      <c r="B707" s="160"/>
      <c r="C707" s="160"/>
      <c r="D707" s="160"/>
      <c r="E707" s="161" t="s">
        <v>952</v>
      </c>
      <c r="F707" s="161"/>
      <c r="G707" s="162">
        <v>0</v>
      </c>
      <c r="H707" s="79"/>
      <c r="I707" s="79"/>
      <c r="J707" s="79"/>
      <c r="K707" s="79"/>
      <c r="L707" s="79"/>
      <c r="M707" s="79"/>
    </row>
    <row r="708" spans="1:13" ht="15.75" hidden="1" customHeight="1">
      <c r="A708" s="79"/>
      <c r="B708" s="155">
        <v>45860</v>
      </c>
      <c r="C708" s="156">
        <v>0</v>
      </c>
      <c r="D708" s="156">
        <v>14397</v>
      </c>
      <c r="E708" s="157" t="s">
        <v>57</v>
      </c>
      <c r="F708" s="158">
        <v>221125091472251</v>
      </c>
      <c r="G708" s="159">
        <v>599.53</v>
      </c>
      <c r="H708" s="79"/>
      <c r="I708" s="79"/>
      <c r="J708" s="79"/>
      <c r="K708" s="79"/>
      <c r="L708" s="79"/>
      <c r="M708" s="79"/>
    </row>
    <row r="709" spans="1:13" ht="15.75" hidden="1" customHeight="1">
      <c r="A709" s="79"/>
      <c r="B709" s="160"/>
      <c r="C709" s="160"/>
      <c r="D709" s="160"/>
      <c r="E709" s="161" t="s">
        <v>953</v>
      </c>
      <c r="F709" s="161"/>
      <c r="G709" s="162">
        <v>0</v>
      </c>
      <c r="H709" s="79"/>
      <c r="I709" s="79"/>
      <c r="J709" s="79"/>
      <c r="K709" s="79"/>
      <c r="L709" s="79"/>
      <c r="M709" s="79"/>
    </row>
    <row r="710" spans="1:13" ht="15.75" hidden="1" customHeight="1">
      <c r="A710" s="79"/>
      <c r="B710" s="155">
        <v>45860</v>
      </c>
      <c r="C710" s="156">
        <v>0</v>
      </c>
      <c r="D710" s="156">
        <v>14397</v>
      </c>
      <c r="E710" s="157" t="s">
        <v>57</v>
      </c>
      <c r="F710" s="158">
        <v>221337390380492</v>
      </c>
      <c r="G710" s="159">
        <v>600.35</v>
      </c>
      <c r="H710" s="79"/>
      <c r="I710" s="79"/>
      <c r="J710" s="79"/>
      <c r="K710" s="79"/>
      <c r="L710" s="79"/>
      <c r="M710" s="79"/>
    </row>
    <row r="711" spans="1:13" ht="15.75" hidden="1" customHeight="1">
      <c r="A711" s="79"/>
      <c r="B711" s="160"/>
      <c r="C711" s="160"/>
      <c r="D711" s="160"/>
      <c r="E711" s="161" t="s">
        <v>954</v>
      </c>
      <c r="F711" s="161"/>
      <c r="G711" s="162">
        <v>0</v>
      </c>
      <c r="H711" s="79"/>
      <c r="I711" s="79"/>
      <c r="J711" s="79"/>
      <c r="K711" s="79"/>
      <c r="L711" s="79"/>
      <c r="M711" s="79"/>
    </row>
    <row r="712" spans="1:13" ht="15.75" hidden="1" customHeight="1">
      <c r="A712" s="79"/>
      <c r="B712" s="155">
        <v>45860</v>
      </c>
      <c r="C712" s="156">
        <v>0</v>
      </c>
      <c r="D712" s="156">
        <v>14397</v>
      </c>
      <c r="E712" s="157" t="s">
        <v>57</v>
      </c>
      <c r="F712" s="158">
        <v>221402280210212</v>
      </c>
      <c r="G712" s="159">
        <v>409.29</v>
      </c>
      <c r="H712" s="79"/>
      <c r="I712" s="79"/>
      <c r="J712" s="79"/>
      <c r="K712" s="79"/>
      <c r="L712" s="79"/>
      <c r="M712" s="79"/>
    </row>
    <row r="713" spans="1:13" ht="15.75" hidden="1" customHeight="1">
      <c r="A713" s="79"/>
      <c r="B713" s="160"/>
      <c r="C713" s="160"/>
      <c r="D713" s="160"/>
      <c r="E713" s="161" t="s">
        <v>955</v>
      </c>
      <c r="F713" s="161"/>
      <c r="G713" s="162">
        <v>0</v>
      </c>
      <c r="H713" s="79"/>
      <c r="I713" s="79"/>
      <c r="J713" s="79"/>
      <c r="K713" s="79"/>
      <c r="L713" s="79"/>
      <c r="M713" s="79"/>
    </row>
    <row r="714" spans="1:13" ht="15.75" hidden="1" customHeight="1">
      <c r="A714" s="79"/>
      <c r="B714" s="155">
        <v>45860</v>
      </c>
      <c r="C714" s="156">
        <v>0</v>
      </c>
      <c r="D714" s="156">
        <v>14397</v>
      </c>
      <c r="E714" s="157" t="s">
        <v>57</v>
      </c>
      <c r="F714" s="158">
        <v>221405030533211</v>
      </c>
      <c r="G714" s="159">
        <v>126.6</v>
      </c>
      <c r="H714" s="79"/>
      <c r="I714" s="79"/>
      <c r="J714" s="79"/>
      <c r="K714" s="79"/>
      <c r="L714" s="79"/>
      <c r="M714" s="79"/>
    </row>
    <row r="715" spans="1:13" ht="15.75" hidden="1" customHeight="1">
      <c r="A715" s="79"/>
      <c r="B715" s="160"/>
      <c r="C715" s="160"/>
      <c r="D715" s="160"/>
      <c r="E715" s="161" t="s">
        <v>956</v>
      </c>
      <c r="F715" s="161"/>
      <c r="G715" s="162">
        <v>0</v>
      </c>
      <c r="H715" s="79"/>
      <c r="I715" s="79"/>
      <c r="J715" s="79"/>
      <c r="K715" s="79"/>
      <c r="L715" s="79"/>
      <c r="M715" s="79"/>
    </row>
    <row r="716" spans="1:13" ht="15.75" hidden="1" customHeight="1">
      <c r="A716" s="79"/>
      <c r="B716" s="155">
        <v>45860</v>
      </c>
      <c r="C716" s="156">
        <v>0</v>
      </c>
      <c r="D716" s="156">
        <v>14397</v>
      </c>
      <c r="E716" s="157" t="s">
        <v>57</v>
      </c>
      <c r="F716" s="158">
        <v>221651398280632</v>
      </c>
      <c r="G716" s="159">
        <v>24905.759999999998</v>
      </c>
      <c r="H716" s="79"/>
      <c r="I716" s="79"/>
      <c r="J716" s="79"/>
      <c r="K716" s="79"/>
      <c r="L716" s="79"/>
      <c r="M716" s="79"/>
    </row>
    <row r="717" spans="1:13" ht="15.75" hidden="1" customHeight="1">
      <c r="A717" s="79"/>
      <c r="B717" s="160"/>
      <c r="C717" s="160"/>
      <c r="D717" s="160"/>
      <c r="E717" s="161" t="s">
        <v>957</v>
      </c>
      <c r="F717" s="161"/>
      <c r="G717" s="162">
        <v>0</v>
      </c>
      <c r="H717" s="79"/>
      <c r="I717" s="79"/>
      <c r="J717" s="79"/>
      <c r="K717" s="79"/>
      <c r="L717" s="79"/>
      <c r="M717" s="79"/>
    </row>
    <row r="718" spans="1:13" ht="15.75" hidden="1" customHeight="1">
      <c r="A718" s="79"/>
      <c r="B718" s="155">
        <v>45860</v>
      </c>
      <c r="C718" s="156">
        <v>0</v>
      </c>
      <c r="D718" s="156">
        <v>13105</v>
      </c>
      <c r="E718" s="157" t="s">
        <v>80</v>
      </c>
      <c r="F718" s="158">
        <v>72201</v>
      </c>
      <c r="G718" s="172">
        <v>6252.87</v>
      </c>
      <c r="H718" s="79"/>
      <c r="I718" s="79"/>
      <c r="J718" s="79"/>
      <c r="K718" s="79"/>
      <c r="L718" s="79"/>
      <c r="M718" s="79"/>
    </row>
    <row r="719" spans="1:13" ht="15.75" hidden="1" customHeight="1">
      <c r="A719" s="79"/>
      <c r="B719" s="160"/>
      <c r="C719" s="160"/>
      <c r="D719" s="160"/>
      <c r="E719" s="161" t="s">
        <v>154</v>
      </c>
      <c r="F719" s="161"/>
      <c r="G719" s="162">
        <v>0</v>
      </c>
      <c r="H719" s="79"/>
      <c r="I719" s="79"/>
      <c r="J719" s="79"/>
      <c r="K719" s="79"/>
      <c r="L719" s="79"/>
      <c r="M719" s="79"/>
    </row>
    <row r="720" spans="1:13" ht="15.75" hidden="1" customHeight="1">
      <c r="A720" s="79"/>
      <c r="B720" s="155">
        <v>45860</v>
      </c>
      <c r="C720" s="156">
        <v>0</v>
      </c>
      <c r="D720" s="156">
        <v>13105</v>
      </c>
      <c r="E720" s="157" t="s">
        <v>80</v>
      </c>
      <c r="F720" s="158">
        <v>72202</v>
      </c>
      <c r="G720" s="172">
        <v>1354.79</v>
      </c>
      <c r="H720" s="79"/>
      <c r="I720" s="79"/>
      <c r="J720" s="79"/>
      <c r="K720" s="79"/>
      <c r="L720" s="79"/>
      <c r="M720" s="79"/>
    </row>
    <row r="721" spans="1:13" ht="15.75" hidden="1" customHeight="1">
      <c r="A721" s="79"/>
      <c r="B721" s="160"/>
      <c r="C721" s="160"/>
      <c r="D721" s="160"/>
      <c r="E721" s="161" t="s">
        <v>154</v>
      </c>
      <c r="F721" s="161"/>
      <c r="G721" s="162">
        <v>0</v>
      </c>
      <c r="H721" s="79"/>
      <c r="I721" s="79"/>
      <c r="J721" s="79"/>
      <c r="K721" s="79"/>
      <c r="L721" s="79"/>
      <c r="M721" s="79"/>
    </row>
    <row r="722" spans="1:13" ht="15.75" hidden="1" customHeight="1">
      <c r="A722" s="79"/>
      <c r="B722" s="155">
        <v>45860</v>
      </c>
      <c r="C722" s="156">
        <v>0</v>
      </c>
      <c r="D722" s="156">
        <v>13105</v>
      </c>
      <c r="E722" s="157" t="s">
        <v>80</v>
      </c>
      <c r="F722" s="158">
        <v>72203</v>
      </c>
      <c r="G722" s="172">
        <v>166.78</v>
      </c>
      <c r="H722" s="79"/>
      <c r="I722" s="79"/>
      <c r="J722" s="79"/>
      <c r="K722" s="79"/>
      <c r="L722" s="79"/>
      <c r="M722" s="79"/>
    </row>
    <row r="723" spans="1:13" ht="15.75" hidden="1" customHeight="1">
      <c r="A723" s="79"/>
      <c r="B723" s="160"/>
      <c r="C723" s="160"/>
      <c r="D723" s="160"/>
      <c r="E723" s="161" t="s">
        <v>81</v>
      </c>
      <c r="F723" s="161"/>
      <c r="G723" s="162">
        <v>0</v>
      </c>
      <c r="H723" s="79"/>
      <c r="I723" s="79"/>
      <c r="J723" s="79"/>
      <c r="K723" s="79"/>
      <c r="L723" s="79"/>
      <c r="M723" s="79"/>
    </row>
    <row r="724" spans="1:13" ht="15.75" hidden="1" customHeight="1">
      <c r="A724" s="79"/>
      <c r="B724" s="155">
        <v>45860</v>
      </c>
      <c r="C724" s="156">
        <v>0</v>
      </c>
      <c r="D724" s="156">
        <v>13105</v>
      </c>
      <c r="E724" s="157" t="s">
        <v>80</v>
      </c>
      <c r="F724" s="158">
        <v>72204</v>
      </c>
      <c r="G724" s="172">
        <v>35.520000000000003</v>
      </c>
      <c r="H724" s="79"/>
      <c r="I724" s="79"/>
      <c r="J724" s="79"/>
      <c r="K724" s="79"/>
      <c r="L724" s="79"/>
      <c r="M724" s="79"/>
    </row>
    <row r="725" spans="1:13" ht="15.75" hidden="1" customHeight="1">
      <c r="A725" s="79"/>
      <c r="B725" s="160"/>
      <c r="C725" s="160"/>
      <c r="D725" s="160"/>
      <c r="E725" s="161" t="s">
        <v>81</v>
      </c>
      <c r="F725" s="161"/>
      <c r="G725" s="162">
        <v>0</v>
      </c>
      <c r="H725" s="79"/>
      <c r="I725" s="79"/>
      <c r="J725" s="79"/>
      <c r="K725" s="79"/>
      <c r="L725" s="79"/>
      <c r="M725" s="79"/>
    </row>
    <row r="726" spans="1:13" ht="15.75" hidden="1" customHeight="1">
      <c r="A726" s="79"/>
      <c r="B726" s="155">
        <v>45860</v>
      </c>
      <c r="C726" s="156">
        <v>0</v>
      </c>
      <c r="D726" s="156">
        <v>13105</v>
      </c>
      <c r="E726" s="157" t="s">
        <v>80</v>
      </c>
      <c r="F726" s="158">
        <v>72205</v>
      </c>
      <c r="G726" s="172">
        <v>230.35</v>
      </c>
      <c r="H726" s="79"/>
      <c r="I726" s="79"/>
      <c r="J726" s="79"/>
      <c r="K726" s="79"/>
      <c r="L726" s="79"/>
      <c r="M726" s="79"/>
    </row>
    <row r="727" spans="1:13" ht="15.75" hidden="1" customHeight="1">
      <c r="A727" s="79"/>
      <c r="B727" s="160"/>
      <c r="C727" s="160"/>
      <c r="D727" s="160"/>
      <c r="E727" s="161" t="s">
        <v>81</v>
      </c>
      <c r="F727" s="161"/>
      <c r="G727" s="162">
        <v>0</v>
      </c>
      <c r="H727" s="79"/>
      <c r="I727" s="79"/>
      <c r="J727" s="79"/>
      <c r="K727" s="79"/>
      <c r="L727" s="79"/>
      <c r="M727" s="79"/>
    </row>
    <row r="728" spans="1:13" ht="15.75" hidden="1" customHeight="1">
      <c r="A728" s="79"/>
      <c r="B728" s="155">
        <v>45860</v>
      </c>
      <c r="C728" s="156">
        <v>0</v>
      </c>
      <c r="D728" s="156">
        <v>13105</v>
      </c>
      <c r="E728" s="157" t="s">
        <v>34</v>
      </c>
      <c r="F728" s="158">
        <v>72206</v>
      </c>
      <c r="G728" s="172">
        <v>64.489999999999995</v>
      </c>
      <c r="H728" s="79"/>
      <c r="I728" s="79"/>
      <c r="J728" s="79"/>
      <c r="K728" s="79"/>
      <c r="L728" s="79"/>
      <c r="M728" s="79"/>
    </row>
    <row r="729" spans="1:13" ht="15.75" hidden="1" customHeight="1">
      <c r="A729" s="79"/>
      <c r="B729" s="160"/>
      <c r="C729" s="160"/>
      <c r="D729" s="160"/>
      <c r="E729" s="161" t="s">
        <v>288</v>
      </c>
      <c r="F729" s="161"/>
      <c r="G729" s="162">
        <v>0</v>
      </c>
      <c r="H729" s="79"/>
      <c r="I729" s="79"/>
      <c r="J729" s="79"/>
      <c r="K729" s="79"/>
      <c r="L729" s="79"/>
      <c r="M729" s="79"/>
    </row>
    <row r="730" spans="1:13" ht="15.75" hidden="1" customHeight="1">
      <c r="A730" s="79"/>
      <c r="B730" s="155">
        <v>45860</v>
      </c>
      <c r="C730" s="156">
        <v>0</v>
      </c>
      <c r="D730" s="156">
        <v>13105</v>
      </c>
      <c r="E730" s="157" t="s">
        <v>31</v>
      </c>
      <c r="F730" s="158">
        <v>72207</v>
      </c>
      <c r="G730" s="172">
        <v>1056</v>
      </c>
      <c r="H730" s="79"/>
      <c r="I730" s="79"/>
      <c r="J730" s="79"/>
      <c r="K730" s="79"/>
      <c r="L730" s="79"/>
      <c r="M730" s="79"/>
    </row>
    <row r="731" spans="1:13" ht="15.75" hidden="1" customHeight="1">
      <c r="A731" s="79"/>
      <c r="B731" s="160"/>
      <c r="C731" s="160"/>
      <c r="D731" s="160"/>
      <c r="E731" s="161" t="s">
        <v>769</v>
      </c>
      <c r="F731" s="161"/>
      <c r="G731" s="162">
        <v>0</v>
      </c>
      <c r="H731" s="79"/>
      <c r="I731" s="79"/>
      <c r="J731" s="79"/>
      <c r="K731" s="79"/>
      <c r="L731" s="79"/>
      <c r="M731" s="79"/>
    </row>
    <row r="732" spans="1:13" ht="15.75" hidden="1" customHeight="1">
      <c r="A732" s="79"/>
      <c r="B732" s="155">
        <v>45860</v>
      </c>
      <c r="C732" s="156">
        <v>0</v>
      </c>
      <c r="D732" s="156">
        <v>13105</v>
      </c>
      <c r="E732" s="157" t="s">
        <v>31</v>
      </c>
      <c r="F732" s="158">
        <v>72208</v>
      </c>
      <c r="G732" s="172">
        <v>343.62</v>
      </c>
      <c r="H732" s="79"/>
      <c r="I732" s="79"/>
      <c r="J732" s="79"/>
      <c r="K732" s="79"/>
      <c r="L732" s="79"/>
      <c r="M732" s="79"/>
    </row>
    <row r="733" spans="1:13" ht="15.75" hidden="1" customHeight="1">
      <c r="A733" s="79"/>
      <c r="B733" s="160"/>
      <c r="C733" s="160"/>
      <c r="D733" s="160"/>
      <c r="E733" s="161" t="s">
        <v>41</v>
      </c>
      <c r="F733" s="161"/>
      <c r="G733" s="162">
        <v>0</v>
      </c>
      <c r="H733" s="79"/>
      <c r="I733" s="79"/>
      <c r="J733" s="79"/>
      <c r="K733" s="79"/>
      <c r="L733" s="79"/>
      <c r="M733" s="79"/>
    </row>
    <row r="734" spans="1:13" ht="15.75" hidden="1" customHeight="1">
      <c r="A734" s="79"/>
      <c r="B734" s="155">
        <v>45860</v>
      </c>
      <c r="C734" s="156">
        <v>0</v>
      </c>
      <c r="D734" s="156">
        <v>13105</v>
      </c>
      <c r="E734" s="157" t="s">
        <v>31</v>
      </c>
      <c r="F734" s="158">
        <v>72209</v>
      </c>
      <c r="G734" s="172">
        <v>353.71</v>
      </c>
      <c r="H734" s="79"/>
      <c r="I734" s="79"/>
      <c r="J734" s="79"/>
      <c r="K734" s="79"/>
      <c r="L734" s="79"/>
      <c r="M734" s="79"/>
    </row>
    <row r="735" spans="1:13" ht="15.75" hidden="1" customHeight="1">
      <c r="A735" s="79"/>
      <c r="B735" s="160"/>
      <c r="C735" s="160"/>
      <c r="D735" s="160"/>
      <c r="E735" s="161" t="s">
        <v>45</v>
      </c>
      <c r="F735" s="161"/>
      <c r="G735" s="162">
        <v>0</v>
      </c>
      <c r="H735" s="79"/>
      <c r="I735" s="79"/>
      <c r="J735" s="79"/>
      <c r="K735" s="79"/>
      <c r="L735" s="79"/>
      <c r="M735" s="79"/>
    </row>
    <row r="736" spans="1:13" ht="15.75" hidden="1" customHeight="1">
      <c r="A736" s="79"/>
      <c r="B736" s="155">
        <v>45860</v>
      </c>
      <c r="C736" s="156">
        <v>0</v>
      </c>
      <c r="D736" s="156">
        <v>13105</v>
      </c>
      <c r="E736" s="157" t="s">
        <v>31</v>
      </c>
      <c r="F736" s="158">
        <v>72210</v>
      </c>
      <c r="G736" s="172">
        <v>526.23</v>
      </c>
      <c r="H736" s="79"/>
      <c r="I736" s="79"/>
      <c r="J736" s="79"/>
      <c r="K736" s="79"/>
      <c r="L736" s="79"/>
      <c r="M736" s="79"/>
    </row>
    <row r="737" spans="1:13" ht="15.75" hidden="1" customHeight="1">
      <c r="A737" s="79"/>
      <c r="B737" s="160"/>
      <c r="C737" s="160"/>
      <c r="D737" s="160"/>
      <c r="E737" s="161" t="s">
        <v>45</v>
      </c>
      <c r="F737" s="161"/>
      <c r="G737" s="162">
        <v>0</v>
      </c>
      <c r="H737" s="79"/>
      <c r="I737" s="79"/>
      <c r="J737" s="79"/>
      <c r="K737" s="79"/>
      <c r="L737" s="79"/>
      <c r="M737" s="79"/>
    </row>
    <row r="738" spans="1:13" ht="15.75" hidden="1" customHeight="1">
      <c r="A738" s="79"/>
      <c r="B738" s="155">
        <v>45860</v>
      </c>
      <c r="C738" s="156">
        <v>0</v>
      </c>
      <c r="D738" s="156">
        <v>13105</v>
      </c>
      <c r="E738" s="157" t="s">
        <v>31</v>
      </c>
      <c r="F738" s="158">
        <v>72211</v>
      </c>
      <c r="G738" s="172">
        <v>306.72000000000003</v>
      </c>
      <c r="H738" s="79"/>
      <c r="I738" s="79"/>
      <c r="J738" s="79"/>
      <c r="K738" s="79"/>
      <c r="L738" s="79"/>
      <c r="M738" s="79"/>
    </row>
    <row r="739" spans="1:13" ht="15.75" hidden="1" customHeight="1">
      <c r="A739" s="79"/>
      <c r="B739" s="160"/>
      <c r="C739" s="160"/>
      <c r="D739" s="160"/>
      <c r="E739" s="161" t="s">
        <v>46</v>
      </c>
      <c r="F739" s="161"/>
      <c r="G739" s="162">
        <v>0</v>
      </c>
      <c r="H739" s="79"/>
      <c r="I739" s="79"/>
      <c r="J739" s="79"/>
      <c r="K739" s="79"/>
      <c r="L739" s="79"/>
      <c r="M739" s="79"/>
    </row>
    <row r="740" spans="1:13" ht="15.75" hidden="1" customHeight="1">
      <c r="A740" s="79"/>
      <c r="B740" s="155">
        <v>45860</v>
      </c>
      <c r="C740" s="156">
        <v>0</v>
      </c>
      <c r="D740" s="156">
        <v>13105</v>
      </c>
      <c r="E740" s="157" t="s">
        <v>31</v>
      </c>
      <c r="F740" s="158">
        <v>72212</v>
      </c>
      <c r="G740" s="172">
        <v>353.98</v>
      </c>
      <c r="H740" s="79"/>
      <c r="I740" s="79"/>
      <c r="J740" s="79"/>
      <c r="K740" s="79"/>
      <c r="L740" s="79"/>
      <c r="M740" s="79"/>
    </row>
    <row r="741" spans="1:13" ht="15.75" hidden="1" customHeight="1">
      <c r="A741" s="79"/>
      <c r="B741" s="160"/>
      <c r="C741" s="160"/>
      <c r="D741" s="160"/>
      <c r="E741" s="161" t="s">
        <v>340</v>
      </c>
      <c r="F741" s="161"/>
      <c r="G741" s="162">
        <v>0</v>
      </c>
      <c r="H741" s="79"/>
      <c r="I741" s="79"/>
      <c r="J741" s="79"/>
      <c r="K741" s="79"/>
      <c r="L741" s="79"/>
      <c r="M741" s="79"/>
    </row>
    <row r="742" spans="1:13" ht="15.75" hidden="1" customHeight="1">
      <c r="A742" s="79"/>
      <c r="B742" s="155">
        <v>45860</v>
      </c>
      <c r="C742" s="156">
        <v>0</v>
      </c>
      <c r="D742" s="156">
        <v>13105</v>
      </c>
      <c r="E742" s="157" t="s">
        <v>31</v>
      </c>
      <c r="F742" s="158">
        <v>72213</v>
      </c>
      <c r="G742" s="172">
        <v>179.64</v>
      </c>
      <c r="H742" s="79"/>
      <c r="I742" s="79"/>
      <c r="J742" s="79"/>
      <c r="K742" s="79"/>
      <c r="L742" s="79"/>
      <c r="M742" s="79"/>
    </row>
    <row r="743" spans="1:13" ht="15.75" hidden="1" customHeight="1">
      <c r="A743" s="79"/>
      <c r="B743" s="160"/>
      <c r="C743" s="160"/>
      <c r="D743" s="160"/>
      <c r="E743" s="161" t="s">
        <v>755</v>
      </c>
      <c r="F743" s="161"/>
      <c r="G743" s="162">
        <v>0</v>
      </c>
      <c r="H743" s="79"/>
      <c r="I743" s="79"/>
      <c r="J743" s="79"/>
      <c r="K743" s="79"/>
      <c r="L743" s="79"/>
      <c r="M743" s="79"/>
    </row>
    <row r="744" spans="1:13" ht="15.75" hidden="1" customHeight="1">
      <c r="A744" s="79"/>
      <c r="B744" s="155">
        <v>45860</v>
      </c>
      <c r="C744" s="156">
        <v>0</v>
      </c>
      <c r="D744" s="156">
        <v>13105</v>
      </c>
      <c r="E744" s="157" t="s">
        <v>31</v>
      </c>
      <c r="F744" s="158">
        <v>72214</v>
      </c>
      <c r="G744" s="172">
        <v>265.08</v>
      </c>
      <c r="H744" s="79"/>
      <c r="I744" s="79"/>
      <c r="J744" s="79"/>
      <c r="K744" s="79"/>
      <c r="L744" s="79"/>
      <c r="M744" s="79"/>
    </row>
    <row r="745" spans="1:13" ht="15.75" hidden="1" customHeight="1">
      <c r="A745" s="79"/>
      <c r="B745" s="160"/>
      <c r="C745" s="160"/>
      <c r="D745" s="160"/>
      <c r="E745" s="161" t="s">
        <v>111</v>
      </c>
      <c r="F745" s="161"/>
      <c r="G745" s="162">
        <v>0</v>
      </c>
      <c r="H745" s="79"/>
      <c r="I745" s="79"/>
      <c r="J745" s="79"/>
      <c r="K745" s="79"/>
      <c r="L745" s="79"/>
      <c r="M745" s="79"/>
    </row>
    <row r="746" spans="1:13" ht="15.75" hidden="1" customHeight="1">
      <c r="A746" s="79"/>
      <c r="B746" s="155">
        <v>45860</v>
      </c>
      <c r="C746" s="156">
        <v>0</v>
      </c>
      <c r="D746" s="156">
        <v>13105</v>
      </c>
      <c r="E746" s="157" t="s">
        <v>118</v>
      </c>
      <c r="F746" s="158">
        <v>72215</v>
      </c>
      <c r="G746" s="172">
        <v>24905.759999999998</v>
      </c>
      <c r="H746" s="79"/>
      <c r="I746" s="79"/>
      <c r="J746" s="79"/>
      <c r="K746" s="79"/>
      <c r="L746" s="79"/>
      <c r="M746" s="79"/>
    </row>
    <row r="747" spans="1:13" ht="15.75" hidden="1" customHeight="1">
      <c r="A747" s="79"/>
      <c r="B747" s="160"/>
      <c r="C747" s="160"/>
      <c r="D747" s="160"/>
      <c r="E747" s="161" t="s">
        <v>958</v>
      </c>
      <c r="F747" s="161"/>
      <c r="G747" s="162">
        <v>0</v>
      </c>
      <c r="H747" s="79"/>
      <c r="I747" s="79"/>
      <c r="J747" s="79"/>
      <c r="K747" s="79"/>
      <c r="L747" s="79"/>
      <c r="M747" s="79"/>
    </row>
    <row r="748" spans="1:13" ht="15.75" hidden="1" customHeight="1">
      <c r="A748" s="79"/>
      <c r="B748" s="155">
        <v>45860</v>
      </c>
      <c r="C748" s="156">
        <v>0</v>
      </c>
      <c r="D748" s="156">
        <v>13113</v>
      </c>
      <c r="E748" s="157" t="s">
        <v>189</v>
      </c>
      <c r="F748" s="158">
        <v>832031100295914</v>
      </c>
      <c r="G748" s="172">
        <v>10</v>
      </c>
      <c r="H748" s="79"/>
      <c r="I748" s="79"/>
      <c r="J748" s="79"/>
      <c r="K748" s="79"/>
      <c r="L748" s="79"/>
      <c r="M748" s="79"/>
    </row>
    <row r="749" spans="1:13" ht="15.75" hidden="1" customHeight="1">
      <c r="A749" s="79"/>
      <c r="B749" s="160"/>
      <c r="C749" s="160"/>
      <c r="D749" s="160"/>
      <c r="E749" s="161" t="s">
        <v>959</v>
      </c>
      <c r="F749" s="161"/>
      <c r="G749" s="162">
        <v>0</v>
      </c>
      <c r="H749" s="79"/>
      <c r="I749" s="79"/>
      <c r="J749" s="79"/>
      <c r="K749" s="79"/>
      <c r="L749" s="79"/>
      <c r="M749" s="79"/>
    </row>
    <row r="750" spans="1:13" ht="15.75" hidden="1" customHeight="1">
      <c r="A750" s="79"/>
      <c r="B750" s="155">
        <v>45860</v>
      </c>
      <c r="C750" s="156">
        <v>0</v>
      </c>
      <c r="D750" s="156">
        <v>0</v>
      </c>
      <c r="E750" s="157" t="s">
        <v>52</v>
      </c>
      <c r="F750" s="158">
        <v>9903</v>
      </c>
      <c r="G750" s="159">
        <v>5577.46</v>
      </c>
      <c r="H750" s="79"/>
      <c r="I750" s="79"/>
      <c r="J750" s="79"/>
      <c r="K750" s="79"/>
      <c r="L750" s="79"/>
      <c r="M750" s="79"/>
    </row>
    <row r="751" spans="1:13" ht="15.75" hidden="1" customHeight="1">
      <c r="A751" s="79"/>
      <c r="B751" s="160"/>
      <c r="C751" s="160"/>
      <c r="D751" s="160"/>
      <c r="E751" s="161" t="s">
        <v>53</v>
      </c>
      <c r="F751" s="161"/>
      <c r="G751" s="162">
        <v>0</v>
      </c>
      <c r="H751" s="79"/>
      <c r="I751" s="79"/>
      <c r="J751" s="79"/>
      <c r="K751" s="79"/>
      <c r="L751" s="79"/>
      <c r="M751" s="79"/>
    </row>
    <row r="752" spans="1:13" ht="15.75" hidden="1" customHeight="1">
      <c r="A752" s="79"/>
      <c r="B752" s="155">
        <v>45861</v>
      </c>
      <c r="C752" s="156">
        <v>0</v>
      </c>
      <c r="D752" s="156">
        <v>14175</v>
      </c>
      <c r="E752" s="157" t="s">
        <v>62</v>
      </c>
      <c r="F752" s="158">
        <v>388532382</v>
      </c>
      <c r="G752" s="159">
        <v>7000</v>
      </c>
      <c r="H752" s="79"/>
      <c r="I752" s="79"/>
      <c r="J752" s="79"/>
      <c r="K752" s="79"/>
      <c r="L752" s="79"/>
      <c r="M752" s="79"/>
    </row>
    <row r="753" spans="1:13" ht="15.75" hidden="1" customHeight="1">
      <c r="A753" s="79"/>
      <c r="B753" s="160"/>
      <c r="C753" s="160"/>
      <c r="D753" s="160"/>
      <c r="E753" s="161" t="s">
        <v>97</v>
      </c>
      <c r="F753" s="161"/>
      <c r="G753" s="162">
        <v>0</v>
      </c>
      <c r="H753" s="79"/>
      <c r="I753" s="79"/>
      <c r="J753" s="79"/>
      <c r="K753" s="79"/>
      <c r="L753" s="79"/>
      <c r="M753" s="79"/>
    </row>
    <row r="754" spans="1:13" ht="15.75" hidden="1" customHeight="1">
      <c r="A754" s="79"/>
      <c r="B754" s="155">
        <v>45861</v>
      </c>
      <c r="C754" s="156">
        <v>0</v>
      </c>
      <c r="D754" s="156">
        <v>14397</v>
      </c>
      <c r="E754" s="157" t="s">
        <v>57</v>
      </c>
      <c r="F754" s="158">
        <v>231543255424541</v>
      </c>
      <c r="G754" s="159">
        <v>223.95</v>
      </c>
      <c r="H754" s="79"/>
      <c r="I754" s="79"/>
      <c r="J754" s="79"/>
      <c r="K754" s="79"/>
      <c r="L754" s="79"/>
      <c r="M754" s="79"/>
    </row>
    <row r="755" spans="1:13" ht="15.75" hidden="1" customHeight="1">
      <c r="A755" s="79"/>
      <c r="B755" s="160"/>
      <c r="C755" s="160"/>
      <c r="D755" s="160"/>
      <c r="E755" s="161" t="s">
        <v>960</v>
      </c>
      <c r="F755" s="161"/>
      <c r="G755" s="162">
        <v>0</v>
      </c>
      <c r="H755" s="79"/>
      <c r="I755" s="79"/>
      <c r="J755" s="79"/>
      <c r="K755" s="79"/>
      <c r="L755" s="79"/>
      <c r="M755" s="79"/>
    </row>
    <row r="756" spans="1:13" ht="15.75" hidden="1" customHeight="1">
      <c r="A756" s="79"/>
      <c r="B756" s="155">
        <v>45861</v>
      </c>
      <c r="C756" s="156">
        <v>0</v>
      </c>
      <c r="D756" s="156">
        <v>13105</v>
      </c>
      <c r="E756" s="157" t="s">
        <v>31</v>
      </c>
      <c r="F756" s="158">
        <v>72301</v>
      </c>
      <c r="G756" s="172">
        <v>210.36</v>
      </c>
      <c r="H756" s="79"/>
      <c r="I756" s="79"/>
      <c r="J756" s="79"/>
      <c r="K756" s="79"/>
      <c r="L756" s="79"/>
      <c r="M756" s="79"/>
    </row>
    <row r="757" spans="1:13" ht="15.75" hidden="1" customHeight="1">
      <c r="A757" s="79"/>
      <c r="B757" s="160"/>
      <c r="C757" s="160"/>
      <c r="D757" s="160"/>
      <c r="E757" s="161" t="s">
        <v>45</v>
      </c>
      <c r="F757" s="161"/>
      <c r="G757" s="162">
        <v>0</v>
      </c>
      <c r="H757" s="79"/>
      <c r="I757" s="79"/>
      <c r="J757" s="79"/>
      <c r="K757" s="79"/>
      <c r="L757" s="79"/>
      <c r="M757" s="79"/>
    </row>
    <row r="758" spans="1:13" ht="15.75" hidden="1" customHeight="1">
      <c r="A758" s="79"/>
      <c r="B758" s="155">
        <v>45861</v>
      </c>
      <c r="C758" s="156">
        <v>0</v>
      </c>
      <c r="D758" s="156">
        <v>13105</v>
      </c>
      <c r="E758" s="157" t="s">
        <v>31</v>
      </c>
      <c r="F758" s="158">
        <v>72302</v>
      </c>
      <c r="G758" s="172">
        <v>910.95</v>
      </c>
      <c r="H758" s="79"/>
      <c r="I758" s="79"/>
      <c r="J758" s="79"/>
      <c r="K758" s="79"/>
      <c r="L758" s="79"/>
      <c r="M758" s="79"/>
    </row>
    <row r="759" spans="1:13" ht="15.75" hidden="1" customHeight="1">
      <c r="A759" s="79"/>
      <c r="B759" s="160"/>
      <c r="C759" s="160"/>
      <c r="D759" s="160"/>
      <c r="E759" s="161" t="s">
        <v>44</v>
      </c>
      <c r="F759" s="161"/>
      <c r="G759" s="162">
        <v>0</v>
      </c>
      <c r="H759" s="79"/>
      <c r="I759" s="79"/>
      <c r="J759" s="79"/>
      <c r="K759" s="79"/>
      <c r="L759" s="79"/>
      <c r="M759" s="79"/>
    </row>
    <row r="760" spans="1:13" ht="15.75" hidden="1" customHeight="1">
      <c r="A760" s="79"/>
      <c r="B760" s="155">
        <v>45861</v>
      </c>
      <c r="C760" s="156">
        <v>0</v>
      </c>
      <c r="D760" s="156">
        <v>13105</v>
      </c>
      <c r="E760" s="157" t="s">
        <v>31</v>
      </c>
      <c r="F760" s="158">
        <v>72303</v>
      </c>
      <c r="G760" s="172">
        <v>270.25</v>
      </c>
      <c r="H760" s="79"/>
      <c r="I760" s="79"/>
      <c r="J760" s="79"/>
      <c r="K760" s="79"/>
      <c r="L760" s="79"/>
      <c r="M760" s="79"/>
    </row>
    <row r="761" spans="1:13" ht="15.75" hidden="1" customHeight="1">
      <c r="A761" s="79"/>
      <c r="B761" s="160"/>
      <c r="C761" s="160"/>
      <c r="D761" s="160"/>
      <c r="E761" s="161" t="s">
        <v>755</v>
      </c>
      <c r="F761" s="161"/>
      <c r="G761" s="162">
        <v>0</v>
      </c>
      <c r="H761" s="79"/>
      <c r="I761" s="79"/>
      <c r="J761" s="79"/>
      <c r="K761" s="79"/>
      <c r="L761" s="79"/>
      <c r="M761" s="79"/>
    </row>
    <row r="762" spans="1:13" ht="15.75" hidden="1" customHeight="1">
      <c r="A762" s="79"/>
      <c r="B762" s="155">
        <v>45861</v>
      </c>
      <c r="C762" s="156">
        <v>0</v>
      </c>
      <c r="D762" s="156">
        <v>13105</v>
      </c>
      <c r="E762" s="157" t="s">
        <v>31</v>
      </c>
      <c r="F762" s="158">
        <v>72304</v>
      </c>
      <c r="G762" s="172">
        <v>221.83</v>
      </c>
      <c r="H762" s="79"/>
      <c r="I762" s="79"/>
      <c r="J762" s="79"/>
      <c r="K762" s="79"/>
      <c r="L762" s="79"/>
      <c r="M762" s="79"/>
    </row>
    <row r="763" spans="1:13" ht="15.75" hidden="1" customHeight="1">
      <c r="A763" s="79"/>
      <c r="B763" s="160"/>
      <c r="C763" s="160"/>
      <c r="D763" s="160"/>
      <c r="E763" s="161" t="s">
        <v>755</v>
      </c>
      <c r="F763" s="161"/>
      <c r="G763" s="162">
        <v>0</v>
      </c>
      <c r="H763" s="79"/>
      <c r="I763" s="79"/>
      <c r="J763" s="79"/>
      <c r="K763" s="79"/>
      <c r="L763" s="79"/>
      <c r="M763" s="79"/>
    </row>
    <row r="764" spans="1:13" ht="15.75" hidden="1" customHeight="1">
      <c r="A764" s="79"/>
      <c r="B764" s="155">
        <v>45861</v>
      </c>
      <c r="C764" s="156">
        <v>0</v>
      </c>
      <c r="D764" s="156">
        <v>13105</v>
      </c>
      <c r="E764" s="157" t="s">
        <v>80</v>
      </c>
      <c r="F764" s="158">
        <v>72305</v>
      </c>
      <c r="G764" s="172">
        <v>304.99</v>
      </c>
      <c r="H764" s="79"/>
      <c r="I764" s="79"/>
      <c r="J764" s="79"/>
      <c r="K764" s="79"/>
      <c r="L764" s="79"/>
      <c r="M764" s="79"/>
    </row>
    <row r="765" spans="1:13" ht="15.75" hidden="1" customHeight="1">
      <c r="A765" s="79"/>
      <c r="B765" s="160"/>
      <c r="C765" s="160"/>
      <c r="D765" s="160"/>
      <c r="E765" s="161" t="s">
        <v>81</v>
      </c>
      <c r="F765" s="161"/>
      <c r="G765" s="162">
        <v>0</v>
      </c>
      <c r="H765" s="79"/>
      <c r="I765" s="79"/>
      <c r="J765" s="79"/>
      <c r="K765" s="79"/>
      <c r="L765" s="79"/>
      <c r="M765" s="79"/>
    </row>
    <row r="766" spans="1:13" ht="15.75" hidden="1" customHeight="1">
      <c r="A766" s="79"/>
      <c r="B766" s="155">
        <v>45861</v>
      </c>
      <c r="C766" s="156">
        <v>0</v>
      </c>
      <c r="D766" s="156">
        <v>13105</v>
      </c>
      <c r="E766" s="157" t="s">
        <v>31</v>
      </c>
      <c r="F766" s="158">
        <v>72306</v>
      </c>
      <c r="G766" s="172">
        <v>3150</v>
      </c>
      <c r="H766" s="79"/>
      <c r="I766" s="79"/>
      <c r="J766" s="79"/>
      <c r="K766" s="79"/>
      <c r="L766" s="79"/>
      <c r="M766" s="79"/>
    </row>
    <row r="767" spans="1:13" ht="15.75" hidden="1" customHeight="1">
      <c r="A767" s="79"/>
      <c r="B767" s="160"/>
      <c r="C767" s="160"/>
      <c r="D767" s="160"/>
      <c r="E767" s="161" t="s">
        <v>32</v>
      </c>
      <c r="F767" s="161"/>
      <c r="G767" s="162">
        <v>0</v>
      </c>
      <c r="H767" s="79"/>
      <c r="I767" s="79"/>
      <c r="J767" s="79"/>
      <c r="K767" s="79"/>
      <c r="L767" s="79"/>
      <c r="M767" s="79"/>
    </row>
    <row r="768" spans="1:13" ht="15.75" hidden="1" customHeight="1">
      <c r="A768" s="79"/>
      <c r="B768" s="155">
        <v>45861</v>
      </c>
      <c r="C768" s="156">
        <v>0</v>
      </c>
      <c r="D768" s="156">
        <v>13105</v>
      </c>
      <c r="E768" s="157" t="s">
        <v>31</v>
      </c>
      <c r="F768" s="158">
        <v>72307</v>
      </c>
      <c r="G768" s="172">
        <v>1963</v>
      </c>
      <c r="H768" s="79"/>
      <c r="I768" s="79"/>
      <c r="J768" s="79"/>
      <c r="K768" s="79"/>
      <c r="L768" s="79"/>
      <c r="M768" s="79"/>
    </row>
    <row r="769" spans="1:13" ht="15.75" hidden="1" customHeight="1">
      <c r="A769" s="79"/>
      <c r="B769" s="160"/>
      <c r="C769" s="160"/>
      <c r="D769" s="160"/>
      <c r="E769" s="161" t="s">
        <v>32</v>
      </c>
      <c r="F769" s="161"/>
      <c r="G769" s="162">
        <v>0</v>
      </c>
      <c r="H769" s="79"/>
      <c r="I769" s="79"/>
      <c r="J769" s="79"/>
      <c r="K769" s="79"/>
      <c r="L769" s="79"/>
      <c r="M769" s="79"/>
    </row>
    <row r="770" spans="1:13" ht="15.75" hidden="1" customHeight="1">
      <c r="A770" s="79"/>
      <c r="B770" s="155">
        <v>45861</v>
      </c>
      <c r="C770" s="156">
        <v>0</v>
      </c>
      <c r="D770" s="156">
        <v>13105</v>
      </c>
      <c r="E770" s="157" t="s">
        <v>31</v>
      </c>
      <c r="F770" s="158">
        <v>72308</v>
      </c>
      <c r="G770" s="172">
        <v>1458.33</v>
      </c>
      <c r="H770" s="79"/>
      <c r="I770" s="79"/>
      <c r="J770" s="79"/>
      <c r="K770" s="79"/>
      <c r="L770" s="79"/>
      <c r="M770" s="79"/>
    </row>
    <row r="771" spans="1:13" ht="15.75" hidden="1" customHeight="1">
      <c r="A771" s="79"/>
      <c r="B771" s="160"/>
      <c r="C771" s="160"/>
      <c r="D771" s="160"/>
      <c r="E771" s="161" t="s">
        <v>32</v>
      </c>
      <c r="F771" s="161"/>
      <c r="G771" s="162">
        <v>0</v>
      </c>
      <c r="H771" s="79"/>
      <c r="I771" s="79"/>
      <c r="J771" s="79"/>
      <c r="K771" s="79"/>
      <c r="L771" s="79"/>
      <c r="M771" s="79"/>
    </row>
    <row r="772" spans="1:13" ht="15.75" hidden="1" customHeight="1">
      <c r="A772" s="79"/>
      <c r="B772" s="155">
        <v>45861</v>
      </c>
      <c r="C772" s="156">
        <v>0</v>
      </c>
      <c r="D772" s="156">
        <v>0</v>
      </c>
      <c r="E772" s="157" t="s">
        <v>52</v>
      </c>
      <c r="F772" s="158">
        <v>9903</v>
      </c>
      <c r="G772" s="159">
        <v>1265.76</v>
      </c>
      <c r="H772" s="79"/>
      <c r="I772" s="79"/>
      <c r="J772" s="79"/>
      <c r="K772" s="79"/>
      <c r="L772" s="79"/>
      <c r="M772" s="79"/>
    </row>
    <row r="773" spans="1:13" ht="15.75" hidden="1" customHeight="1">
      <c r="A773" s="79"/>
      <c r="B773" s="160"/>
      <c r="C773" s="160"/>
      <c r="D773" s="160"/>
      <c r="E773" s="161" t="s">
        <v>53</v>
      </c>
      <c r="F773" s="161"/>
      <c r="G773" s="162">
        <v>0</v>
      </c>
      <c r="H773" s="79"/>
      <c r="I773" s="79"/>
      <c r="J773" s="79"/>
      <c r="K773" s="79"/>
      <c r="L773" s="79"/>
      <c r="M773" s="79"/>
    </row>
    <row r="774" spans="1:13" ht="15.75" hidden="1" customHeight="1">
      <c r="A774" s="79"/>
      <c r="B774" s="155">
        <v>45862</v>
      </c>
      <c r="C774" s="156">
        <v>1106</v>
      </c>
      <c r="D774" s="156">
        <v>99015</v>
      </c>
      <c r="E774" s="157" t="s">
        <v>27</v>
      </c>
      <c r="F774" s="158">
        <v>551106000018628</v>
      </c>
      <c r="G774" s="159">
        <v>1006.66</v>
      </c>
      <c r="H774" s="79"/>
      <c r="I774" s="79"/>
      <c r="J774" s="79"/>
      <c r="K774" s="79"/>
      <c r="L774" s="79"/>
      <c r="M774" s="79"/>
    </row>
    <row r="775" spans="1:13" ht="15.75" hidden="1" customHeight="1">
      <c r="A775" s="79"/>
      <c r="B775" s="160"/>
      <c r="C775" s="160"/>
      <c r="D775" s="160"/>
      <c r="E775" s="161" t="s">
        <v>961</v>
      </c>
      <c r="F775" s="161"/>
      <c r="G775" s="162">
        <v>0</v>
      </c>
      <c r="H775" s="79"/>
      <c r="I775" s="79"/>
      <c r="J775" s="79"/>
      <c r="K775" s="79"/>
      <c r="L775" s="79"/>
      <c r="M775" s="79"/>
    </row>
    <row r="776" spans="1:13" ht="15.75" hidden="1" customHeight="1">
      <c r="A776" s="79"/>
      <c r="B776" s="155">
        <v>45862</v>
      </c>
      <c r="C776" s="156">
        <v>5072</v>
      </c>
      <c r="D776" s="156">
        <v>99021</v>
      </c>
      <c r="E776" s="157" t="s">
        <v>27</v>
      </c>
      <c r="F776" s="158">
        <v>615072000004700</v>
      </c>
      <c r="G776" s="159">
        <v>607.80999999999995</v>
      </c>
      <c r="H776" s="79"/>
      <c r="I776" s="79"/>
      <c r="J776" s="79"/>
      <c r="K776" s="79"/>
      <c r="L776" s="79"/>
      <c r="M776" s="79"/>
    </row>
    <row r="777" spans="1:13" ht="15.75" hidden="1" customHeight="1">
      <c r="A777" s="79"/>
      <c r="B777" s="160"/>
      <c r="C777" s="160"/>
      <c r="D777" s="160"/>
      <c r="E777" s="161" t="s">
        <v>962</v>
      </c>
      <c r="F777" s="161"/>
      <c r="G777" s="162">
        <v>0</v>
      </c>
      <c r="H777" s="79"/>
      <c r="I777" s="79"/>
      <c r="J777" s="79"/>
      <c r="K777" s="79"/>
      <c r="L777" s="79"/>
      <c r="M777" s="79"/>
    </row>
    <row r="778" spans="1:13" ht="15.75" customHeight="1">
      <c r="A778" s="163" t="s">
        <v>140</v>
      </c>
      <c r="B778" s="155">
        <v>45862</v>
      </c>
      <c r="C778" s="156">
        <v>0</v>
      </c>
      <c r="D778" s="156">
        <v>14138</v>
      </c>
      <c r="E778" s="157" t="s">
        <v>141</v>
      </c>
      <c r="F778" s="158">
        <v>202507230014018</v>
      </c>
      <c r="G778" s="159">
        <v>331.97</v>
      </c>
      <c r="H778" s="79" t="s">
        <v>963</v>
      </c>
      <c r="I778" s="79" t="s">
        <v>964</v>
      </c>
      <c r="J778" s="79"/>
      <c r="K778" s="79"/>
      <c r="L778" s="79"/>
      <c r="M778" s="79"/>
    </row>
    <row r="779" spans="1:13" ht="15.75" hidden="1" customHeight="1">
      <c r="A779" s="79"/>
      <c r="B779" s="160"/>
      <c r="C779" s="160"/>
      <c r="D779" s="160"/>
      <c r="E779" s="161" t="s">
        <v>143</v>
      </c>
      <c r="F779" s="161"/>
      <c r="G779" s="162">
        <v>0</v>
      </c>
      <c r="H779" s="79"/>
      <c r="I779" s="79"/>
      <c r="J779" s="79"/>
      <c r="K779" s="79"/>
      <c r="L779" s="79"/>
      <c r="M779" s="79"/>
    </row>
    <row r="780" spans="1:13" ht="15.75" customHeight="1">
      <c r="A780" s="163" t="s">
        <v>140</v>
      </c>
      <c r="B780" s="155">
        <v>45862</v>
      </c>
      <c r="C780" s="156">
        <v>0</v>
      </c>
      <c r="D780" s="156">
        <v>14138</v>
      </c>
      <c r="E780" s="157" t="s">
        <v>141</v>
      </c>
      <c r="F780" s="158">
        <v>202507230018866</v>
      </c>
      <c r="G780" s="159">
        <v>462.86</v>
      </c>
      <c r="H780" s="79" t="s">
        <v>965</v>
      </c>
      <c r="I780" s="79" t="s">
        <v>428</v>
      </c>
      <c r="J780" s="79"/>
      <c r="K780" s="79"/>
      <c r="L780" s="79"/>
      <c r="M780" s="79"/>
    </row>
    <row r="781" spans="1:13" ht="15.75" hidden="1" customHeight="1">
      <c r="A781" s="79"/>
      <c r="B781" s="160"/>
      <c r="C781" s="160"/>
      <c r="D781" s="160"/>
      <c r="E781" s="161" t="s">
        <v>143</v>
      </c>
      <c r="F781" s="161"/>
      <c r="G781" s="162">
        <v>0</v>
      </c>
      <c r="H781" s="79"/>
      <c r="I781" s="79"/>
      <c r="J781" s="79"/>
      <c r="K781" s="79"/>
      <c r="L781" s="79"/>
      <c r="M781" s="79"/>
    </row>
    <row r="782" spans="1:13" ht="15.75" customHeight="1">
      <c r="A782" s="163" t="s">
        <v>140</v>
      </c>
      <c r="B782" s="155">
        <v>45862</v>
      </c>
      <c r="C782" s="156">
        <v>0</v>
      </c>
      <c r="D782" s="156">
        <v>14138</v>
      </c>
      <c r="E782" s="157" t="s">
        <v>141</v>
      </c>
      <c r="F782" s="158">
        <v>202507230018867</v>
      </c>
      <c r="G782" s="159">
        <v>1668.08</v>
      </c>
      <c r="H782" s="160" t="s">
        <v>966</v>
      </c>
      <c r="I782" s="160" t="s">
        <v>428</v>
      </c>
      <c r="J782" s="79"/>
      <c r="K782" s="79"/>
      <c r="L782" s="79"/>
      <c r="M782" s="79"/>
    </row>
    <row r="783" spans="1:13" ht="15.75" hidden="1" customHeight="1">
      <c r="A783" s="79"/>
      <c r="B783" s="160"/>
      <c r="C783" s="160"/>
      <c r="D783" s="160"/>
      <c r="E783" s="161" t="s">
        <v>143</v>
      </c>
      <c r="F783" s="161"/>
      <c r="G783" s="162">
        <v>0</v>
      </c>
      <c r="H783" s="79"/>
      <c r="I783" s="79"/>
      <c r="J783" s="79"/>
      <c r="K783" s="79"/>
      <c r="L783" s="79"/>
      <c r="M783" s="79"/>
    </row>
    <row r="784" spans="1:13" ht="15.75" customHeight="1">
      <c r="A784" s="163" t="s">
        <v>140</v>
      </c>
      <c r="B784" s="155">
        <v>45862</v>
      </c>
      <c r="C784" s="156">
        <v>0</v>
      </c>
      <c r="D784" s="156">
        <v>14138</v>
      </c>
      <c r="E784" s="157" t="s">
        <v>141</v>
      </c>
      <c r="F784" s="158">
        <v>202507230018873</v>
      </c>
      <c r="G784" s="159">
        <v>4965.82</v>
      </c>
      <c r="H784" s="160" t="s">
        <v>967</v>
      </c>
      <c r="I784" s="160" t="s">
        <v>428</v>
      </c>
      <c r="J784" s="79"/>
      <c r="K784" s="79"/>
      <c r="L784" s="79"/>
      <c r="M784" s="79"/>
    </row>
    <row r="785" spans="1:13" ht="15.75" hidden="1" customHeight="1">
      <c r="A785" s="79"/>
      <c r="B785" s="160"/>
      <c r="C785" s="160"/>
      <c r="D785" s="160"/>
      <c r="E785" s="161" t="s">
        <v>143</v>
      </c>
      <c r="F785" s="161"/>
      <c r="G785" s="162">
        <v>0</v>
      </c>
      <c r="H785" s="79"/>
      <c r="I785" s="79"/>
      <c r="J785" s="79"/>
      <c r="K785" s="79"/>
      <c r="L785" s="79"/>
      <c r="M785" s="79"/>
    </row>
    <row r="786" spans="1:13" ht="15.75" customHeight="1">
      <c r="A786" s="163" t="s">
        <v>140</v>
      </c>
      <c r="B786" s="155">
        <v>45862</v>
      </c>
      <c r="C786" s="156">
        <v>0</v>
      </c>
      <c r="D786" s="156">
        <v>14138</v>
      </c>
      <c r="E786" s="157" t="s">
        <v>141</v>
      </c>
      <c r="F786" s="158">
        <v>202507230018874</v>
      </c>
      <c r="G786" s="159">
        <v>1668.08</v>
      </c>
      <c r="H786" s="79" t="s">
        <v>968</v>
      </c>
      <c r="I786" s="79" t="s">
        <v>428</v>
      </c>
      <c r="J786" s="79"/>
      <c r="K786" s="79"/>
      <c r="L786" s="79"/>
      <c r="M786" s="79"/>
    </row>
    <row r="787" spans="1:13" ht="15.75" hidden="1" customHeight="1">
      <c r="A787" s="79"/>
      <c r="B787" s="160"/>
      <c r="C787" s="160"/>
      <c r="D787" s="160"/>
      <c r="E787" s="161" t="s">
        <v>143</v>
      </c>
      <c r="F787" s="161"/>
      <c r="G787" s="162">
        <v>0</v>
      </c>
      <c r="H787" s="79"/>
      <c r="I787" s="79"/>
      <c r="J787" s="79"/>
      <c r="K787" s="79"/>
      <c r="L787" s="79"/>
      <c r="M787" s="79"/>
    </row>
    <row r="788" spans="1:13" ht="15.75" customHeight="1">
      <c r="A788" s="163" t="s">
        <v>140</v>
      </c>
      <c r="B788" s="155">
        <v>45862</v>
      </c>
      <c r="C788" s="156">
        <v>0</v>
      </c>
      <c r="D788" s="156">
        <v>14138</v>
      </c>
      <c r="E788" s="157" t="s">
        <v>141</v>
      </c>
      <c r="F788" s="158">
        <v>202507230018882</v>
      </c>
      <c r="G788" s="159">
        <v>1510.06</v>
      </c>
      <c r="H788" s="79" t="s">
        <v>969</v>
      </c>
      <c r="I788" s="79" t="s">
        <v>428</v>
      </c>
      <c r="J788" s="79"/>
      <c r="K788" s="79"/>
      <c r="L788" s="79"/>
      <c r="M788" s="79"/>
    </row>
    <row r="789" spans="1:13" ht="15.75" hidden="1" customHeight="1">
      <c r="A789" s="79"/>
      <c r="B789" s="160"/>
      <c r="C789" s="160"/>
      <c r="D789" s="160"/>
      <c r="E789" s="161" t="s">
        <v>143</v>
      </c>
      <c r="F789" s="161"/>
      <c r="G789" s="162">
        <v>0</v>
      </c>
      <c r="H789" s="79"/>
      <c r="I789" s="79"/>
      <c r="J789" s="79"/>
      <c r="K789" s="79"/>
      <c r="L789" s="79"/>
      <c r="M789" s="79"/>
    </row>
    <row r="790" spans="1:13" ht="15.75" customHeight="1">
      <c r="A790" s="163" t="s">
        <v>140</v>
      </c>
      <c r="B790" s="155">
        <v>45862</v>
      </c>
      <c r="C790" s="156">
        <v>0</v>
      </c>
      <c r="D790" s="156">
        <v>14138</v>
      </c>
      <c r="E790" s="157" t="s">
        <v>141</v>
      </c>
      <c r="F790" s="158">
        <v>202507230018883</v>
      </c>
      <c r="G790" s="159">
        <v>1668.08</v>
      </c>
      <c r="H790" s="79" t="s">
        <v>970</v>
      </c>
      <c r="I790" s="79" t="s">
        <v>428</v>
      </c>
      <c r="J790" s="79"/>
      <c r="K790" s="79"/>
      <c r="L790" s="79"/>
      <c r="M790" s="79"/>
    </row>
    <row r="791" spans="1:13" ht="15.75" hidden="1" customHeight="1">
      <c r="A791" s="79"/>
      <c r="B791" s="160"/>
      <c r="C791" s="160"/>
      <c r="D791" s="160"/>
      <c r="E791" s="161" t="s">
        <v>143</v>
      </c>
      <c r="F791" s="161"/>
      <c r="G791" s="162">
        <v>0</v>
      </c>
      <c r="H791" s="79"/>
      <c r="I791" s="79"/>
      <c r="J791" s="79"/>
      <c r="K791" s="79"/>
      <c r="L791" s="79"/>
      <c r="M791" s="79"/>
    </row>
    <row r="792" spans="1:13" ht="15.75" customHeight="1">
      <c r="A792" s="163" t="s">
        <v>140</v>
      </c>
      <c r="B792" s="155">
        <v>45862</v>
      </c>
      <c r="C792" s="156">
        <v>0</v>
      </c>
      <c r="D792" s="156">
        <v>14138</v>
      </c>
      <c r="E792" s="157" t="s">
        <v>141</v>
      </c>
      <c r="F792" s="158">
        <v>202507230018890</v>
      </c>
      <c r="G792" s="159">
        <v>1376.02</v>
      </c>
      <c r="H792" s="160" t="s">
        <v>971</v>
      </c>
      <c r="I792" s="160" t="s">
        <v>428</v>
      </c>
      <c r="J792" s="79"/>
      <c r="K792" s="79"/>
      <c r="L792" s="79"/>
      <c r="M792" s="79"/>
    </row>
    <row r="793" spans="1:13" ht="15.75" hidden="1" customHeight="1">
      <c r="A793" s="79"/>
      <c r="B793" s="160"/>
      <c r="C793" s="160"/>
      <c r="D793" s="160"/>
      <c r="E793" s="161" t="s">
        <v>143</v>
      </c>
      <c r="F793" s="161"/>
      <c r="G793" s="162">
        <v>0</v>
      </c>
      <c r="H793" s="79"/>
      <c r="I793" s="79"/>
      <c r="J793" s="79"/>
      <c r="K793" s="79"/>
      <c r="L793" s="79"/>
      <c r="M793" s="79"/>
    </row>
    <row r="794" spans="1:13" ht="15.75" customHeight="1">
      <c r="A794" s="163" t="s">
        <v>140</v>
      </c>
      <c r="B794" s="155">
        <v>45862</v>
      </c>
      <c r="C794" s="156">
        <v>0</v>
      </c>
      <c r="D794" s="156">
        <v>14138</v>
      </c>
      <c r="E794" s="157" t="s">
        <v>141</v>
      </c>
      <c r="F794" s="158">
        <v>202507230018891</v>
      </c>
      <c r="G794" s="159">
        <v>1668.08</v>
      </c>
      <c r="H794" s="160" t="s">
        <v>972</v>
      </c>
      <c r="I794" s="160" t="s">
        <v>428</v>
      </c>
      <c r="J794" s="79"/>
      <c r="K794" s="79"/>
      <c r="L794" s="79"/>
      <c r="M794" s="79"/>
    </row>
    <row r="795" spans="1:13" ht="15.75" hidden="1" customHeight="1">
      <c r="A795" s="79"/>
      <c r="B795" s="160"/>
      <c r="C795" s="160"/>
      <c r="D795" s="160"/>
      <c r="E795" s="161" t="s">
        <v>143</v>
      </c>
      <c r="F795" s="161"/>
      <c r="G795" s="162">
        <v>0</v>
      </c>
      <c r="H795" s="79"/>
      <c r="I795" s="79"/>
      <c r="J795" s="79"/>
      <c r="K795" s="79"/>
      <c r="L795" s="79"/>
      <c r="M795" s="79"/>
    </row>
    <row r="796" spans="1:13" ht="15.75" customHeight="1">
      <c r="A796" s="163" t="s">
        <v>140</v>
      </c>
      <c r="B796" s="155">
        <v>45862</v>
      </c>
      <c r="C796" s="156">
        <v>0</v>
      </c>
      <c r="D796" s="156">
        <v>14138</v>
      </c>
      <c r="E796" s="157" t="s">
        <v>141</v>
      </c>
      <c r="F796" s="158">
        <v>202507230018910</v>
      </c>
      <c r="G796" s="159">
        <v>925.72</v>
      </c>
      <c r="H796" s="160" t="s">
        <v>973</v>
      </c>
      <c r="I796" s="160" t="s">
        <v>428</v>
      </c>
      <c r="J796" s="79"/>
      <c r="K796" s="79"/>
      <c r="L796" s="79"/>
      <c r="M796" s="79"/>
    </row>
    <row r="797" spans="1:13" ht="15.75" hidden="1" customHeight="1">
      <c r="A797" s="79"/>
      <c r="B797" s="160"/>
      <c r="C797" s="160"/>
      <c r="D797" s="160"/>
      <c r="E797" s="161" t="s">
        <v>143</v>
      </c>
      <c r="F797" s="161"/>
      <c r="G797" s="162">
        <v>0</v>
      </c>
      <c r="H797" s="79"/>
      <c r="I797" s="79"/>
      <c r="J797" s="79"/>
      <c r="K797" s="79"/>
      <c r="L797" s="79"/>
      <c r="M797" s="79"/>
    </row>
    <row r="798" spans="1:13" ht="15.75" customHeight="1">
      <c r="A798" s="163" t="s">
        <v>140</v>
      </c>
      <c r="B798" s="155">
        <v>45862</v>
      </c>
      <c r="C798" s="156">
        <v>0</v>
      </c>
      <c r="D798" s="156">
        <v>14138</v>
      </c>
      <c r="E798" s="157" t="s">
        <v>141</v>
      </c>
      <c r="F798" s="158">
        <v>202507230018911</v>
      </c>
      <c r="G798" s="159">
        <v>1045.1099999999999</v>
      </c>
      <c r="H798" s="160" t="s">
        <v>974</v>
      </c>
      <c r="I798" s="160" t="s">
        <v>428</v>
      </c>
      <c r="J798" s="79"/>
      <c r="K798" s="79"/>
      <c r="L798" s="79"/>
      <c r="M798" s="79"/>
    </row>
    <row r="799" spans="1:13" ht="15.75" hidden="1" customHeight="1">
      <c r="A799" s="79"/>
      <c r="B799" s="160"/>
      <c r="C799" s="160"/>
      <c r="D799" s="160"/>
      <c r="E799" s="161" t="s">
        <v>143</v>
      </c>
      <c r="F799" s="161"/>
      <c r="G799" s="162">
        <v>0</v>
      </c>
      <c r="H799" s="79"/>
      <c r="I799" s="79"/>
      <c r="J799" s="79"/>
      <c r="K799" s="79"/>
      <c r="L799" s="79"/>
      <c r="M799" s="79"/>
    </row>
    <row r="800" spans="1:13" ht="15.75" customHeight="1">
      <c r="A800" s="163" t="s">
        <v>140</v>
      </c>
      <c r="B800" s="155">
        <v>45862</v>
      </c>
      <c r="C800" s="156">
        <v>0</v>
      </c>
      <c r="D800" s="156">
        <v>14138</v>
      </c>
      <c r="E800" s="157" t="s">
        <v>141</v>
      </c>
      <c r="F800" s="158">
        <v>202507230018948</v>
      </c>
      <c r="G800" s="159">
        <v>1232.8399999999999</v>
      </c>
      <c r="H800" s="160" t="s">
        <v>975</v>
      </c>
      <c r="I800" s="160" t="s">
        <v>428</v>
      </c>
      <c r="J800" s="79"/>
      <c r="K800" s="79"/>
      <c r="L800" s="79"/>
      <c r="M800" s="79"/>
    </row>
    <row r="801" spans="1:13" ht="15.75" hidden="1" customHeight="1">
      <c r="A801" s="79"/>
      <c r="B801" s="160"/>
      <c r="C801" s="160"/>
      <c r="D801" s="160"/>
      <c r="E801" s="161" t="s">
        <v>143</v>
      </c>
      <c r="F801" s="161"/>
      <c r="G801" s="162">
        <v>0</v>
      </c>
      <c r="H801" s="79"/>
      <c r="I801" s="79"/>
      <c r="J801" s="79"/>
      <c r="K801" s="79"/>
      <c r="L801" s="79"/>
      <c r="M801" s="79"/>
    </row>
    <row r="802" spans="1:13" ht="15.75" customHeight="1">
      <c r="A802" s="163" t="s">
        <v>140</v>
      </c>
      <c r="B802" s="155">
        <v>45862</v>
      </c>
      <c r="C802" s="156">
        <v>0</v>
      </c>
      <c r="D802" s="156">
        <v>14138</v>
      </c>
      <c r="E802" s="157" t="s">
        <v>141</v>
      </c>
      <c r="F802" s="158">
        <v>202507230018949</v>
      </c>
      <c r="G802" s="159">
        <v>1668.08</v>
      </c>
      <c r="H802" s="79" t="s">
        <v>976</v>
      </c>
      <c r="I802" s="79" t="s">
        <v>428</v>
      </c>
      <c r="J802" s="79"/>
      <c r="K802" s="79"/>
      <c r="L802" s="79"/>
      <c r="M802" s="79"/>
    </row>
    <row r="803" spans="1:13" ht="15.75" hidden="1" customHeight="1">
      <c r="A803" s="79"/>
      <c r="B803" s="160"/>
      <c r="C803" s="160"/>
      <c r="D803" s="160"/>
      <c r="E803" s="161" t="s">
        <v>143</v>
      </c>
      <c r="F803" s="161"/>
      <c r="G803" s="162">
        <v>0</v>
      </c>
      <c r="H803" s="79"/>
      <c r="I803" s="79"/>
      <c r="J803" s="79"/>
      <c r="K803" s="79"/>
      <c r="L803" s="79"/>
      <c r="M803" s="79"/>
    </row>
    <row r="804" spans="1:13" ht="15.75" hidden="1" customHeight="1">
      <c r="A804" s="79"/>
      <c r="B804" s="155">
        <v>45862</v>
      </c>
      <c r="C804" s="156">
        <v>0</v>
      </c>
      <c r="D804" s="156">
        <v>14397</v>
      </c>
      <c r="E804" s="157" t="s">
        <v>57</v>
      </c>
      <c r="F804" s="158">
        <v>241304043159181</v>
      </c>
      <c r="G804" s="159">
        <v>1096</v>
      </c>
      <c r="H804" s="79"/>
      <c r="I804" s="79"/>
      <c r="J804" s="79"/>
      <c r="K804" s="79"/>
      <c r="L804" s="79"/>
      <c r="M804" s="79"/>
    </row>
    <row r="805" spans="1:13" ht="15.75" hidden="1" customHeight="1">
      <c r="A805" s="79"/>
      <c r="B805" s="160"/>
      <c r="C805" s="160"/>
      <c r="D805" s="160"/>
      <c r="E805" s="161" t="s">
        <v>977</v>
      </c>
      <c r="F805" s="161"/>
      <c r="G805" s="162">
        <v>0</v>
      </c>
      <c r="H805" s="79"/>
      <c r="I805" s="79"/>
      <c r="J805" s="79"/>
      <c r="K805" s="79"/>
      <c r="L805" s="79"/>
      <c r="M805" s="79"/>
    </row>
    <row r="806" spans="1:13" ht="15.75" hidden="1" customHeight="1">
      <c r="A806" s="79"/>
      <c r="B806" s="155">
        <v>45862</v>
      </c>
      <c r="C806" s="156">
        <v>1533</v>
      </c>
      <c r="D806" s="156">
        <v>99008</v>
      </c>
      <c r="E806" s="157" t="s">
        <v>29</v>
      </c>
      <c r="F806" s="158">
        <v>975196</v>
      </c>
      <c r="G806" s="172">
        <v>294.02999999999997</v>
      </c>
      <c r="H806" s="79"/>
      <c r="I806" s="79"/>
      <c r="J806" s="79"/>
      <c r="K806" s="79"/>
      <c r="L806" s="79"/>
      <c r="M806" s="79"/>
    </row>
    <row r="807" spans="1:13" ht="15.75" hidden="1" customHeight="1">
      <c r="A807" s="79"/>
      <c r="B807" s="160"/>
      <c r="C807" s="160"/>
      <c r="D807" s="160"/>
      <c r="E807" s="161" t="s">
        <v>978</v>
      </c>
      <c r="F807" s="161"/>
      <c r="G807" s="162">
        <v>0</v>
      </c>
      <c r="H807" s="79"/>
      <c r="I807" s="79"/>
      <c r="J807" s="79"/>
      <c r="K807" s="79"/>
      <c r="L807" s="79"/>
      <c r="M807" s="79"/>
    </row>
    <row r="808" spans="1:13" ht="15.75" hidden="1" customHeight="1">
      <c r="A808" s="79"/>
      <c r="B808" s="155">
        <v>45862</v>
      </c>
      <c r="C808" s="156">
        <v>0</v>
      </c>
      <c r="D808" s="156">
        <v>13105</v>
      </c>
      <c r="E808" s="157" t="s">
        <v>80</v>
      </c>
      <c r="F808" s="158">
        <v>72401</v>
      </c>
      <c r="G808" s="172">
        <v>11771.8</v>
      </c>
      <c r="H808" s="79"/>
      <c r="I808" s="79"/>
      <c r="J808" s="79"/>
      <c r="K808" s="79"/>
      <c r="L808" s="79"/>
      <c r="M808" s="79"/>
    </row>
    <row r="809" spans="1:13" ht="15.75" hidden="1" customHeight="1">
      <c r="A809" s="79"/>
      <c r="B809" s="160"/>
      <c r="C809" s="160"/>
      <c r="D809" s="160"/>
      <c r="E809" s="161" t="s">
        <v>154</v>
      </c>
      <c r="F809" s="161"/>
      <c r="G809" s="162">
        <v>0</v>
      </c>
      <c r="H809" s="79"/>
      <c r="I809" s="79"/>
      <c r="J809" s="79"/>
      <c r="K809" s="79"/>
      <c r="L809" s="79"/>
      <c r="M809" s="79"/>
    </row>
    <row r="810" spans="1:13" ht="15.75" hidden="1" customHeight="1">
      <c r="A810" s="79"/>
      <c r="B810" s="155">
        <v>45862</v>
      </c>
      <c r="C810" s="156">
        <v>0</v>
      </c>
      <c r="D810" s="156">
        <v>13105</v>
      </c>
      <c r="E810" s="157" t="s">
        <v>31</v>
      </c>
      <c r="F810" s="158">
        <v>72402</v>
      </c>
      <c r="G810" s="172">
        <v>2445.19</v>
      </c>
      <c r="H810" s="79"/>
      <c r="I810" s="79"/>
      <c r="J810" s="79"/>
      <c r="K810" s="79"/>
      <c r="L810" s="79"/>
      <c r="M810" s="79"/>
    </row>
    <row r="811" spans="1:13" ht="15.75" hidden="1" customHeight="1">
      <c r="A811" s="79"/>
      <c r="B811" s="160"/>
      <c r="C811" s="160"/>
      <c r="D811" s="160"/>
      <c r="E811" s="161" t="s">
        <v>32</v>
      </c>
      <c r="F811" s="161"/>
      <c r="G811" s="162">
        <v>0</v>
      </c>
      <c r="H811" s="79"/>
      <c r="I811" s="79"/>
      <c r="J811" s="79"/>
      <c r="K811" s="79"/>
      <c r="L811" s="79"/>
      <c r="M811" s="79"/>
    </row>
    <row r="812" spans="1:13" ht="15.75" hidden="1" customHeight="1">
      <c r="A812" s="79"/>
      <c r="B812" s="155">
        <v>45862</v>
      </c>
      <c r="C812" s="156">
        <v>0</v>
      </c>
      <c r="D812" s="156">
        <v>13105</v>
      </c>
      <c r="E812" s="157" t="s">
        <v>31</v>
      </c>
      <c r="F812" s="158">
        <v>72403</v>
      </c>
      <c r="G812" s="172">
        <v>186.96</v>
      </c>
      <c r="H812" s="79"/>
      <c r="I812" s="79"/>
      <c r="J812" s="79"/>
      <c r="K812" s="79"/>
      <c r="L812" s="79"/>
      <c r="M812" s="79"/>
    </row>
    <row r="813" spans="1:13" ht="15.75" hidden="1" customHeight="1">
      <c r="A813" s="79"/>
      <c r="B813" s="160"/>
      <c r="C813" s="160"/>
      <c r="D813" s="160"/>
      <c r="E813" s="161" t="s">
        <v>289</v>
      </c>
      <c r="F813" s="161"/>
      <c r="G813" s="162">
        <v>0</v>
      </c>
      <c r="H813" s="79"/>
      <c r="I813" s="79"/>
      <c r="J813" s="79"/>
      <c r="K813" s="79"/>
      <c r="L813" s="79"/>
      <c r="M813" s="79"/>
    </row>
    <row r="814" spans="1:13" ht="15.75" hidden="1" customHeight="1">
      <c r="A814" s="79"/>
      <c r="B814" s="155">
        <v>45862</v>
      </c>
      <c r="C814" s="156">
        <v>0</v>
      </c>
      <c r="D814" s="156">
        <v>13105</v>
      </c>
      <c r="E814" s="157" t="s">
        <v>31</v>
      </c>
      <c r="F814" s="158">
        <v>72404</v>
      </c>
      <c r="G814" s="172">
        <v>287.54000000000002</v>
      </c>
      <c r="H814" s="79"/>
      <c r="I814" s="79"/>
      <c r="J814" s="79"/>
      <c r="K814" s="79"/>
      <c r="L814" s="79"/>
      <c r="M814" s="79"/>
    </row>
    <row r="815" spans="1:13" ht="15.75" hidden="1" customHeight="1">
      <c r="A815" s="79"/>
      <c r="B815" s="160"/>
      <c r="C815" s="160"/>
      <c r="D815" s="160"/>
      <c r="E815" s="161" t="s">
        <v>231</v>
      </c>
      <c r="F815" s="161"/>
      <c r="G815" s="162">
        <v>0</v>
      </c>
      <c r="H815" s="79"/>
      <c r="I815" s="79"/>
      <c r="J815" s="79"/>
      <c r="K815" s="79"/>
      <c r="L815" s="79"/>
      <c r="M815" s="79"/>
    </row>
    <row r="816" spans="1:13" ht="15.75" hidden="1" customHeight="1">
      <c r="A816" s="79"/>
      <c r="B816" s="155">
        <v>45862</v>
      </c>
      <c r="C816" s="156">
        <v>0</v>
      </c>
      <c r="D816" s="156">
        <v>13105</v>
      </c>
      <c r="E816" s="157" t="s">
        <v>31</v>
      </c>
      <c r="F816" s="158">
        <v>72405</v>
      </c>
      <c r="G816" s="172">
        <v>667</v>
      </c>
      <c r="H816" s="79"/>
      <c r="I816" s="79"/>
      <c r="J816" s="79"/>
      <c r="K816" s="79"/>
      <c r="L816" s="79"/>
      <c r="M816" s="79"/>
    </row>
    <row r="817" spans="1:13" ht="15.75" hidden="1" customHeight="1">
      <c r="A817" s="79"/>
      <c r="B817" s="160"/>
      <c r="C817" s="160"/>
      <c r="D817" s="160"/>
      <c r="E817" s="161" t="s">
        <v>755</v>
      </c>
      <c r="F817" s="161"/>
      <c r="G817" s="162">
        <v>0</v>
      </c>
      <c r="H817" s="79"/>
      <c r="I817" s="79"/>
      <c r="J817" s="79"/>
      <c r="K817" s="79"/>
      <c r="L817" s="79"/>
      <c r="M817" s="79"/>
    </row>
    <row r="818" spans="1:13" ht="15.75" hidden="1" customHeight="1">
      <c r="A818" s="79"/>
      <c r="B818" s="155">
        <v>45862</v>
      </c>
      <c r="C818" s="156">
        <v>0</v>
      </c>
      <c r="D818" s="156">
        <v>13105</v>
      </c>
      <c r="E818" s="157" t="s">
        <v>31</v>
      </c>
      <c r="F818" s="158">
        <v>72406</v>
      </c>
      <c r="G818" s="172">
        <v>330.27</v>
      </c>
      <c r="H818" s="79"/>
      <c r="I818" s="79"/>
      <c r="J818" s="79"/>
      <c r="K818" s="79"/>
      <c r="L818" s="79"/>
      <c r="M818" s="79"/>
    </row>
    <row r="819" spans="1:13" ht="15.75" hidden="1" customHeight="1">
      <c r="A819" s="79"/>
      <c r="B819" s="160"/>
      <c r="C819" s="160"/>
      <c r="D819" s="160"/>
      <c r="E819" s="161" t="s">
        <v>50</v>
      </c>
      <c r="F819" s="161"/>
      <c r="G819" s="162">
        <v>0</v>
      </c>
      <c r="H819" s="79"/>
      <c r="I819" s="79"/>
      <c r="J819" s="79"/>
      <c r="K819" s="79"/>
      <c r="L819" s="79"/>
      <c r="M819" s="79"/>
    </row>
    <row r="820" spans="1:13" ht="15.75" hidden="1" customHeight="1">
      <c r="A820" s="79"/>
      <c r="B820" s="155">
        <v>45862</v>
      </c>
      <c r="C820" s="156">
        <v>0</v>
      </c>
      <c r="D820" s="156">
        <v>13105</v>
      </c>
      <c r="E820" s="157" t="s">
        <v>31</v>
      </c>
      <c r="F820" s="158">
        <v>72407</v>
      </c>
      <c r="G820" s="172">
        <v>1589.36</v>
      </c>
      <c r="H820" s="79"/>
      <c r="I820" s="79"/>
      <c r="J820" s="79"/>
      <c r="K820" s="79"/>
      <c r="L820" s="79"/>
      <c r="M820" s="79"/>
    </row>
    <row r="821" spans="1:13" ht="15.75" hidden="1" customHeight="1">
      <c r="A821" s="79"/>
      <c r="B821" s="160"/>
      <c r="C821" s="160"/>
      <c r="D821" s="160"/>
      <c r="E821" s="161" t="s">
        <v>50</v>
      </c>
      <c r="F821" s="161"/>
      <c r="G821" s="162">
        <v>0</v>
      </c>
      <c r="H821" s="79"/>
      <c r="I821" s="79"/>
      <c r="J821" s="79"/>
      <c r="K821" s="79"/>
      <c r="L821" s="79"/>
      <c r="M821" s="79"/>
    </row>
    <row r="822" spans="1:13" ht="15.75" hidden="1" customHeight="1">
      <c r="A822" s="79"/>
      <c r="B822" s="155">
        <v>45862</v>
      </c>
      <c r="C822" s="156">
        <v>0</v>
      </c>
      <c r="D822" s="156">
        <v>13105</v>
      </c>
      <c r="E822" s="157" t="s">
        <v>31</v>
      </c>
      <c r="F822" s="158">
        <v>72408</v>
      </c>
      <c r="G822" s="172">
        <v>229.63</v>
      </c>
      <c r="H822" s="79"/>
      <c r="I822" s="79"/>
      <c r="J822" s="79"/>
      <c r="K822" s="79"/>
      <c r="L822" s="79"/>
      <c r="M822" s="79"/>
    </row>
    <row r="823" spans="1:13" ht="15.75" hidden="1" customHeight="1">
      <c r="A823" s="79"/>
      <c r="B823" s="160"/>
      <c r="C823" s="160"/>
      <c r="D823" s="160"/>
      <c r="E823" s="161" t="s">
        <v>223</v>
      </c>
      <c r="F823" s="161"/>
      <c r="G823" s="162">
        <v>0</v>
      </c>
      <c r="H823" s="79"/>
      <c r="I823" s="79"/>
      <c r="J823" s="79"/>
      <c r="K823" s="79"/>
      <c r="L823" s="79"/>
      <c r="M823" s="79"/>
    </row>
    <row r="824" spans="1:13" ht="15.75" hidden="1" customHeight="1">
      <c r="A824" s="79"/>
      <c r="B824" s="155">
        <v>45862</v>
      </c>
      <c r="C824" s="156">
        <v>0</v>
      </c>
      <c r="D824" s="156">
        <v>13105</v>
      </c>
      <c r="E824" s="157" t="s">
        <v>31</v>
      </c>
      <c r="F824" s="158">
        <v>72409</v>
      </c>
      <c r="G824" s="172">
        <v>315.11</v>
      </c>
      <c r="H824" s="79"/>
      <c r="I824" s="79"/>
      <c r="J824" s="79"/>
      <c r="K824" s="79"/>
      <c r="L824" s="79"/>
      <c r="M824" s="79"/>
    </row>
    <row r="825" spans="1:13" ht="15.75" hidden="1" customHeight="1">
      <c r="A825" s="79"/>
      <c r="B825" s="160"/>
      <c r="C825" s="160"/>
      <c r="D825" s="160"/>
      <c r="E825" s="161" t="s">
        <v>46</v>
      </c>
      <c r="F825" s="161"/>
      <c r="G825" s="162">
        <v>0</v>
      </c>
      <c r="H825" s="79"/>
      <c r="I825" s="79"/>
      <c r="J825" s="79"/>
      <c r="K825" s="79"/>
      <c r="L825" s="79"/>
      <c r="M825" s="79"/>
    </row>
    <row r="826" spans="1:13" ht="15.75" hidden="1" customHeight="1">
      <c r="A826" s="79"/>
      <c r="B826" s="155">
        <v>45862</v>
      </c>
      <c r="C826" s="156">
        <v>0</v>
      </c>
      <c r="D826" s="156">
        <v>13105</v>
      </c>
      <c r="E826" s="157" t="s">
        <v>31</v>
      </c>
      <c r="F826" s="158">
        <v>72410</v>
      </c>
      <c r="G826" s="172">
        <v>451.13</v>
      </c>
      <c r="H826" s="79"/>
      <c r="I826" s="79"/>
      <c r="J826" s="79"/>
      <c r="K826" s="79"/>
      <c r="L826" s="79"/>
      <c r="M826" s="79"/>
    </row>
    <row r="827" spans="1:13" ht="15.75" hidden="1" customHeight="1">
      <c r="A827" s="79"/>
      <c r="B827" s="160"/>
      <c r="C827" s="160"/>
      <c r="D827" s="160"/>
      <c r="E827" s="161" t="s">
        <v>201</v>
      </c>
      <c r="F827" s="161"/>
      <c r="G827" s="162">
        <v>0</v>
      </c>
      <c r="H827" s="79"/>
      <c r="I827" s="79"/>
      <c r="J827" s="79"/>
      <c r="K827" s="79"/>
      <c r="L827" s="79"/>
      <c r="M827" s="79"/>
    </row>
    <row r="828" spans="1:13" ht="15.75" hidden="1" customHeight="1">
      <c r="A828" s="79"/>
      <c r="B828" s="155">
        <v>45862</v>
      </c>
      <c r="C828" s="156">
        <v>0</v>
      </c>
      <c r="D828" s="156">
        <v>0</v>
      </c>
      <c r="E828" s="157" t="s">
        <v>59</v>
      </c>
      <c r="F828" s="158">
        <v>9903</v>
      </c>
      <c r="G828" s="172">
        <v>4333.25</v>
      </c>
      <c r="H828" s="79"/>
      <c r="I828" s="79"/>
      <c r="J828" s="79"/>
      <c r="K828" s="79"/>
      <c r="L828" s="79"/>
      <c r="M828" s="79"/>
    </row>
    <row r="829" spans="1:13" ht="15.75" hidden="1" customHeight="1">
      <c r="A829" s="79"/>
      <c r="B829" s="160"/>
      <c r="C829" s="160"/>
      <c r="D829" s="160"/>
      <c r="E829" s="161" t="s">
        <v>53</v>
      </c>
      <c r="F829" s="161"/>
      <c r="G829" s="162">
        <v>0</v>
      </c>
      <c r="H829" s="79"/>
      <c r="I829" s="79"/>
      <c r="J829" s="79"/>
      <c r="K829" s="79"/>
      <c r="L829" s="79"/>
      <c r="M829" s="79"/>
    </row>
    <row r="830" spans="1:13" ht="15.75" hidden="1" customHeight="1">
      <c r="A830" s="79"/>
      <c r="B830" s="155">
        <v>45863</v>
      </c>
      <c r="C830" s="156">
        <v>1109</v>
      </c>
      <c r="D830" s="156">
        <v>99021</v>
      </c>
      <c r="E830" s="157" t="s">
        <v>27</v>
      </c>
      <c r="F830" s="158">
        <v>611109000013926</v>
      </c>
      <c r="G830" s="159">
        <v>812.19</v>
      </c>
      <c r="H830" s="79"/>
      <c r="I830" s="79"/>
      <c r="J830" s="79"/>
      <c r="K830" s="79"/>
      <c r="L830" s="79"/>
      <c r="M830" s="79"/>
    </row>
    <row r="831" spans="1:13" ht="15.75" hidden="1" customHeight="1">
      <c r="A831" s="79"/>
      <c r="B831" s="160"/>
      <c r="C831" s="160"/>
      <c r="D831" s="160"/>
      <c r="E831" s="161" t="s">
        <v>979</v>
      </c>
      <c r="F831" s="161"/>
      <c r="G831" s="162">
        <v>0</v>
      </c>
      <c r="H831" s="79"/>
      <c r="I831" s="79"/>
      <c r="J831" s="79"/>
      <c r="K831" s="79"/>
      <c r="L831" s="79"/>
      <c r="M831" s="79"/>
    </row>
    <row r="832" spans="1:13" ht="15.75" hidden="1" customHeight="1">
      <c r="A832" s="79"/>
      <c r="B832" s="155">
        <v>45863</v>
      </c>
      <c r="C832" s="156">
        <v>0</v>
      </c>
      <c r="D832" s="156">
        <v>14175</v>
      </c>
      <c r="E832" s="157" t="s">
        <v>62</v>
      </c>
      <c r="F832" s="158">
        <v>388752063</v>
      </c>
      <c r="G832" s="159">
        <v>1000</v>
      </c>
      <c r="H832" s="79"/>
      <c r="I832" s="79"/>
      <c r="J832" s="79"/>
      <c r="K832" s="79"/>
      <c r="L832" s="79"/>
      <c r="M832" s="79"/>
    </row>
    <row r="833" spans="1:13" ht="15.75" hidden="1" customHeight="1">
      <c r="A833" s="79"/>
      <c r="B833" s="160"/>
      <c r="C833" s="160"/>
      <c r="D833" s="160"/>
      <c r="E833" s="161" t="s">
        <v>97</v>
      </c>
      <c r="F833" s="161"/>
      <c r="G833" s="162">
        <v>0</v>
      </c>
      <c r="H833" s="79"/>
      <c r="I833" s="79"/>
      <c r="J833" s="79"/>
      <c r="K833" s="79"/>
      <c r="L833" s="79"/>
      <c r="M833" s="79"/>
    </row>
    <row r="834" spans="1:13" ht="15.75" customHeight="1">
      <c r="A834" s="163" t="s">
        <v>140</v>
      </c>
      <c r="B834" s="155">
        <v>45863</v>
      </c>
      <c r="C834" s="156">
        <v>0</v>
      </c>
      <c r="D834" s="156">
        <v>14138</v>
      </c>
      <c r="E834" s="157" t="s">
        <v>141</v>
      </c>
      <c r="F834" s="158">
        <v>202507240091599</v>
      </c>
      <c r="G834" s="159">
        <v>4954.2</v>
      </c>
      <c r="H834" s="79" t="s">
        <v>980</v>
      </c>
      <c r="I834" s="79" t="s">
        <v>428</v>
      </c>
      <c r="J834" s="79"/>
      <c r="K834" s="79"/>
      <c r="L834" s="79"/>
      <c r="M834" s="79"/>
    </row>
    <row r="835" spans="1:13" ht="15.75" hidden="1" customHeight="1">
      <c r="A835" s="79"/>
      <c r="B835" s="160"/>
      <c r="C835" s="160"/>
      <c r="D835" s="160"/>
      <c r="E835" s="161" t="s">
        <v>143</v>
      </c>
      <c r="F835" s="161"/>
      <c r="G835" s="162">
        <v>0</v>
      </c>
      <c r="H835" s="79"/>
      <c r="I835" s="79"/>
      <c r="J835" s="79"/>
      <c r="K835" s="79"/>
      <c r="L835" s="79"/>
      <c r="M835" s="79"/>
    </row>
    <row r="836" spans="1:13" ht="15.75" customHeight="1">
      <c r="A836" s="163" t="s">
        <v>140</v>
      </c>
      <c r="B836" s="155">
        <v>45863</v>
      </c>
      <c r="C836" s="156">
        <v>0</v>
      </c>
      <c r="D836" s="156">
        <v>14138</v>
      </c>
      <c r="E836" s="157" t="s">
        <v>141</v>
      </c>
      <c r="F836" s="158">
        <v>202507240091608</v>
      </c>
      <c r="G836" s="159">
        <v>341.39</v>
      </c>
      <c r="H836" s="79" t="s">
        <v>981</v>
      </c>
      <c r="I836" s="79" t="s">
        <v>428</v>
      </c>
      <c r="J836" s="79"/>
      <c r="K836" s="79"/>
      <c r="L836" s="79"/>
      <c r="M836" s="79"/>
    </row>
    <row r="837" spans="1:13" ht="15.75" hidden="1" customHeight="1">
      <c r="A837" s="79"/>
      <c r="B837" s="160"/>
      <c r="C837" s="160"/>
      <c r="D837" s="160"/>
      <c r="E837" s="161" t="s">
        <v>143</v>
      </c>
      <c r="F837" s="161"/>
      <c r="G837" s="162">
        <v>0</v>
      </c>
      <c r="H837" s="79"/>
      <c r="I837" s="79"/>
      <c r="J837" s="79"/>
      <c r="K837" s="79"/>
      <c r="L837" s="79"/>
      <c r="M837" s="79"/>
    </row>
    <row r="838" spans="1:13" ht="15.75" customHeight="1">
      <c r="A838" s="163" t="s">
        <v>140</v>
      </c>
      <c r="B838" s="155">
        <v>45863</v>
      </c>
      <c r="C838" s="156">
        <v>0</v>
      </c>
      <c r="D838" s="156">
        <v>14138</v>
      </c>
      <c r="E838" s="157" t="s">
        <v>141</v>
      </c>
      <c r="F838" s="158">
        <v>202507240091610</v>
      </c>
      <c r="G838" s="159">
        <v>1668.08</v>
      </c>
      <c r="H838" s="79" t="s">
        <v>982</v>
      </c>
      <c r="I838" s="79" t="s">
        <v>428</v>
      </c>
      <c r="J838" s="79"/>
      <c r="K838" s="79"/>
      <c r="L838" s="79"/>
      <c r="M838" s="79"/>
    </row>
    <row r="839" spans="1:13" ht="15.75" hidden="1" customHeight="1">
      <c r="A839" s="79"/>
      <c r="B839" s="160"/>
      <c r="C839" s="160"/>
      <c r="D839" s="160"/>
      <c r="E839" s="161" t="s">
        <v>143</v>
      </c>
      <c r="F839" s="161"/>
      <c r="G839" s="162">
        <v>0</v>
      </c>
      <c r="H839" s="79"/>
      <c r="I839" s="79"/>
      <c r="J839" s="79"/>
      <c r="K839" s="79"/>
      <c r="L839" s="79"/>
      <c r="M839" s="79"/>
    </row>
    <row r="840" spans="1:13" ht="15.75" customHeight="1">
      <c r="A840" s="163" t="s">
        <v>140</v>
      </c>
      <c r="B840" s="155">
        <v>45863</v>
      </c>
      <c r="C840" s="156">
        <v>0</v>
      </c>
      <c r="D840" s="156">
        <v>14138</v>
      </c>
      <c r="E840" s="157" t="s">
        <v>141</v>
      </c>
      <c r="F840" s="158">
        <v>202507240091619</v>
      </c>
      <c r="G840" s="159">
        <v>2343.63</v>
      </c>
      <c r="H840" s="79" t="s">
        <v>983</v>
      </c>
      <c r="I840" s="79" t="s">
        <v>428</v>
      </c>
      <c r="J840" s="79"/>
      <c r="K840" s="79"/>
      <c r="L840" s="79"/>
      <c r="M840" s="79"/>
    </row>
    <row r="841" spans="1:13" ht="15.75" hidden="1" customHeight="1">
      <c r="A841" s="79"/>
      <c r="B841" s="160"/>
      <c r="C841" s="160"/>
      <c r="D841" s="160"/>
      <c r="E841" s="161" t="s">
        <v>143</v>
      </c>
      <c r="F841" s="161"/>
      <c r="G841" s="162">
        <v>0</v>
      </c>
      <c r="H841" s="79"/>
      <c r="I841" s="79"/>
      <c r="J841" s="79"/>
      <c r="K841" s="79"/>
      <c r="L841" s="79"/>
      <c r="M841" s="79"/>
    </row>
    <row r="842" spans="1:13" ht="15.75" customHeight="1">
      <c r="A842" s="163" t="s">
        <v>140</v>
      </c>
      <c r="B842" s="155">
        <v>45863</v>
      </c>
      <c r="C842" s="156">
        <v>0</v>
      </c>
      <c r="D842" s="156">
        <v>14138</v>
      </c>
      <c r="E842" s="157" t="s">
        <v>141</v>
      </c>
      <c r="F842" s="158">
        <v>202507240091621</v>
      </c>
      <c r="G842" s="159">
        <v>1668.08</v>
      </c>
      <c r="H842" s="160" t="s">
        <v>984</v>
      </c>
      <c r="I842" s="160" t="s">
        <v>428</v>
      </c>
      <c r="J842" s="79"/>
      <c r="K842" s="79"/>
      <c r="L842" s="79"/>
      <c r="M842" s="79"/>
    </row>
    <row r="843" spans="1:13" ht="15.75" hidden="1" customHeight="1">
      <c r="A843" s="79"/>
      <c r="B843" s="160"/>
      <c r="C843" s="160"/>
      <c r="D843" s="160"/>
      <c r="E843" s="161" t="s">
        <v>143</v>
      </c>
      <c r="F843" s="161"/>
      <c r="G843" s="162">
        <v>0</v>
      </c>
      <c r="H843" s="79"/>
      <c r="I843" s="79"/>
      <c r="J843" s="79"/>
      <c r="K843" s="79"/>
      <c r="L843" s="79"/>
      <c r="M843" s="79"/>
    </row>
    <row r="844" spans="1:13" ht="15.75" hidden="1" customHeight="1">
      <c r="A844" s="79"/>
      <c r="B844" s="155">
        <v>45863</v>
      </c>
      <c r="C844" s="156">
        <v>0</v>
      </c>
      <c r="D844" s="156">
        <v>14397</v>
      </c>
      <c r="E844" s="157" t="s">
        <v>57</v>
      </c>
      <c r="F844" s="158">
        <v>251141449711122</v>
      </c>
      <c r="G844" s="159">
        <v>1072.98</v>
      </c>
      <c r="H844" s="79"/>
      <c r="I844" s="79"/>
      <c r="J844" s="79"/>
      <c r="K844" s="79"/>
      <c r="L844" s="79"/>
      <c r="M844" s="79"/>
    </row>
    <row r="845" spans="1:13" ht="15.75" hidden="1" customHeight="1">
      <c r="A845" s="79"/>
      <c r="B845" s="160"/>
      <c r="C845" s="160"/>
      <c r="D845" s="160"/>
      <c r="E845" s="161" t="s">
        <v>985</v>
      </c>
      <c r="F845" s="161"/>
      <c r="G845" s="162">
        <v>0</v>
      </c>
      <c r="H845" s="79"/>
      <c r="I845" s="79"/>
      <c r="J845" s="79"/>
      <c r="K845" s="79"/>
      <c r="L845" s="79"/>
      <c r="M845" s="79"/>
    </row>
    <row r="846" spans="1:13" ht="15.75" hidden="1" customHeight="1">
      <c r="A846" s="79"/>
      <c r="B846" s="155">
        <v>45863</v>
      </c>
      <c r="C846" s="156">
        <v>0</v>
      </c>
      <c r="D846" s="156">
        <v>14397</v>
      </c>
      <c r="E846" s="157" t="s">
        <v>57</v>
      </c>
      <c r="F846" s="158">
        <v>251453108920502</v>
      </c>
      <c r="G846" s="159">
        <v>136.22999999999999</v>
      </c>
      <c r="H846" s="79"/>
      <c r="I846" s="79"/>
      <c r="J846" s="79"/>
      <c r="K846" s="79"/>
      <c r="L846" s="79"/>
      <c r="M846" s="79"/>
    </row>
    <row r="847" spans="1:13" ht="15.75" hidden="1" customHeight="1">
      <c r="A847" s="79"/>
      <c r="B847" s="160"/>
      <c r="C847" s="160"/>
      <c r="D847" s="160"/>
      <c r="E847" s="161" t="s">
        <v>986</v>
      </c>
      <c r="F847" s="161"/>
      <c r="G847" s="162">
        <v>0</v>
      </c>
      <c r="H847" s="79"/>
      <c r="I847" s="79"/>
      <c r="J847" s="79"/>
      <c r="K847" s="79"/>
      <c r="L847" s="79"/>
      <c r="M847" s="79"/>
    </row>
    <row r="848" spans="1:13" ht="15.75" hidden="1" customHeight="1">
      <c r="A848" s="79"/>
      <c r="B848" s="155">
        <v>45863</v>
      </c>
      <c r="C848" s="156">
        <v>0</v>
      </c>
      <c r="D848" s="156">
        <v>13105</v>
      </c>
      <c r="E848" s="157" t="s">
        <v>80</v>
      </c>
      <c r="F848" s="158">
        <v>72501</v>
      </c>
      <c r="G848" s="172">
        <v>1028.33</v>
      </c>
      <c r="H848" s="79"/>
      <c r="I848" s="79"/>
      <c r="J848" s="79"/>
      <c r="K848" s="79"/>
      <c r="L848" s="79"/>
      <c r="M848" s="79"/>
    </row>
    <row r="849" spans="1:13" ht="15.75" hidden="1" customHeight="1">
      <c r="A849" s="79"/>
      <c r="B849" s="160"/>
      <c r="C849" s="160"/>
      <c r="D849" s="160"/>
      <c r="E849" s="161" t="s">
        <v>81</v>
      </c>
      <c r="F849" s="161"/>
      <c r="G849" s="162">
        <v>0</v>
      </c>
      <c r="H849" s="79"/>
      <c r="I849" s="79"/>
      <c r="J849" s="79"/>
      <c r="K849" s="79"/>
      <c r="L849" s="79"/>
      <c r="M849" s="79"/>
    </row>
    <row r="850" spans="1:13" ht="15.75" hidden="1" customHeight="1">
      <c r="A850" s="79"/>
      <c r="B850" s="155">
        <v>45863</v>
      </c>
      <c r="C850" s="156">
        <v>0</v>
      </c>
      <c r="D850" s="156">
        <v>13105</v>
      </c>
      <c r="E850" s="157" t="s">
        <v>31</v>
      </c>
      <c r="F850" s="158">
        <v>72502</v>
      </c>
      <c r="G850" s="172">
        <v>6400</v>
      </c>
      <c r="H850" s="79"/>
      <c r="I850" s="79"/>
      <c r="J850" s="79"/>
      <c r="K850" s="79"/>
      <c r="L850" s="79"/>
      <c r="M850" s="79"/>
    </row>
    <row r="851" spans="1:13" ht="15.75" hidden="1" customHeight="1">
      <c r="A851" s="79"/>
      <c r="B851" s="160"/>
      <c r="C851" s="160"/>
      <c r="D851" s="160"/>
      <c r="E851" s="161" t="s">
        <v>32</v>
      </c>
      <c r="F851" s="161"/>
      <c r="G851" s="162">
        <v>0</v>
      </c>
      <c r="H851" s="79"/>
      <c r="I851" s="79"/>
      <c r="J851" s="79"/>
      <c r="K851" s="79"/>
      <c r="L851" s="79"/>
      <c r="M851" s="79"/>
    </row>
    <row r="852" spans="1:13" ht="15.75" hidden="1" customHeight="1">
      <c r="A852" s="79"/>
      <c r="B852" s="155">
        <v>45863</v>
      </c>
      <c r="C852" s="156">
        <v>0</v>
      </c>
      <c r="D852" s="156">
        <v>13105</v>
      </c>
      <c r="E852" s="157" t="s">
        <v>31</v>
      </c>
      <c r="F852" s="158">
        <v>72503</v>
      </c>
      <c r="G852" s="172">
        <v>3395.89</v>
      </c>
      <c r="H852" s="79"/>
      <c r="I852" s="79"/>
      <c r="J852" s="79"/>
      <c r="K852" s="79"/>
      <c r="L852" s="79"/>
      <c r="M852" s="79"/>
    </row>
    <row r="853" spans="1:13" ht="15.75" hidden="1" customHeight="1">
      <c r="A853" s="79"/>
      <c r="B853" s="160"/>
      <c r="C853" s="160"/>
      <c r="D853" s="160"/>
      <c r="E853" s="161" t="s">
        <v>65</v>
      </c>
      <c r="F853" s="161"/>
      <c r="G853" s="162">
        <v>0</v>
      </c>
      <c r="H853" s="79"/>
      <c r="I853" s="79"/>
      <c r="J853" s="79"/>
      <c r="K853" s="79"/>
      <c r="L853" s="79"/>
      <c r="M853" s="79"/>
    </row>
    <row r="854" spans="1:13" ht="15.75" hidden="1" customHeight="1">
      <c r="A854" s="79"/>
      <c r="B854" s="155">
        <v>45863</v>
      </c>
      <c r="C854" s="156">
        <v>0</v>
      </c>
      <c r="D854" s="156">
        <v>13105</v>
      </c>
      <c r="E854" s="157" t="s">
        <v>34</v>
      </c>
      <c r="F854" s="158">
        <v>72504</v>
      </c>
      <c r="G854" s="172">
        <v>140.13999999999999</v>
      </c>
      <c r="H854" s="79"/>
      <c r="I854" s="79"/>
      <c r="J854" s="79"/>
      <c r="K854" s="79"/>
      <c r="L854" s="79"/>
      <c r="M854" s="79"/>
    </row>
    <row r="855" spans="1:13" ht="15.75" hidden="1" customHeight="1">
      <c r="A855" s="79"/>
      <c r="B855" s="160"/>
      <c r="C855" s="160"/>
      <c r="D855" s="160"/>
      <c r="E855" s="161" t="s">
        <v>35</v>
      </c>
      <c r="F855" s="161"/>
      <c r="G855" s="162">
        <v>0</v>
      </c>
      <c r="H855" s="79"/>
      <c r="I855" s="79"/>
      <c r="J855" s="79"/>
      <c r="K855" s="79"/>
      <c r="L855" s="79"/>
      <c r="M855" s="79"/>
    </row>
    <row r="856" spans="1:13" ht="15.75" hidden="1" customHeight="1">
      <c r="A856" s="79"/>
      <c r="B856" s="155">
        <v>45863</v>
      </c>
      <c r="C856" s="156">
        <v>0</v>
      </c>
      <c r="D856" s="156">
        <v>13105</v>
      </c>
      <c r="E856" s="157" t="s">
        <v>31</v>
      </c>
      <c r="F856" s="158">
        <v>72505</v>
      </c>
      <c r="G856" s="172">
        <v>1750</v>
      </c>
      <c r="H856" s="79"/>
      <c r="I856" s="79"/>
      <c r="J856" s="79"/>
      <c r="K856" s="79"/>
      <c r="L856" s="79"/>
      <c r="M856" s="79"/>
    </row>
    <row r="857" spans="1:13" ht="15.75" hidden="1" customHeight="1">
      <c r="A857" s="79"/>
      <c r="B857" s="160"/>
      <c r="C857" s="160"/>
      <c r="D857" s="160"/>
      <c r="E857" s="161" t="s">
        <v>173</v>
      </c>
      <c r="F857" s="161"/>
      <c r="G857" s="162">
        <v>0</v>
      </c>
      <c r="H857" s="79"/>
      <c r="I857" s="79"/>
      <c r="J857" s="79"/>
      <c r="K857" s="79"/>
      <c r="L857" s="79"/>
      <c r="M857" s="79"/>
    </row>
    <row r="858" spans="1:13" ht="15.75" hidden="1" customHeight="1">
      <c r="A858" s="79"/>
      <c r="B858" s="155">
        <v>45863</v>
      </c>
      <c r="C858" s="156">
        <v>0</v>
      </c>
      <c r="D858" s="156">
        <v>13105</v>
      </c>
      <c r="E858" s="157" t="s">
        <v>31</v>
      </c>
      <c r="F858" s="158">
        <v>72506</v>
      </c>
      <c r="G858" s="172">
        <v>68.900000000000006</v>
      </c>
      <c r="H858" s="79"/>
      <c r="I858" s="79"/>
      <c r="J858" s="79"/>
      <c r="K858" s="79"/>
      <c r="L858" s="79"/>
      <c r="M858" s="79"/>
    </row>
    <row r="859" spans="1:13" ht="15.75" hidden="1" customHeight="1">
      <c r="A859" s="79"/>
      <c r="B859" s="160"/>
      <c r="C859" s="160"/>
      <c r="D859" s="160"/>
      <c r="E859" s="161" t="s">
        <v>46</v>
      </c>
      <c r="F859" s="161"/>
      <c r="G859" s="162">
        <v>0</v>
      </c>
      <c r="H859" s="79"/>
      <c r="I859" s="79"/>
      <c r="J859" s="79"/>
      <c r="K859" s="79"/>
      <c r="L859" s="79"/>
      <c r="M859" s="79"/>
    </row>
    <row r="860" spans="1:13" ht="15.75" hidden="1" customHeight="1">
      <c r="A860" s="79"/>
      <c r="B860" s="155">
        <v>45863</v>
      </c>
      <c r="C860" s="156">
        <v>0</v>
      </c>
      <c r="D860" s="156">
        <v>13105</v>
      </c>
      <c r="E860" s="157" t="s">
        <v>31</v>
      </c>
      <c r="F860" s="158">
        <v>72507</v>
      </c>
      <c r="G860" s="172">
        <v>232.44</v>
      </c>
      <c r="H860" s="79"/>
      <c r="I860" s="79"/>
      <c r="J860" s="79"/>
      <c r="K860" s="79"/>
      <c r="L860" s="79"/>
      <c r="M860" s="79"/>
    </row>
    <row r="861" spans="1:13" ht="15.75" hidden="1" customHeight="1">
      <c r="A861" s="79"/>
      <c r="B861" s="160"/>
      <c r="C861" s="160"/>
      <c r="D861" s="160"/>
      <c r="E861" s="161" t="s">
        <v>340</v>
      </c>
      <c r="F861" s="161"/>
      <c r="G861" s="162">
        <v>0</v>
      </c>
      <c r="H861" s="79"/>
      <c r="I861" s="79"/>
      <c r="J861" s="79"/>
      <c r="K861" s="79"/>
      <c r="L861" s="79"/>
      <c r="M861" s="79"/>
    </row>
    <row r="862" spans="1:13" ht="15.75" hidden="1" customHeight="1">
      <c r="A862" s="79"/>
      <c r="B862" s="155">
        <v>45863</v>
      </c>
      <c r="C862" s="156">
        <v>0</v>
      </c>
      <c r="D862" s="156">
        <v>13105</v>
      </c>
      <c r="E862" s="157" t="s">
        <v>31</v>
      </c>
      <c r="F862" s="158">
        <v>72508</v>
      </c>
      <c r="G862" s="172">
        <v>244.05</v>
      </c>
      <c r="H862" s="79"/>
      <c r="I862" s="79"/>
      <c r="J862" s="79"/>
      <c r="K862" s="79"/>
      <c r="L862" s="79"/>
      <c r="M862" s="79"/>
    </row>
    <row r="863" spans="1:13" ht="15.75" hidden="1" customHeight="1">
      <c r="A863" s="79"/>
      <c r="B863" s="160"/>
      <c r="C863" s="160"/>
      <c r="D863" s="160"/>
      <c r="E863" s="161" t="s">
        <v>47</v>
      </c>
      <c r="F863" s="161"/>
      <c r="G863" s="162">
        <v>0</v>
      </c>
      <c r="H863" s="79"/>
      <c r="I863" s="79"/>
      <c r="J863" s="79"/>
      <c r="K863" s="79"/>
      <c r="L863" s="79"/>
      <c r="M863" s="79"/>
    </row>
    <row r="864" spans="1:13" ht="15.75" hidden="1" customHeight="1">
      <c r="A864" s="79"/>
      <c r="B864" s="155">
        <v>45863</v>
      </c>
      <c r="C864" s="156">
        <v>0</v>
      </c>
      <c r="D864" s="156">
        <v>13105</v>
      </c>
      <c r="E864" s="157" t="s">
        <v>31</v>
      </c>
      <c r="F864" s="158">
        <v>72509</v>
      </c>
      <c r="G864" s="172">
        <v>555.51</v>
      </c>
      <c r="H864" s="79"/>
      <c r="I864" s="79"/>
      <c r="J864" s="79"/>
      <c r="K864" s="79"/>
      <c r="L864" s="79"/>
      <c r="M864" s="79"/>
    </row>
    <row r="865" spans="1:13" ht="15.75" hidden="1" customHeight="1">
      <c r="A865" s="79"/>
      <c r="B865" s="160"/>
      <c r="C865" s="160"/>
      <c r="D865" s="160"/>
      <c r="E865" s="161" t="s">
        <v>45</v>
      </c>
      <c r="F865" s="161"/>
      <c r="G865" s="162">
        <v>0</v>
      </c>
      <c r="H865" s="79"/>
      <c r="I865" s="79"/>
      <c r="J865" s="79"/>
      <c r="K865" s="79"/>
      <c r="L865" s="79"/>
      <c r="M865" s="79"/>
    </row>
    <row r="866" spans="1:13" ht="15.75" hidden="1" customHeight="1">
      <c r="A866" s="79"/>
      <c r="B866" s="155">
        <v>45863</v>
      </c>
      <c r="C866" s="156">
        <v>0</v>
      </c>
      <c r="D866" s="156">
        <v>13105</v>
      </c>
      <c r="E866" s="157" t="s">
        <v>31</v>
      </c>
      <c r="F866" s="158">
        <v>72510</v>
      </c>
      <c r="G866" s="172">
        <v>348.36</v>
      </c>
      <c r="H866" s="79"/>
      <c r="I866" s="79"/>
      <c r="J866" s="79"/>
      <c r="K866" s="79"/>
      <c r="L866" s="79"/>
      <c r="M866" s="79"/>
    </row>
    <row r="867" spans="1:13" ht="15.75" hidden="1" customHeight="1">
      <c r="A867" s="79"/>
      <c r="B867" s="160"/>
      <c r="C867" s="160"/>
      <c r="D867" s="160"/>
      <c r="E867" s="161" t="s">
        <v>45</v>
      </c>
      <c r="F867" s="161"/>
      <c r="G867" s="162">
        <v>0</v>
      </c>
      <c r="H867" s="79"/>
      <c r="I867" s="79"/>
      <c r="J867" s="79"/>
      <c r="K867" s="79"/>
      <c r="L867" s="79"/>
      <c r="M867" s="79"/>
    </row>
    <row r="868" spans="1:13" ht="15.75" hidden="1" customHeight="1">
      <c r="A868" s="79"/>
      <c r="B868" s="155">
        <v>45863</v>
      </c>
      <c r="C868" s="156">
        <v>0</v>
      </c>
      <c r="D868" s="156">
        <v>13105</v>
      </c>
      <c r="E868" s="157" t="s">
        <v>31</v>
      </c>
      <c r="F868" s="158">
        <v>72511</v>
      </c>
      <c r="G868" s="172">
        <v>242.03</v>
      </c>
      <c r="H868" s="79"/>
      <c r="I868" s="79"/>
      <c r="J868" s="79"/>
      <c r="K868" s="79"/>
      <c r="L868" s="79"/>
      <c r="M868" s="79"/>
    </row>
    <row r="869" spans="1:13" ht="15.75" hidden="1" customHeight="1">
      <c r="A869" s="79"/>
      <c r="B869" s="160"/>
      <c r="C869" s="160"/>
      <c r="D869" s="160"/>
      <c r="E869" s="161" t="s">
        <v>45</v>
      </c>
      <c r="F869" s="161"/>
      <c r="G869" s="162">
        <v>0</v>
      </c>
      <c r="H869" s="79"/>
      <c r="I869" s="79"/>
      <c r="J869" s="79"/>
      <c r="K869" s="79"/>
      <c r="L869" s="79"/>
      <c r="M869" s="79"/>
    </row>
    <row r="870" spans="1:13" ht="15.75" hidden="1" customHeight="1">
      <c r="A870" s="79"/>
      <c r="B870" s="155">
        <v>45863</v>
      </c>
      <c r="C870" s="156">
        <v>0</v>
      </c>
      <c r="D870" s="156">
        <v>13105</v>
      </c>
      <c r="E870" s="157" t="s">
        <v>31</v>
      </c>
      <c r="F870" s="158">
        <v>72512</v>
      </c>
      <c r="G870" s="172">
        <v>247.81</v>
      </c>
      <c r="H870" s="79"/>
      <c r="I870" s="79"/>
      <c r="J870" s="79"/>
      <c r="K870" s="79"/>
      <c r="L870" s="79"/>
      <c r="M870" s="79"/>
    </row>
    <row r="871" spans="1:13" ht="15.75" hidden="1" customHeight="1">
      <c r="A871" s="79"/>
      <c r="B871" s="160"/>
      <c r="C871" s="160"/>
      <c r="D871" s="160"/>
      <c r="E871" s="161" t="s">
        <v>45</v>
      </c>
      <c r="F871" s="161"/>
      <c r="G871" s="162">
        <v>0</v>
      </c>
      <c r="H871" s="79"/>
      <c r="I871" s="79"/>
      <c r="J871" s="79"/>
      <c r="K871" s="79"/>
      <c r="L871" s="79"/>
      <c r="M871" s="79"/>
    </row>
    <row r="872" spans="1:13" ht="15.75" hidden="1" customHeight="1">
      <c r="A872" s="79"/>
      <c r="B872" s="155">
        <v>45863</v>
      </c>
      <c r="C872" s="156">
        <v>0</v>
      </c>
      <c r="D872" s="156">
        <v>13105</v>
      </c>
      <c r="E872" s="157" t="s">
        <v>31</v>
      </c>
      <c r="F872" s="158">
        <v>72513</v>
      </c>
      <c r="G872" s="172">
        <v>783.67</v>
      </c>
      <c r="H872" s="79"/>
      <c r="I872" s="79"/>
      <c r="J872" s="79"/>
      <c r="K872" s="79"/>
      <c r="L872" s="79"/>
      <c r="M872" s="79"/>
    </row>
    <row r="873" spans="1:13" ht="15.75" hidden="1" customHeight="1">
      <c r="A873" s="79"/>
      <c r="B873" s="160"/>
      <c r="C873" s="160"/>
      <c r="D873" s="160"/>
      <c r="E873" s="161" t="s">
        <v>45</v>
      </c>
      <c r="F873" s="161"/>
      <c r="G873" s="162">
        <v>0</v>
      </c>
      <c r="H873" s="79"/>
      <c r="I873" s="79"/>
      <c r="J873" s="79"/>
      <c r="K873" s="79"/>
      <c r="L873" s="79"/>
      <c r="M873" s="79"/>
    </row>
    <row r="874" spans="1:13" ht="15.75" hidden="1" customHeight="1">
      <c r="A874" s="79"/>
      <c r="B874" s="155">
        <v>45863</v>
      </c>
      <c r="C874" s="156">
        <v>0</v>
      </c>
      <c r="D874" s="156">
        <v>13105</v>
      </c>
      <c r="E874" s="157" t="s">
        <v>31</v>
      </c>
      <c r="F874" s="158">
        <v>72514</v>
      </c>
      <c r="G874" s="172">
        <v>459.42</v>
      </c>
      <c r="H874" s="79"/>
      <c r="I874" s="79"/>
      <c r="J874" s="79"/>
      <c r="K874" s="79"/>
      <c r="L874" s="79"/>
      <c r="M874" s="79"/>
    </row>
    <row r="875" spans="1:13" ht="15.75" hidden="1" customHeight="1">
      <c r="A875" s="79"/>
      <c r="B875" s="160"/>
      <c r="C875" s="160"/>
      <c r="D875" s="160"/>
      <c r="E875" s="161" t="s">
        <v>45</v>
      </c>
      <c r="F875" s="161"/>
      <c r="G875" s="162">
        <v>0</v>
      </c>
      <c r="H875" s="79"/>
      <c r="I875" s="79"/>
      <c r="J875" s="79"/>
      <c r="K875" s="79"/>
      <c r="L875" s="79"/>
      <c r="M875" s="79"/>
    </row>
    <row r="876" spans="1:13" ht="15.75" hidden="1" customHeight="1">
      <c r="A876" s="79"/>
      <c r="B876" s="155">
        <v>45863</v>
      </c>
      <c r="C876" s="156">
        <v>0</v>
      </c>
      <c r="D876" s="156">
        <v>13105</v>
      </c>
      <c r="E876" s="157" t="s">
        <v>31</v>
      </c>
      <c r="F876" s="158">
        <v>72515</v>
      </c>
      <c r="G876" s="172">
        <v>330.27</v>
      </c>
      <c r="H876" s="79"/>
      <c r="I876" s="79"/>
      <c r="J876" s="79"/>
      <c r="K876" s="79"/>
      <c r="L876" s="79"/>
      <c r="M876" s="79"/>
    </row>
    <row r="877" spans="1:13" ht="15.75" hidden="1" customHeight="1">
      <c r="A877" s="79"/>
      <c r="B877" s="160"/>
      <c r="C877" s="160"/>
      <c r="D877" s="160"/>
      <c r="E877" s="161" t="s">
        <v>50</v>
      </c>
      <c r="F877" s="161"/>
      <c r="G877" s="162">
        <v>0</v>
      </c>
      <c r="H877" s="79"/>
      <c r="I877" s="79"/>
      <c r="J877" s="79"/>
      <c r="K877" s="79"/>
      <c r="L877" s="79"/>
      <c r="M877" s="79"/>
    </row>
    <row r="878" spans="1:13" ht="15.75" hidden="1" customHeight="1">
      <c r="A878" s="79"/>
      <c r="B878" s="155">
        <v>45863</v>
      </c>
      <c r="C878" s="156">
        <v>0</v>
      </c>
      <c r="D878" s="156">
        <v>13105</v>
      </c>
      <c r="E878" s="157" t="s">
        <v>31</v>
      </c>
      <c r="F878" s="158">
        <v>72516</v>
      </c>
      <c r="G878" s="172">
        <v>636.25</v>
      </c>
      <c r="H878" s="79"/>
      <c r="I878" s="79"/>
      <c r="J878" s="79"/>
      <c r="K878" s="79"/>
      <c r="L878" s="79"/>
      <c r="M878" s="79"/>
    </row>
    <row r="879" spans="1:13" ht="15.75" hidden="1" customHeight="1">
      <c r="A879" s="79"/>
      <c r="B879" s="160"/>
      <c r="C879" s="160"/>
      <c r="D879" s="160"/>
      <c r="E879" s="161" t="s">
        <v>987</v>
      </c>
      <c r="F879" s="161"/>
      <c r="G879" s="162">
        <v>0</v>
      </c>
      <c r="H879" s="79"/>
      <c r="I879" s="79"/>
      <c r="J879" s="79"/>
      <c r="K879" s="79"/>
      <c r="L879" s="79"/>
      <c r="M879" s="79"/>
    </row>
    <row r="880" spans="1:13" ht="15.75" hidden="1" customHeight="1">
      <c r="A880" s="79"/>
      <c r="B880" s="155">
        <v>45863</v>
      </c>
      <c r="C880" s="156">
        <v>0</v>
      </c>
      <c r="D880" s="156">
        <v>0</v>
      </c>
      <c r="E880" s="157" t="s">
        <v>52</v>
      </c>
      <c r="F880" s="158">
        <v>9903</v>
      </c>
      <c r="G880" s="159">
        <v>2866.29</v>
      </c>
      <c r="H880" s="79"/>
      <c r="I880" s="79"/>
      <c r="J880" s="79"/>
      <c r="K880" s="79"/>
      <c r="L880" s="79"/>
      <c r="M880" s="79"/>
    </row>
    <row r="881" spans="1:13" ht="15.75" hidden="1" customHeight="1">
      <c r="A881" s="79"/>
      <c r="B881" s="160"/>
      <c r="C881" s="160"/>
      <c r="D881" s="160"/>
      <c r="E881" s="161" t="s">
        <v>53</v>
      </c>
      <c r="F881" s="161"/>
      <c r="G881" s="162">
        <v>0</v>
      </c>
      <c r="H881" s="79"/>
      <c r="I881" s="79"/>
      <c r="J881" s="79"/>
      <c r="K881" s="79"/>
      <c r="L881" s="79"/>
      <c r="M881" s="79"/>
    </row>
    <row r="882" spans="1:13" ht="15.75" hidden="1" customHeight="1">
      <c r="A882" s="79"/>
      <c r="B882" s="155">
        <v>45866</v>
      </c>
      <c r="C882" s="156">
        <v>0</v>
      </c>
      <c r="D882" s="156">
        <v>14175</v>
      </c>
      <c r="E882" s="157" t="s">
        <v>62</v>
      </c>
      <c r="F882" s="158">
        <v>388874607</v>
      </c>
      <c r="G882" s="159">
        <v>8000</v>
      </c>
      <c r="H882" s="79"/>
      <c r="I882" s="79"/>
      <c r="J882" s="79"/>
      <c r="K882" s="79"/>
      <c r="L882" s="79"/>
      <c r="M882" s="79"/>
    </row>
    <row r="883" spans="1:13" ht="15.75" hidden="1" customHeight="1">
      <c r="A883" s="79"/>
      <c r="B883" s="160"/>
      <c r="C883" s="160"/>
      <c r="D883" s="160"/>
      <c r="E883" s="161" t="s">
        <v>97</v>
      </c>
      <c r="F883" s="161"/>
      <c r="G883" s="162">
        <v>0</v>
      </c>
      <c r="H883" s="79"/>
      <c r="I883" s="79"/>
      <c r="J883" s="79"/>
      <c r="K883" s="79"/>
      <c r="L883" s="79"/>
      <c r="M883" s="79"/>
    </row>
    <row r="884" spans="1:13" ht="15.75" customHeight="1">
      <c r="A884" s="163" t="s">
        <v>140</v>
      </c>
      <c r="B884" s="155">
        <v>45866</v>
      </c>
      <c r="C884" s="156">
        <v>0</v>
      </c>
      <c r="D884" s="156">
        <v>14138</v>
      </c>
      <c r="E884" s="157" t="s">
        <v>141</v>
      </c>
      <c r="F884" s="158">
        <v>202507250003353</v>
      </c>
      <c r="G884" s="159">
        <v>1553.66</v>
      </c>
      <c r="H884" s="79" t="s">
        <v>988</v>
      </c>
      <c r="I884" s="79" t="s">
        <v>595</v>
      </c>
      <c r="J884" s="79"/>
      <c r="K884" s="79"/>
      <c r="L884" s="79"/>
      <c r="M884" s="79"/>
    </row>
    <row r="885" spans="1:13" ht="15.75" hidden="1" customHeight="1">
      <c r="A885" s="79"/>
      <c r="B885" s="160"/>
      <c r="C885" s="160"/>
      <c r="D885" s="160"/>
      <c r="E885" s="161" t="s">
        <v>143</v>
      </c>
      <c r="F885" s="161"/>
      <c r="G885" s="162">
        <v>0</v>
      </c>
      <c r="H885" s="79"/>
      <c r="I885" s="79"/>
      <c r="J885" s="79"/>
      <c r="K885" s="79"/>
      <c r="L885" s="79"/>
      <c r="M885" s="79"/>
    </row>
    <row r="886" spans="1:13" ht="15.75" customHeight="1">
      <c r="A886" s="163" t="s">
        <v>140</v>
      </c>
      <c r="B886" s="155">
        <v>45866</v>
      </c>
      <c r="C886" s="156">
        <v>0</v>
      </c>
      <c r="D886" s="156">
        <v>14138</v>
      </c>
      <c r="E886" s="157" t="s">
        <v>141</v>
      </c>
      <c r="F886" s="158">
        <v>202507250003354</v>
      </c>
      <c r="G886" s="159">
        <v>1476.65</v>
      </c>
      <c r="H886" s="79" t="s">
        <v>989</v>
      </c>
      <c r="I886" s="79" t="s">
        <v>595</v>
      </c>
      <c r="J886" s="79"/>
      <c r="K886" s="79"/>
      <c r="L886" s="79"/>
      <c r="M886" s="79"/>
    </row>
    <row r="887" spans="1:13" ht="15.75" hidden="1" customHeight="1">
      <c r="A887" s="79"/>
      <c r="B887" s="160"/>
      <c r="C887" s="160"/>
      <c r="D887" s="160"/>
      <c r="E887" s="161" t="s">
        <v>143</v>
      </c>
      <c r="F887" s="161"/>
      <c r="G887" s="162">
        <v>0</v>
      </c>
      <c r="H887" s="79"/>
      <c r="I887" s="79"/>
      <c r="J887" s="79"/>
      <c r="K887" s="79"/>
      <c r="L887" s="79"/>
      <c r="M887" s="79"/>
    </row>
    <row r="888" spans="1:13" ht="15.75" customHeight="1">
      <c r="A888" s="163" t="s">
        <v>140</v>
      </c>
      <c r="B888" s="155">
        <v>45866</v>
      </c>
      <c r="C888" s="156">
        <v>0</v>
      </c>
      <c r="D888" s="156">
        <v>14138</v>
      </c>
      <c r="E888" s="157" t="s">
        <v>141</v>
      </c>
      <c r="F888" s="158">
        <v>202507250003355</v>
      </c>
      <c r="G888" s="159">
        <v>1553.66</v>
      </c>
      <c r="H888" s="79" t="s">
        <v>990</v>
      </c>
      <c r="I888" s="79" t="s">
        <v>595</v>
      </c>
      <c r="J888" s="79"/>
      <c r="K888" s="79"/>
      <c r="L888" s="79"/>
      <c r="M888" s="79"/>
    </row>
    <row r="889" spans="1:13" ht="15.75" hidden="1" customHeight="1">
      <c r="A889" s="79"/>
      <c r="B889" s="160"/>
      <c r="C889" s="160"/>
      <c r="D889" s="160"/>
      <c r="E889" s="161" t="s">
        <v>143</v>
      </c>
      <c r="F889" s="161"/>
      <c r="G889" s="162">
        <v>0</v>
      </c>
      <c r="H889" s="79"/>
      <c r="I889" s="79"/>
      <c r="J889" s="79"/>
      <c r="K889" s="79"/>
      <c r="L889" s="79"/>
      <c r="M889" s="79"/>
    </row>
    <row r="890" spans="1:13" ht="15.75" customHeight="1">
      <c r="A890" s="163" t="s">
        <v>140</v>
      </c>
      <c r="B890" s="155">
        <v>45866</v>
      </c>
      <c r="C890" s="156">
        <v>0</v>
      </c>
      <c r="D890" s="156">
        <v>14138</v>
      </c>
      <c r="E890" s="157" t="s">
        <v>141</v>
      </c>
      <c r="F890" s="158">
        <v>202507250003356</v>
      </c>
      <c r="G890" s="159">
        <v>1476.65</v>
      </c>
      <c r="H890" s="79" t="s">
        <v>991</v>
      </c>
      <c r="I890" s="79" t="s">
        <v>595</v>
      </c>
      <c r="J890" s="79"/>
      <c r="K890" s="79"/>
      <c r="L890" s="79"/>
      <c r="M890" s="79"/>
    </row>
    <row r="891" spans="1:13" ht="15.75" hidden="1" customHeight="1">
      <c r="A891" s="79"/>
      <c r="B891" s="160"/>
      <c r="C891" s="160"/>
      <c r="D891" s="160"/>
      <c r="E891" s="161" t="s">
        <v>143</v>
      </c>
      <c r="F891" s="161"/>
      <c r="G891" s="162">
        <v>0</v>
      </c>
      <c r="H891" s="79"/>
      <c r="I891" s="79"/>
      <c r="J891" s="79"/>
      <c r="K891" s="79"/>
      <c r="L891" s="79"/>
      <c r="M891" s="79"/>
    </row>
    <row r="892" spans="1:13" ht="15.75" customHeight="1">
      <c r="A892" s="163" t="s">
        <v>140</v>
      </c>
      <c r="B892" s="155">
        <v>45866</v>
      </c>
      <c r="C892" s="156">
        <v>0</v>
      </c>
      <c r="D892" s="156">
        <v>14138</v>
      </c>
      <c r="E892" s="157" t="s">
        <v>141</v>
      </c>
      <c r="F892" s="158">
        <v>202507250003357</v>
      </c>
      <c r="G892" s="159">
        <v>1553.66</v>
      </c>
      <c r="H892" s="79" t="s">
        <v>992</v>
      </c>
      <c r="I892" s="79" t="s">
        <v>595</v>
      </c>
      <c r="J892" s="79"/>
      <c r="K892" s="79"/>
      <c r="L892" s="79"/>
      <c r="M892" s="79"/>
    </row>
    <row r="893" spans="1:13" ht="15.75" hidden="1" customHeight="1">
      <c r="A893" s="79"/>
      <c r="B893" s="160"/>
      <c r="C893" s="160"/>
      <c r="D893" s="160"/>
      <c r="E893" s="161" t="s">
        <v>143</v>
      </c>
      <c r="F893" s="161"/>
      <c r="G893" s="162">
        <v>0</v>
      </c>
      <c r="H893" s="79"/>
      <c r="I893" s="79"/>
      <c r="J893" s="79"/>
      <c r="K893" s="79"/>
      <c r="L893" s="79"/>
      <c r="M893" s="79"/>
    </row>
    <row r="894" spans="1:13" ht="15.75" customHeight="1">
      <c r="A894" s="163" t="s">
        <v>140</v>
      </c>
      <c r="B894" s="155">
        <v>45866</v>
      </c>
      <c r="C894" s="156">
        <v>0</v>
      </c>
      <c r="D894" s="156">
        <v>14138</v>
      </c>
      <c r="E894" s="157" t="s">
        <v>141</v>
      </c>
      <c r="F894" s="158">
        <v>202507250003358</v>
      </c>
      <c r="G894" s="159">
        <v>1476.65</v>
      </c>
      <c r="H894" s="79" t="s">
        <v>993</v>
      </c>
      <c r="I894" s="79" t="s">
        <v>595</v>
      </c>
      <c r="J894" s="79"/>
      <c r="K894" s="79"/>
      <c r="L894" s="79"/>
      <c r="M894" s="79"/>
    </row>
    <row r="895" spans="1:13" ht="15.75" hidden="1" customHeight="1">
      <c r="A895" s="79"/>
      <c r="B895" s="160"/>
      <c r="C895" s="160"/>
      <c r="D895" s="160"/>
      <c r="E895" s="161" t="s">
        <v>143</v>
      </c>
      <c r="F895" s="161"/>
      <c r="G895" s="162">
        <v>0</v>
      </c>
      <c r="H895" s="79"/>
      <c r="I895" s="79"/>
      <c r="J895" s="79"/>
      <c r="K895" s="79"/>
      <c r="L895" s="79"/>
      <c r="M895" s="79"/>
    </row>
    <row r="896" spans="1:13" ht="15.75" customHeight="1">
      <c r="A896" s="163" t="s">
        <v>140</v>
      </c>
      <c r="B896" s="155">
        <v>45866</v>
      </c>
      <c r="C896" s="156">
        <v>0</v>
      </c>
      <c r="D896" s="156">
        <v>14138</v>
      </c>
      <c r="E896" s="157" t="s">
        <v>141</v>
      </c>
      <c r="F896" s="158">
        <v>202507250003359</v>
      </c>
      <c r="G896" s="159">
        <v>1553.66</v>
      </c>
      <c r="H896" s="79" t="s">
        <v>994</v>
      </c>
      <c r="I896" s="79" t="s">
        <v>595</v>
      </c>
      <c r="J896" s="79"/>
      <c r="K896" s="79"/>
      <c r="L896" s="79"/>
      <c r="M896" s="79"/>
    </row>
    <row r="897" spans="1:13" ht="15.75" hidden="1" customHeight="1">
      <c r="A897" s="79"/>
      <c r="B897" s="160"/>
      <c r="C897" s="160"/>
      <c r="D897" s="160"/>
      <c r="E897" s="161" t="s">
        <v>143</v>
      </c>
      <c r="F897" s="161"/>
      <c r="G897" s="162">
        <v>0</v>
      </c>
      <c r="H897" s="79"/>
      <c r="I897" s="79"/>
      <c r="J897" s="79"/>
      <c r="K897" s="79"/>
      <c r="L897" s="79"/>
      <c r="M897" s="79"/>
    </row>
    <row r="898" spans="1:13" ht="15.75" customHeight="1">
      <c r="A898" s="163" t="s">
        <v>140</v>
      </c>
      <c r="B898" s="155">
        <v>45866</v>
      </c>
      <c r="C898" s="156">
        <v>0</v>
      </c>
      <c r="D898" s="156">
        <v>14138</v>
      </c>
      <c r="E898" s="157" t="s">
        <v>141</v>
      </c>
      <c r="F898" s="158">
        <v>202507250003360</v>
      </c>
      <c r="G898" s="159">
        <v>1476.65</v>
      </c>
      <c r="H898" s="79" t="s">
        <v>995</v>
      </c>
      <c r="I898" s="79" t="s">
        <v>595</v>
      </c>
      <c r="J898" s="79"/>
      <c r="K898" s="79"/>
      <c r="L898" s="79"/>
      <c r="M898" s="79"/>
    </row>
    <row r="899" spans="1:13" ht="15.75" hidden="1" customHeight="1">
      <c r="A899" s="79"/>
      <c r="B899" s="160"/>
      <c r="C899" s="160"/>
      <c r="D899" s="160"/>
      <c r="E899" s="161" t="s">
        <v>143</v>
      </c>
      <c r="F899" s="161"/>
      <c r="G899" s="162">
        <v>0</v>
      </c>
      <c r="H899" s="79"/>
      <c r="I899" s="79"/>
      <c r="J899" s="79"/>
      <c r="K899" s="79"/>
      <c r="L899" s="79"/>
      <c r="M899" s="79"/>
    </row>
    <row r="900" spans="1:13" ht="15.75" customHeight="1">
      <c r="A900" s="163" t="s">
        <v>140</v>
      </c>
      <c r="B900" s="155">
        <v>45866</v>
      </c>
      <c r="C900" s="156">
        <v>0</v>
      </c>
      <c r="D900" s="156">
        <v>14138</v>
      </c>
      <c r="E900" s="157" t="s">
        <v>141</v>
      </c>
      <c r="F900" s="158">
        <v>202507250023868</v>
      </c>
      <c r="G900" s="159">
        <v>495.18</v>
      </c>
      <c r="H900" s="160" t="s">
        <v>996</v>
      </c>
      <c r="I900" s="160" t="s">
        <v>419</v>
      </c>
      <c r="J900" s="79"/>
      <c r="K900" s="79"/>
      <c r="L900" s="79"/>
      <c r="M900" s="79"/>
    </row>
    <row r="901" spans="1:13" ht="15.75" hidden="1" customHeight="1">
      <c r="A901" s="79"/>
      <c r="B901" s="160"/>
      <c r="C901" s="160"/>
      <c r="D901" s="160"/>
      <c r="E901" s="161" t="s">
        <v>143</v>
      </c>
      <c r="F901" s="161"/>
      <c r="G901" s="162">
        <v>0</v>
      </c>
      <c r="H901" s="79"/>
      <c r="I901" s="79"/>
      <c r="J901" s="79"/>
      <c r="K901" s="79"/>
      <c r="L901" s="79"/>
      <c r="M901" s="79"/>
    </row>
    <row r="902" spans="1:13" ht="15.75" customHeight="1">
      <c r="A902" s="163" t="s">
        <v>140</v>
      </c>
      <c r="B902" s="155">
        <v>45866</v>
      </c>
      <c r="C902" s="156">
        <v>0</v>
      </c>
      <c r="D902" s="156">
        <v>14138</v>
      </c>
      <c r="E902" s="157" t="s">
        <v>141</v>
      </c>
      <c r="F902" s="158">
        <v>202507250023869</v>
      </c>
      <c r="G902" s="159">
        <v>609.28</v>
      </c>
      <c r="H902" s="160" t="s">
        <v>997</v>
      </c>
      <c r="I902" s="160" t="s">
        <v>419</v>
      </c>
      <c r="J902" s="79"/>
      <c r="K902" s="79"/>
      <c r="L902" s="79"/>
      <c r="M902" s="79"/>
    </row>
    <row r="903" spans="1:13" ht="15.75" hidden="1" customHeight="1">
      <c r="A903" s="79"/>
      <c r="B903" s="160"/>
      <c r="C903" s="160"/>
      <c r="D903" s="160"/>
      <c r="E903" s="161" t="s">
        <v>143</v>
      </c>
      <c r="F903" s="161"/>
      <c r="G903" s="162">
        <v>0</v>
      </c>
      <c r="H903" s="79"/>
      <c r="I903" s="79"/>
      <c r="J903" s="79"/>
      <c r="K903" s="79"/>
      <c r="L903" s="79"/>
      <c r="M903" s="79"/>
    </row>
    <row r="904" spans="1:13" ht="15.75" customHeight="1">
      <c r="A904" s="163" t="s">
        <v>140</v>
      </c>
      <c r="B904" s="155">
        <v>45866</v>
      </c>
      <c r="C904" s="156">
        <v>0</v>
      </c>
      <c r="D904" s="156">
        <v>14138</v>
      </c>
      <c r="E904" s="157" t="s">
        <v>141</v>
      </c>
      <c r="F904" s="158">
        <v>202507250023870</v>
      </c>
      <c r="G904" s="159">
        <v>5904.11</v>
      </c>
      <c r="H904" s="160" t="s">
        <v>998</v>
      </c>
      <c r="I904" s="160" t="s">
        <v>428</v>
      </c>
      <c r="J904" s="79"/>
      <c r="K904" s="79"/>
      <c r="L904" s="79"/>
      <c r="M904" s="79"/>
    </row>
    <row r="905" spans="1:13" ht="15.75" hidden="1" customHeight="1">
      <c r="A905" s="79"/>
      <c r="B905" s="160"/>
      <c r="C905" s="160"/>
      <c r="D905" s="160"/>
      <c r="E905" s="161" t="s">
        <v>143</v>
      </c>
      <c r="F905" s="161"/>
      <c r="G905" s="162">
        <v>0</v>
      </c>
      <c r="H905" s="79"/>
      <c r="I905" s="79"/>
      <c r="J905" s="79"/>
      <c r="K905" s="79"/>
      <c r="L905" s="79"/>
      <c r="M905" s="79"/>
    </row>
    <row r="906" spans="1:13" ht="15.75" customHeight="1">
      <c r="A906" s="163" t="s">
        <v>140</v>
      </c>
      <c r="B906" s="155">
        <v>45866</v>
      </c>
      <c r="C906" s="156">
        <v>0</v>
      </c>
      <c r="D906" s="156">
        <v>14138</v>
      </c>
      <c r="E906" s="157" t="s">
        <v>141</v>
      </c>
      <c r="F906" s="158">
        <v>202507250023877</v>
      </c>
      <c r="G906" s="159">
        <v>1668.08</v>
      </c>
      <c r="H906" s="79" t="s">
        <v>999</v>
      </c>
      <c r="I906" s="79" t="s">
        <v>428</v>
      </c>
      <c r="J906" s="79"/>
      <c r="K906" s="79"/>
      <c r="L906" s="79"/>
      <c r="M906" s="79"/>
    </row>
    <row r="907" spans="1:13" ht="15.75" hidden="1" customHeight="1">
      <c r="A907" s="79"/>
      <c r="B907" s="160"/>
      <c r="C907" s="160"/>
      <c r="D907" s="160"/>
      <c r="E907" s="161" t="s">
        <v>143</v>
      </c>
      <c r="F907" s="161"/>
      <c r="G907" s="162">
        <v>0</v>
      </c>
      <c r="H907" s="79"/>
      <c r="I907" s="79"/>
      <c r="J907" s="79"/>
      <c r="K907" s="79"/>
      <c r="L907" s="79"/>
      <c r="M907" s="79"/>
    </row>
    <row r="908" spans="1:13" ht="15.75" customHeight="1">
      <c r="A908" s="163" t="s">
        <v>140</v>
      </c>
      <c r="B908" s="155">
        <v>45866</v>
      </c>
      <c r="C908" s="156">
        <v>0</v>
      </c>
      <c r="D908" s="156">
        <v>14138</v>
      </c>
      <c r="E908" s="157" t="s">
        <v>141</v>
      </c>
      <c r="F908" s="158">
        <v>202507250023893</v>
      </c>
      <c r="G908" s="159">
        <v>3539.54</v>
      </c>
      <c r="H908" s="79" t="s">
        <v>1000</v>
      </c>
      <c r="I908" s="79" t="s">
        <v>428</v>
      </c>
      <c r="J908" s="79"/>
      <c r="K908" s="79"/>
      <c r="L908" s="79"/>
      <c r="M908" s="79"/>
    </row>
    <row r="909" spans="1:13" ht="15.75" hidden="1" customHeight="1">
      <c r="A909" s="79"/>
      <c r="B909" s="160"/>
      <c r="C909" s="160"/>
      <c r="D909" s="160"/>
      <c r="E909" s="161" t="s">
        <v>143</v>
      </c>
      <c r="F909" s="161"/>
      <c r="G909" s="162">
        <v>0</v>
      </c>
      <c r="H909" s="79"/>
      <c r="I909" s="79"/>
      <c r="J909" s="79"/>
      <c r="K909" s="79"/>
      <c r="L909" s="79"/>
      <c r="M909" s="79"/>
    </row>
    <row r="910" spans="1:13" ht="15.75" customHeight="1">
      <c r="A910" s="163" t="s">
        <v>140</v>
      </c>
      <c r="B910" s="155">
        <v>45866</v>
      </c>
      <c r="C910" s="156">
        <v>0</v>
      </c>
      <c r="D910" s="156">
        <v>14138</v>
      </c>
      <c r="E910" s="157" t="s">
        <v>141</v>
      </c>
      <c r="F910" s="158">
        <v>202507250023895</v>
      </c>
      <c r="G910" s="159">
        <v>1668.08</v>
      </c>
      <c r="H910" s="160" t="s">
        <v>1001</v>
      </c>
      <c r="I910" s="160" t="s">
        <v>428</v>
      </c>
      <c r="J910" s="79"/>
      <c r="K910" s="79"/>
      <c r="L910" s="79"/>
      <c r="M910" s="79"/>
    </row>
    <row r="911" spans="1:13" ht="15.75" hidden="1" customHeight="1">
      <c r="A911" s="79"/>
      <c r="B911" s="160"/>
      <c r="C911" s="160"/>
      <c r="D911" s="160"/>
      <c r="E911" s="161" t="s">
        <v>143</v>
      </c>
      <c r="F911" s="161"/>
      <c r="G911" s="162">
        <v>0</v>
      </c>
      <c r="H911" s="79"/>
      <c r="I911" s="79"/>
      <c r="J911" s="79"/>
      <c r="K911" s="79"/>
      <c r="L911" s="79"/>
      <c r="M911" s="79"/>
    </row>
    <row r="912" spans="1:13" ht="15.75" hidden="1" customHeight="1">
      <c r="A912" s="79"/>
      <c r="B912" s="155">
        <v>45866</v>
      </c>
      <c r="C912" s="156">
        <v>0</v>
      </c>
      <c r="D912" s="156">
        <v>14397</v>
      </c>
      <c r="E912" s="157" t="s">
        <v>57</v>
      </c>
      <c r="F912" s="158">
        <v>281417464009441</v>
      </c>
      <c r="G912" s="159">
        <v>1394.46</v>
      </c>
      <c r="H912" s="79"/>
      <c r="I912" s="79"/>
      <c r="J912" s="79"/>
      <c r="K912" s="79"/>
      <c r="L912" s="79"/>
      <c r="M912" s="79"/>
    </row>
    <row r="913" spans="1:13" ht="15.75" hidden="1" customHeight="1">
      <c r="A913" s="79"/>
      <c r="B913" s="160"/>
      <c r="C913" s="160"/>
      <c r="D913" s="160"/>
      <c r="E913" s="161" t="s">
        <v>1002</v>
      </c>
      <c r="F913" s="161"/>
      <c r="G913" s="162">
        <v>0</v>
      </c>
      <c r="H913" s="79"/>
      <c r="I913" s="79"/>
      <c r="J913" s="79"/>
      <c r="K913" s="79"/>
      <c r="L913" s="79"/>
      <c r="M913" s="79"/>
    </row>
    <row r="914" spans="1:13" ht="15.75" hidden="1" customHeight="1">
      <c r="A914" s="79"/>
      <c r="B914" s="155">
        <v>45866</v>
      </c>
      <c r="C914" s="156">
        <v>1533</v>
      </c>
      <c r="D914" s="156">
        <v>99008</v>
      </c>
      <c r="E914" s="157" t="s">
        <v>29</v>
      </c>
      <c r="F914" s="158">
        <v>447817</v>
      </c>
      <c r="G914" s="172">
        <v>191.36</v>
      </c>
      <c r="H914" s="79"/>
      <c r="I914" s="79"/>
      <c r="J914" s="79"/>
      <c r="K914" s="79"/>
      <c r="L914" s="79"/>
      <c r="M914" s="79"/>
    </row>
    <row r="915" spans="1:13" ht="15.75" hidden="1" customHeight="1">
      <c r="A915" s="79"/>
      <c r="B915" s="160"/>
      <c r="C915" s="160"/>
      <c r="D915" s="160"/>
      <c r="E915" s="161" t="s">
        <v>1003</v>
      </c>
      <c r="F915" s="161"/>
      <c r="G915" s="162">
        <v>0</v>
      </c>
      <c r="H915" s="79"/>
      <c r="I915" s="79"/>
      <c r="J915" s="79"/>
      <c r="K915" s="79"/>
      <c r="L915" s="79"/>
      <c r="M915" s="79"/>
    </row>
    <row r="916" spans="1:13" ht="15.75" hidden="1" customHeight="1">
      <c r="A916" s="79"/>
      <c r="B916" s="155">
        <v>45866</v>
      </c>
      <c r="C916" s="156">
        <v>1533</v>
      </c>
      <c r="D916" s="156">
        <v>99008</v>
      </c>
      <c r="E916" s="157" t="s">
        <v>29</v>
      </c>
      <c r="F916" s="158">
        <v>846974</v>
      </c>
      <c r="G916" s="172">
        <v>205</v>
      </c>
      <c r="H916" s="79"/>
      <c r="I916" s="79"/>
      <c r="J916" s="79"/>
      <c r="K916" s="79"/>
      <c r="L916" s="79"/>
      <c r="M916" s="79"/>
    </row>
    <row r="917" spans="1:13" ht="15.75" hidden="1" customHeight="1">
      <c r="A917" s="79"/>
      <c r="B917" s="160"/>
      <c r="C917" s="160"/>
      <c r="D917" s="160"/>
      <c r="E917" s="161" t="s">
        <v>1004</v>
      </c>
      <c r="F917" s="161"/>
      <c r="G917" s="162">
        <v>0</v>
      </c>
      <c r="H917" s="79"/>
      <c r="I917" s="79"/>
      <c r="J917" s="79"/>
      <c r="K917" s="79"/>
      <c r="L917" s="79"/>
      <c r="M917" s="79"/>
    </row>
    <row r="918" spans="1:13" ht="15.75" hidden="1" customHeight="1">
      <c r="A918" s="79"/>
      <c r="B918" s="155">
        <v>45866</v>
      </c>
      <c r="C918" s="156">
        <v>1533</v>
      </c>
      <c r="D918" s="156">
        <v>99008</v>
      </c>
      <c r="E918" s="157" t="s">
        <v>29</v>
      </c>
      <c r="F918" s="158">
        <v>901255</v>
      </c>
      <c r="G918" s="172">
        <v>180.01</v>
      </c>
      <c r="H918" s="79"/>
      <c r="I918" s="79"/>
      <c r="J918" s="79"/>
      <c r="K918" s="79"/>
      <c r="L918" s="79"/>
      <c r="M918" s="79"/>
    </row>
    <row r="919" spans="1:13" ht="15.75" hidden="1" customHeight="1">
      <c r="A919" s="79"/>
      <c r="B919" s="160"/>
      <c r="C919" s="160"/>
      <c r="D919" s="160"/>
      <c r="E919" s="161" t="s">
        <v>1005</v>
      </c>
      <c r="F919" s="161"/>
      <c r="G919" s="162">
        <v>0</v>
      </c>
      <c r="H919" s="79"/>
      <c r="I919" s="79"/>
      <c r="J919" s="79"/>
      <c r="K919" s="79"/>
      <c r="L919" s="79"/>
      <c r="M919" s="79"/>
    </row>
    <row r="920" spans="1:13" ht="15.75" hidden="1" customHeight="1">
      <c r="A920" s="79"/>
      <c r="B920" s="155">
        <v>45866</v>
      </c>
      <c r="C920" s="156">
        <v>1533</v>
      </c>
      <c r="D920" s="156">
        <v>99008</v>
      </c>
      <c r="E920" s="157" t="s">
        <v>29</v>
      </c>
      <c r="F920" s="158">
        <v>988492</v>
      </c>
      <c r="G920" s="172">
        <v>70</v>
      </c>
      <c r="H920" s="79"/>
      <c r="I920" s="79"/>
      <c r="J920" s="79"/>
      <c r="K920" s="79"/>
      <c r="L920" s="79"/>
      <c r="M920" s="79"/>
    </row>
    <row r="921" spans="1:13" ht="15.75" hidden="1" customHeight="1">
      <c r="A921" s="79"/>
      <c r="B921" s="160"/>
      <c r="C921" s="160"/>
      <c r="D921" s="160"/>
      <c r="E921" s="161" t="s">
        <v>1006</v>
      </c>
      <c r="F921" s="161"/>
      <c r="G921" s="162">
        <v>0</v>
      </c>
      <c r="H921" s="79"/>
      <c r="I921" s="79"/>
      <c r="J921" s="79"/>
      <c r="K921" s="79"/>
      <c r="L921" s="79"/>
      <c r="M921" s="79"/>
    </row>
    <row r="922" spans="1:13" ht="15.75" hidden="1" customHeight="1">
      <c r="A922" s="79"/>
      <c r="B922" s="155">
        <v>45866</v>
      </c>
      <c r="C922" s="156">
        <v>0</v>
      </c>
      <c r="D922" s="156">
        <v>13105</v>
      </c>
      <c r="E922" s="157" t="s">
        <v>31</v>
      </c>
      <c r="F922" s="158">
        <v>72801</v>
      </c>
      <c r="G922" s="172">
        <v>4890</v>
      </c>
      <c r="H922" s="79"/>
      <c r="I922" s="79"/>
      <c r="J922" s="79"/>
      <c r="K922" s="79"/>
      <c r="L922" s="79"/>
      <c r="M922" s="79"/>
    </row>
    <row r="923" spans="1:13" ht="15.75" hidden="1" customHeight="1">
      <c r="A923" s="79"/>
      <c r="B923" s="160"/>
      <c r="C923" s="160"/>
      <c r="D923" s="160"/>
      <c r="E923" s="161" t="s">
        <v>32</v>
      </c>
      <c r="F923" s="161"/>
      <c r="G923" s="162">
        <v>0</v>
      </c>
      <c r="H923" s="79"/>
      <c r="I923" s="79"/>
      <c r="J923" s="79"/>
      <c r="K923" s="79"/>
      <c r="L923" s="79"/>
      <c r="M923" s="79"/>
    </row>
    <row r="924" spans="1:13" ht="15.75" hidden="1" customHeight="1">
      <c r="A924" s="79"/>
      <c r="B924" s="155">
        <v>45866</v>
      </c>
      <c r="C924" s="156">
        <v>0</v>
      </c>
      <c r="D924" s="156">
        <v>13105</v>
      </c>
      <c r="E924" s="157" t="s">
        <v>31</v>
      </c>
      <c r="F924" s="158">
        <v>72802</v>
      </c>
      <c r="G924" s="172">
        <v>900.77</v>
      </c>
      <c r="H924" s="79"/>
      <c r="I924" s="79"/>
      <c r="J924" s="79"/>
      <c r="K924" s="79"/>
      <c r="L924" s="79"/>
      <c r="M924" s="79"/>
    </row>
    <row r="925" spans="1:13" ht="15.75" hidden="1" customHeight="1">
      <c r="A925" s="79"/>
      <c r="B925" s="160"/>
      <c r="C925" s="160"/>
      <c r="D925" s="160"/>
      <c r="E925" s="161" t="s">
        <v>66</v>
      </c>
      <c r="F925" s="161"/>
      <c r="G925" s="162">
        <v>0</v>
      </c>
      <c r="H925" s="79"/>
      <c r="I925" s="79"/>
      <c r="J925" s="79"/>
      <c r="K925" s="79"/>
      <c r="L925" s="79"/>
      <c r="M925" s="79"/>
    </row>
    <row r="926" spans="1:13" ht="15.75" hidden="1" customHeight="1">
      <c r="A926" s="79"/>
      <c r="B926" s="155">
        <v>45866</v>
      </c>
      <c r="C926" s="156">
        <v>0</v>
      </c>
      <c r="D926" s="156">
        <v>13105</v>
      </c>
      <c r="E926" s="157" t="s">
        <v>31</v>
      </c>
      <c r="F926" s="158">
        <v>72803</v>
      </c>
      <c r="G926" s="172">
        <v>106.52</v>
      </c>
      <c r="H926" s="79"/>
      <c r="I926" s="79"/>
      <c r="J926" s="79"/>
      <c r="K926" s="79"/>
      <c r="L926" s="79"/>
      <c r="M926" s="79"/>
    </row>
    <row r="927" spans="1:13" ht="15.75" hidden="1" customHeight="1">
      <c r="A927" s="79"/>
      <c r="B927" s="160"/>
      <c r="C927" s="160"/>
      <c r="D927" s="160"/>
      <c r="E927" s="161" t="s">
        <v>66</v>
      </c>
      <c r="F927" s="161"/>
      <c r="G927" s="162">
        <v>0</v>
      </c>
      <c r="H927" s="79"/>
      <c r="I927" s="79"/>
      <c r="J927" s="79"/>
      <c r="K927" s="79"/>
      <c r="L927" s="79"/>
      <c r="M927" s="79"/>
    </row>
    <row r="928" spans="1:13" ht="15.75" hidden="1" customHeight="1">
      <c r="A928" s="79"/>
      <c r="B928" s="155">
        <v>45866</v>
      </c>
      <c r="C928" s="156">
        <v>0</v>
      </c>
      <c r="D928" s="156">
        <v>13105</v>
      </c>
      <c r="E928" s="157" t="s">
        <v>31</v>
      </c>
      <c r="F928" s="158">
        <v>72804</v>
      </c>
      <c r="G928" s="172">
        <v>399.6</v>
      </c>
      <c r="H928" s="79"/>
      <c r="I928" s="79"/>
      <c r="J928" s="79"/>
      <c r="K928" s="79"/>
      <c r="L928" s="79"/>
      <c r="M928" s="79"/>
    </row>
    <row r="929" spans="1:13" ht="15.75" hidden="1" customHeight="1">
      <c r="A929" s="79"/>
      <c r="B929" s="160"/>
      <c r="C929" s="160"/>
      <c r="D929" s="160"/>
      <c r="E929" s="161" t="s">
        <v>41</v>
      </c>
      <c r="F929" s="161"/>
      <c r="G929" s="162">
        <v>0</v>
      </c>
      <c r="H929" s="79"/>
      <c r="I929" s="79"/>
      <c r="J929" s="79"/>
      <c r="K929" s="79"/>
      <c r="L929" s="79"/>
      <c r="M929" s="79"/>
    </row>
    <row r="930" spans="1:13" ht="15.75" hidden="1" customHeight="1">
      <c r="A930" s="79"/>
      <c r="B930" s="155">
        <v>45866</v>
      </c>
      <c r="C930" s="156">
        <v>0</v>
      </c>
      <c r="D930" s="156">
        <v>13105</v>
      </c>
      <c r="E930" s="157" t="s">
        <v>31</v>
      </c>
      <c r="F930" s="158">
        <v>72805</v>
      </c>
      <c r="G930" s="172">
        <v>289.8</v>
      </c>
      <c r="H930" s="79"/>
      <c r="I930" s="79"/>
      <c r="J930" s="79"/>
      <c r="K930" s="79"/>
      <c r="L930" s="79"/>
      <c r="M930" s="79"/>
    </row>
    <row r="931" spans="1:13" ht="15.75" hidden="1" customHeight="1">
      <c r="A931" s="79"/>
      <c r="B931" s="160"/>
      <c r="C931" s="160"/>
      <c r="D931" s="160"/>
      <c r="E931" s="161" t="s">
        <v>41</v>
      </c>
      <c r="F931" s="161"/>
      <c r="G931" s="162">
        <v>0</v>
      </c>
      <c r="H931" s="79"/>
      <c r="I931" s="79"/>
      <c r="J931" s="79"/>
      <c r="K931" s="79"/>
      <c r="L931" s="79"/>
      <c r="M931" s="79"/>
    </row>
    <row r="932" spans="1:13" ht="15.75" hidden="1" customHeight="1">
      <c r="A932" s="79"/>
      <c r="B932" s="155">
        <v>45866</v>
      </c>
      <c r="C932" s="156">
        <v>0</v>
      </c>
      <c r="D932" s="156">
        <v>13105</v>
      </c>
      <c r="E932" s="157" t="s">
        <v>31</v>
      </c>
      <c r="F932" s="158">
        <v>72806</v>
      </c>
      <c r="G932" s="172">
        <v>187.7</v>
      </c>
      <c r="H932" s="79"/>
      <c r="I932" s="79"/>
      <c r="J932" s="79"/>
      <c r="K932" s="79"/>
      <c r="L932" s="79"/>
      <c r="M932" s="79"/>
    </row>
    <row r="933" spans="1:13" ht="15.75" hidden="1" customHeight="1">
      <c r="A933" s="79"/>
      <c r="B933" s="160"/>
      <c r="C933" s="160"/>
      <c r="D933" s="160"/>
      <c r="E933" s="161" t="s">
        <v>51</v>
      </c>
      <c r="F933" s="161"/>
      <c r="G933" s="162">
        <v>0</v>
      </c>
      <c r="H933" s="79"/>
      <c r="I933" s="79"/>
      <c r="J933" s="79"/>
      <c r="K933" s="79"/>
      <c r="L933" s="79"/>
      <c r="M933" s="79"/>
    </row>
    <row r="934" spans="1:13" ht="15.75" hidden="1" customHeight="1">
      <c r="A934" s="79"/>
      <c r="B934" s="155">
        <v>45866</v>
      </c>
      <c r="C934" s="156">
        <v>0</v>
      </c>
      <c r="D934" s="156">
        <v>13105</v>
      </c>
      <c r="E934" s="157" t="s">
        <v>31</v>
      </c>
      <c r="F934" s="158">
        <v>72807</v>
      </c>
      <c r="G934" s="172">
        <v>3427.04</v>
      </c>
      <c r="H934" s="79"/>
      <c r="I934" s="79"/>
      <c r="J934" s="79"/>
      <c r="K934" s="79"/>
      <c r="L934" s="79"/>
      <c r="M934" s="79"/>
    </row>
    <row r="935" spans="1:13" ht="15.75" hidden="1" customHeight="1">
      <c r="A935" s="79"/>
      <c r="B935" s="160"/>
      <c r="C935" s="160"/>
      <c r="D935" s="160"/>
      <c r="E935" s="161" t="s">
        <v>65</v>
      </c>
      <c r="F935" s="161"/>
      <c r="G935" s="162">
        <v>0</v>
      </c>
      <c r="H935" s="79"/>
      <c r="I935" s="79"/>
      <c r="J935" s="79"/>
      <c r="K935" s="79"/>
      <c r="L935" s="79"/>
      <c r="M935" s="79"/>
    </row>
    <row r="936" spans="1:13" ht="15.75" hidden="1" customHeight="1">
      <c r="A936" s="79"/>
      <c r="B936" s="155">
        <v>45866</v>
      </c>
      <c r="C936" s="156">
        <v>0</v>
      </c>
      <c r="D936" s="156">
        <v>13105</v>
      </c>
      <c r="E936" s="157" t="s">
        <v>31</v>
      </c>
      <c r="F936" s="158">
        <v>72808</v>
      </c>
      <c r="G936" s="172">
        <v>1883.34</v>
      </c>
      <c r="H936" s="79"/>
      <c r="I936" s="79"/>
      <c r="J936" s="79"/>
      <c r="K936" s="79"/>
      <c r="L936" s="79"/>
      <c r="M936" s="79"/>
    </row>
    <row r="937" spans="1:13" ht="15.75" hidden="1" customHeight="1">
      <c r="A937" s="79"/>
      <c r="B937" s="160"/>
      <c r="C937" s="160"/>
      <c r="D937" s="160"/>
      <c r="E937" s="161" t="s">
        <v>65</v>
      </c>
      <c r="F937" s="161"/>
      <c r="G937" s="162">
        <v>0</v>
      </c>
      <c r="H937" s="79"/>
      <c r="I937" s="79"/>
      <c r="J937" s="79"/>
      <c r="K937" s="79"/>
      <c r="L937" s="79"/>
      <c r="M937" s="79"/>
    </row>
    <row r="938" spans="1:13" ht="15.75" hidden="1" customHeight="1">
      <c r="A938" s="79"/>
      <c r="B938" s="155">
        <v>45866</v>
      </c>
      <c r="C938" s="156">
        <v>0</v>
      </c>
      <c r="D938" s="156">
        <v>13105</v>
      </c>
      <c r="E938" s="157" t="s">
        <v>31</v>
      </c>
      <c r="F938" s="158">
        <v>72809</v>
      </c>
      <c r="G938" s="172">
        <v>1991.13</v>
      </c>
      <c r="H938" s="79"/>
      <c r="I938" s="79"/>
      <c r="J938" s="79"/>
      <c r="K938" s="79"/>
      <c r="L938" s="79"/>
      <c r="M938" s="79"/>
    </row>
    <row r="939" spans="1:13" ht="15.75" hidden="1" customHeight="1">
      <c r="A939" s="79"/>
      <c r="B939" s="160"/>
      <c r="C939" s="160"/>
      <c r="D939" s="160"/>
      <c r="E939" s="161" t="s">
        <v>65</v>
      </c>
      <c r="F939" s="161"/>
      <c r="G939" s="162">
        <v>0</v>
      </c>
      <c r="H939" s="79"/>
      <c r="I939" s="79"/>
      <c r="J939" s="79"/>
      <c r="K939" s="79"/>
      <c r="L939" s="79"/>
      <c r="M939" s="79"/>
    </row>
    <row r="940" spans="1:13" ht="15.75" hidden="1" customHeight="1">
      <c r="A940" s="79"/>
      <c r="B940" s="155">
        <v>45866</v>
      </c>
      <c r="C940" s="156">
        <v>0</v>
      </c>
      <c r="D940" s="156">
        <v>13105</v>
      </c>
      <c r="E940" s="157" t="s">
        <v>31</v>
      </c>
      <c r="F940" s="158">
        <v>72810</v>
      </c>
      <c r="G940" s="172">
        <v>776.45</v>
      </c>
      <c r="H940" s="79"/>
      <c r="I940" s="79"/>
      <c r="J940" s="79"/>
      <c r="K940" s="79"/>
      <c r="L940" s="79"/>
      <c r="M940" s="79"/>
    </row>
    <row r="941" spans="1:13" ht="15.75" hidden="1" customHeight="1">
      <c r="A941" s="79"/>
      <c r="B941" s="160"/>
      <c r="C941" s="160"/>
      <c r="D941" s="160"/>
      <c r="E941" s="161" t="s">
        <v>65</v>
      </c>
      <c r="F941" s="161"/>
      <c r="G941" s="162">
        <v>0</v>
      </c>
      <c r="H941" s="79"/>
      <c r="I941" s="79"/>
      <c r="J941" s="79"/>
      <c r="K941" s="79"/>
      <c r="L941" s="79"/>
      <c r="M941" s="79"/>
    </row>
    <row r="942" spans="1:13" ht="15.75" hidden="1" customHeight="1">
      <c r="A942" s="79"/>
      <c r="B942" s="155">
        <v>45866</v>
      </c>
      <c r="C942" s="156">
        <v>0</v>
      </c>
      <c r="D942" s="156">
        <v>13105</v>
      </c>
      <c r="E942" s="157" t="s">
        <v>31</v>
      </c>
      <c r="F942" s="158">
        <v>72811</v>
      </c>
      <c r="G942" s="172">
        <v>1636.66</v>
      </c>
      <c r="H942" s="79"/>
      <c r="I942" s="79"/>
      <c r="J942" s="79"/>
      <c r="K942" s="79"/>
      <c r="L942" s="79"/>
      <c r="M942" s="79"/>
    </row>
    <row r="943" spans="1:13" ht="15.75" hidden="1" customHeight="1">
      <c r="A943" s="79"/>
      <c r="B943" s="160"/>
      <c r="C943" s="160"/>
      <c r="D943" s="160"/>
      <c r="E943" s="161" t="s">
        <v>71</v>
      </c>
      <c r="F943" s="161"/>
      <c r="G943" s="162">
        <v>0</v>
      </c>
      <c r="H943" s="79"/>
      <c r="I943" s="79"/>
      <c r="J943" s="79"/>
      <c r="K943" s="79"/>
      <c r="L943" s="79"/>
      <c r="M943" s="79"/>
    </row>
    <row r="944" spans="1:13" ht="15.75" hidden="1" customHeight="1">
      <c r="A944" s="79"/>
      <c r="B944" s="155">
        <v>45866</v>
      </c>
      <c r="C944" s="156">
        <v>0</v>
      </c>
      <c r="D944" s="156">
        <v>13105</v>
      </c>
      <c r="E944" s="157" t="s">
        <v>31</v>
      </c>
      <c r="F944" s="158">
        <v>72812</v>
      </c>
      <c r="G944" s="172">
        <v>1898.25</v>
      </c>
      <c r="H944" s="79"/>
      <c r="I944" s="79"/>
      <c r="J944" s="79"/>
      <c r="K944" s="79"/>
      <c r="L944" s="79"/>
      <c r="M944" s="79"/>
    </row>
    <row r="945" spans="1:13" ht="15.75" hidden="1" customHeight="1">
      <c r="A945" s="79"/>
      <c r="B945" s="160"/>
      <c r="C945" s="160"/>
      <c r="D945" s="160"/>
      <c r="E945" s="161" t="s">
        <v>55</v>
      </c>
      <c r="F945" s="161"/>
      <c r="G945" s="162">
        <v>0</v>
      </c>
      <c r="H945" s="79"/>
      <c r="I945" s="79"/>
      <c r="J945" s="79"/>
      <c r="K945" s="79"/>
      <c r="L945" s="79"/>
      <c r="M945" s="79"/>
    </row>
    <row r="946" spans="1:13" ht="15.75" hidden="1" customHeight="1">
      <c r="A946" s="79"/>
      <c r="B946" s="155">
        <v>45866</v>
      </c>
      <c r="C946" s="156">
        <v>0</v>
      </c>
      <c r="D946" s="156">
        <v>13105</v>
      </c>
      <c r="E946" s="157" t="s">
        <v>31</v>
      </c>
      <c r="F946" s="158">
        <v>72813</v>
      </c>
      <c r="G946" s="172">
        <v>2002.4</v>
      </c>
      <c r="H946" s="79"/>
      <c r="I946" s="79"/>
      <c r="J946" s="79"/>
      <c r="K946" s="79"/>
      <c r="L946" s="79"/>
      <c r="M946" s="79"/>
    </row>
    <row r="947" spans="1:13" ht="15.75" hidden="1" customHeight="1">
      <c r="A947" s="79"/>
      <c r="B947" s="160"/>
      <c r="C947" s="160"/>
      <c r="D947" s="160"/>
      <c r="E947" s="161" t="s">
        <v>348</v>
      </c>
      <c r="F947" s="161"/>
      <c r="G947" s="162">
        <v>0</v>
      </c>
      <c r="H947" s="79"/>
      <c r="I947" s="79"/>
      <c r="J947" s="79"/>
      <c r="K947" s="79"/>
      <c r="L947" s="79"/>
      <c r="M947" s="79"/>
    </row>
    <row r="948" spans="1:13" ht="15.75" hidden="1" customHeight="1">
      <c r="A948" s="79"/>
      <c r="B948" s="155">
        <v>45866</v>
      </c>
      <c r="C948" s="156">
        <v>0</v>
      </c>
      <c r="D948" s="156">
        <v>13105</v>
      </c>
      <c r="E948" s="157" t="s">
        <v>31</v>
      </c>
      <c r="F948" s="158">
        <v>72814</v>
      </c>
      <c r="G948" s="172">
        <v>4020</v>
      </c>
      <c r="H948" s="79"/>
      <c r="I948" s="79"/>
      <c r="J948" s="79"/>
      <c r="K948" s="79"/>
      <c r="L948" s="79"/>
      <c r="M948" s="79"/>
    </row>
    <row r="949" spans="1:13" ht="15.75" hidden="1" customHeight="1">
      <c r="A949" s="79"/>
      <c r="B949" s="160"/>
      <c r="C949" s="160"/>
      <c r="D949" s="160"/>
      <c r="E949" s="161" t="s">
        <v>530</v>
      </c>
      <c r="F949" s="161"/>
      <c r="G949" s="162">
        <v>0</v>
      </c>
      <c r="H949" s="79"/>
      <c r="I949" s="79"/>
      <c r="J949" s="79"/>
      <c r="K949" s="79"/>
      <c r="L949" s="79"/>
      <c r="M949" s="79"/>
    </row>
    <row r="950" spans="1:13" ht="15.75" hidden="1" customHeight="1">
      <c r="A950" s="79"/>
      <c r="B950" s="155">
        <v>45866</v>
      </c>
      <c r="C950" s="156">
        <v>0</v>
      </c>
      <c r="D950" s="156">
        <v>13105</v>
      </c>
      <c r="E950" s="157" t="s">
        <v>31</v>
      </c>
      <c r="F950" s="158">
        <v>72815</v>
      </c>
      <c r="G950" s="172">
        <v>5101.0200000000004</v>
      </c>
      <c r="H950" s="79"/>
      <c r="I950" s="79"/>
      <c r="J950" s="79"/>
      <c r="K950" s="79"/>
      <c r="L950" s="79"/>
      <c r="M950" s="79"/>
    </row>
    <row r="951" spans="1:13" ht="15.75" hidden="1" customHeight="1">
      <c r="A951" s="79"/>
      <c r="B951" s="160"/>
      <c r="C951" s="160"/>
      <c r="D951" s="160"/>
      <c r="E951" s="161" t="s">
        <v>362</v>
      </c>
      <c r="F951" s="161"/>
      <c r="G951" s="162">
        <v>0</v>
      </c>
      <c r="H951" s="79"/>
      <c r="I951" s="79"/>
      <c r="J951" s="79"/>
      <c r="K951" s="79"/>
      <c r="L951" s="79"/>
      <c r="M951" s="79"/>
    </row>
    <row r="952" spans="1:13" ht="15.75" hidden="1" customHeight="1">
      <c r="A952" s="79"/>
      <c r="B952" s="155">
        <v>45866</v>
      </c>
      <c r="C952" s="156">
        <v>0</v>
      </c>
      <c r="D952" s="156">
        <v>13105</v>
      </c>
      <c r="E952" s="157" t="s">
        <v>31</v>
      </c>
      <c r="F952" s="158">
        <v>72816</v>
      </c>
      <c r="G952" s="172">
        <v>2035</v>
      </c>
      <c r="H952" s="79"/>
      <c r="I952" s="79"/>
      <c r="J952" s="79"/>
      <c r="K952" s="79"/>
      <c r="L952" s="79"/>
      <c r="M952" s="79"/>
    </row>
    <row r="953" spans="1:13" ht="15.75" hidden="1" customHeight="1">
      <c r="A953" s="79"/>
      <c r="B953" s="160"/>
      <c r="C953" s="160"/>
      <c r="D953" s="160"/>
      <c r="E953" s="161" t="s">
        <v>1007</v>
      </c>
      <c r="F953" s="161"/>
      <c r="G953" s="162">
        <v>0</v>
      </c>
      <c r="H953" s="79"/>
      <c r="I953" s="79"/>
      <c r="J953" s="79"/>
      <c r="K953" s="79"/>
      <c r="L953" s="79"/>
      <c r="M953" s="79"/>
    </row>
    <row r="954" spans="1:13" ht="15.75" hidden="1" customHeight="1">
      <c r="A954" s="79"/>
      <c r="B954" s="155">
        <v>45866</v>
      </c>
      <c r="C954" s="156">
        <v>0</v>
      </c>
      <c r="D954" s="156">
        <v>13105</v>
      </c>
      <c r="E954" s="157" t="s">
        <v>31</v>
      </c>
      <c r="F954" s="158">
        <v>72817</v>
      </c>
      <c r="G954" s="172">
        <v>649.6</v>
      </c>
      <c r="H954" s="79"/>
      <c r="I954" s="79"/>
      <c r="J954" s="79"/>
      <c r="K954" s="79"/>
      <c r="L954" s="79"/>
      <c r="M954" s="79"/>
    </row>
    <row r="955" spans="1:13" ht="15.75" hidden="1" customHeight="1">
      <c r="A955" s="79"/>
      <c r="B955" s="160"/>
      <c r="C955" s="160"/>
      <c r="D955" s="160"/>
      <c r="E955" s="161" t="s">
        <v>165</v>
      </c>
      <c r="F955" s="161"/>
      <c r="G955" s="162">
        <v>0</v>
      </c>
      <c r="H955" s="79"/>
      <c r="I955" s="79"/>
      <c r="J955" s="79"/>
      <c r="K955" s="79"/>
      <c r="L955" s="79"/>
      <c r="M955" s="79"/>
    </row>
    <row r="956" spans="1:13" ht="15.75" hidden="1" customHeight="1">
      <c r="A956" s="79"/>
      <c r="B956" s="155">
        <v>45866</v>
      </c>
      <c r="C956" s="156">
        <v>0</v>
      </c>
      <c r="D956" s="156">
        <v>13105</v>
      </c>
      <c r="E956" s="157" t="s">
        <v>31</v>
      </c>
      <c r="F956" s="158">
        <v>72818</v>
      </c>
      <c r="G956" s="172">
        <v>368.29</v>
      </c>
      <c r="H956" s="79"/>
      <c r="I956" s="79"/>
      <c r="J956" s="79"/>
      <c r="K956" s="79"/>
      <c r="L956" s="79"/>
      <c r="M956" s="79"/>
    </row>
    <row r="957" spans="1:13" ht="15.75" hidden="1" customHeight="1">
      <c r="A957" s="79"/>
      <c r="B957" s="160"/>
      <c r="C957" s="160"/>
      <c r="D957" s="160"/>
      <c r="E957" s="161" t="s">
        <v>45</v>
      </c>
      <c r="F957" s="161"/>
      <c r="G957" s="162">
        <v>0</v>
      </c>
      <c r="H957" s="79"/>
      <c r="I957" s="79"/>
      <c r="J957" s="79"/>
      <c r="K957" s="79"/>
      <c r="L957" s="79"/>
      <c r="M957" s="79"/>
    </row>
    <row r="958" spans="1:13" ht="15.75" hidden="1" customHeight="1">
      <c r="A958" s="79"/>
      <c r="B958" s="155">
        <v>45866</v>
      </c>
      <c r="C958" s="156">
        <v>0</v>
      </c>
      <c r="D958" s="156">
        <v>13105</v>
      </c>
      <c r="E958" s="157" t="s">
        <v>31</v>
      </c>
      <c r="F958" s="158">
        <v>72819</v>
      </c>
      <c r="G958" s="172">
        <v>330.29</v>
      </c>
      <c r="H958" s="79"/>
      <c r="I958" s="79"/>
      <c r="J958" s="79"/>
      <c r="K958" s="79"/>
      <c r="L958" s="79"/>
      <c r="M958" s="79"/>
    </row>
    <row r="959" spans="1:13" ht="15.75" hidden="1" customHeight="1">
      <c r="A959" s="79"/>
      <c r="B959" s="160"/>
      <c r="C959" s="160"/>
      <c r="D959" s="160"/>
      <c r="E959" s="161" t="s">
        <v>50</v>
      </c>
      <c r="F959" s="161"/>
      <c r="G959" s="162">
        <v>0</v>
      </c>
      <c r="H959" s="79"/>
      <c r="I959" s="79"/>
      <c r="J959" s="79"/>
      <c r="K959" s="79"/>
      <c r="L959" s="79"/>
      <c r="M959" s="79"/>
    </row>
    <row r="960" spans="1:13" ht="15.75" hidden="1" customHeight="1">
      <c r="A960" s="79"/>
      <c r="B960" s="155">
        <v>45866</v>
      </c>
      <c r="C960" s="156">
        <v>0</v>
      </c>
      <c r="D960" s="156">
        <v>13105</v>
      </c>
      <c r="E960" s="157" t="s">
        <v>31</v>
      </c>
      <c r="F960" s="158">
        <v>72820</v>
      </c>
      <c r="G960" s="172">
        <v>502.6</v>
      </c>
      <c r="H960" s="79"/>
      <c r="I960" s="79"/>
      <c r="J960" s="79"/>
      <c r="K960" s="79"/>
      <c r="L960" s="79"/>
      <c r="M960" s="79"/>
    </row>
    <row r="961" spans="1:13" ht="15.75" hidden="1" customHeight="1">
      <c r="A961" s="79"/>
      <c r="B961" s="160"/>
      <c r="C961" s="160"/>
      <c r="D961" s="160"/>
      <c r="E961" s="161" t="s">
        <v>46</v>
      </c>
      <c r="F961" s="161"/>
      <c r="G961" s="162">
        <v>0</v>
      </c>
      <c r="H961" s="79"/>
      <c r="I961" s="79"/>
      <c r="J961" s="79"/>
      <c r="K961" s="79"/>
      <c r="L961" s="79"/>
      <c r="M961" s="79"/>
    </row>
    <row r="962" spans="1:13" ht="15.75" hidden="1" customHeight="1">
      <c r="A962" s="79"/>
      <c r="B962" s="155">
        <v>45866</v>
      </c>
      <c r="C962" s="156">
        <v>0</v>
      </c>
      <c r="D962" s="156">
        <v>13105</v>
      </c>
      <c r="E962" s="157" t="s">
        <v>31</v>
      </c>
      <c r="F962" s="158">
        <v>72821</v>
      </c>
      <c r="G962" s="172">
        <v>489.45</v>
      </c>
      <c r="H962" s="79"/>
      <c r="I962" s="79"/>
      <c r="J962" s="79"/>
      <c r="K962" s="79"/>
      <c r="L962" s="79"/>
      <c r="M962" s="79"/>
    </row>
    <row r="963" spans="1:13" ht="15.75" hidden="1" customHeight="1">
      <c r="A963" s="79"/>
      <c r="B963" s="160"/>
      <c r="C963" s="160"/>
      <c r="D963" s="160"/>
      <c r="E963" s="161" t="s">
        <v>231</v>
      </c>
      <c r="F963" s="161"/>
      <c r="G963" s="162">
        <v>0</v>
      </c>
      <c r="H963" s="79"/>
      <c r="I963" s="79"/>
      <c r="J963" s="79"/>
      <c r="K963" s="79"/>
      <c r="L963" s="79"/>
      <c r="M963" s="79"/>
    </row>
    <row r="964" spans="1:13" ht="15.75" hidden="1" customHeight="1">
      <c r="A964" s="79"/>
      <c r="B964" s="155">
        <v>45866</v>
      </c>
      <c r="C964" s="156">
        <v>0</v>
      </c>
      <c r="D964" s="156">
        <v>13105</v>
      </c>
      <c r="E964" s="157" t="s">
        <v>31</v>
      </c>
      <c r="F964" s="158">
        <v>72822</v>
      </c>
      <c r="G964" s="172">
        <v>538.29999999999995</v>
      </c>
      <c r="H964" s="79"/>
      <c r="I964" s="79"/>
      <c r="J964" s="79"/>
      <c r="K964" s="79"/>
      <c r="L964" s="79"/>
      <c r="M964" s="79"/>
    </row>
    <row r="965" spans="1:13" ht="15.75" hidden="1" customHeight="1">
      <c r="A965" s="79"/>
      <c r="B965" s="160"/>
      <c r="C965" s="160"/>
      <c r="D965" s="160"/>
      <c r="E965" s="161" t="s">
        <v>231</v>
      </c>
      <c r="F965" s="161"/>
      <c r="G965" s="162">
        <v>0</v>
      </c>
      <c r="H965" s="79"/>
      <c r="I965" s="79"/>
      <c r="J965" s="79"/>
      <c r="K965" s="79"/>
      <c r="L965" s="79"/>
      <c r="M965" s="79"/>
    </row>
    <row r="966" spans="1:13" ht="15.75" hidden="1" customHeight="1">
      <c r="A966" s="79"/>
      <c r="B966" s="155">
        <v>45866</v>
      </c>
      <c r="C966" s="156">
        <v>0</v>
      </c>
      <c r="D966" s="156">
        <v>13105</v>
      </c>
      <c r="E966" s="157" t="s">
        <v>31</v>
      </c>
      <c r="F966" s="158">
        <v>72823</v>
      </c>
      <c r="G966" s="172">
        <v>314.92</v>
      </c>
      <c r="H966" s="79"/>
      <c r="I966" s="79"/>
      <c r="J966" s="79"/>
      <c r="K966" s="79"/>
      <c r="L966" s="79"/>
      <c r="M966" s="79"/>
    </row>
    <row r="967" spans="1:13" ht="15.75" hidden="1" customHeight="1">
      <c r="A967" s="79"/>
      <c r="B967" s="160"/>
      <c r="C967" s="160"/>
      <c r="D967" s="160"/>
      <c r="E967" s="161" t="s">
        <v>78</v>
      </c>
      <c r="F967" s="161"/>
      <c r="G967" s="162">
        <v>0</v>
      </c>
      <c r="H967" s="79"/>
      <c r="I967" s="79"/>
      <c r="J967" s="79"/>
      <c r="K967" s="79"/>
      <c r="L967" s="79"/>
      <c r="M967" s="79"/>
    </row>
    <row r="968" spans="1:13" ht="15.75" hidden="1" customHeight="1">
      <c r="A968" s="79"/>
      <c r="B968" s="155">
        <v>45866</v>
      </c>
      <c r="C968" s="156">
        <v>0</v>
      </c>
      <c r="D968" s="156">
        <v>13105</v>
      </c>
      <c r="E968" s="157" t="s">
        <v>31</v>
      </c>
      <c r="F968" s="158">
        <v>72824</v>
      </c>
      <c r="G968" s="172">
        <v>300.86</v>
      </c>
      <c r="H968" s="79"/>
      <c r="I968" s="79"/>
      <c r="J968" s="79"/>
      <c r="K968" s="79"/>
      <c r="L968" s="79"/>
      <c r="M968" s="79"/>
    </row>
    <row r="969" spans="1:13" ht="15.75" hidden="1" customHeight="1">
      <c r="A969" s="79"/>
      <c r="B969" s="160"/>
      <c r="C969" s="160"/>
      <c r="D969" s="160"/>
      <c r="E969" s="161" t="s">
        <v>762</v>
      </c>
      <c r="F969" s="161"/>
      <c r="G969" s="162">
        <v>0</v>
      </c>
      <c r="H969" s="79"/>
      <c r="I969" s="79"/>
      <c r="J969" s="79"/>
      <c r="K969" s="79"/>
      <c r="L969" s="79"/>
      <c r="M969" s="79"/>
    </row>
    <row r="970" spans="1:13" ht="15.75" hidden="1" customHeight="1">
      <c r="A970" s="79"/>
      <c r="B970" s="155">
        <v>45866</v>
      </c>
      <c r="C970" s="156">
        <v>0</v>
      </c>
      <c r="D970" s="156">
        <v>0</v>
      </c>
      <c r="E970" s="157" t="s">
        <v>52</v>
      </c>
      <c r="F970" s="158">
        <v>9903</v>
      </c>
      <c r="G970" s="159">
        <v>286.39</v>
      </c>
      <c r="H970" s="79"/>
      <c r="I970" s="79"/>
      <c r="J970" s="79"/>
      <c r="K970" s="79"/>
      <c r="L970" s="79"/>
      <c r="M970" s="79"/>
    </row>
    <row r="971" spans="1:13" ht="15.75" hidden="1" customHeight="1">
      <c r="A971" s="79"/>
      <c r="B971" s="160"/>
      <c r="C971" s="160"/>
      <c r="D971" s="160"/>
      <c r="E971" s="161" t="s">
        <v>53</v>
      </c>
      <c r="F971" s="161"/>
      <c r="G971" s="162">
        <v>0</v>
      </c>
      <c r="H971" s="79"/>
      <c r="I971" s="79"/>
      <c r="J971" s="79"/>
      <c r="K971" s="79"/>
      <c r="L971" s="79"/>
      <c r="M971" s="79"/>
    </row>
    <row r="972" spans="1:13" ht="15.75" hidden="1" customHeight="1">
      <c r="A972" s="79"/>
      <c r="B972" s="155">
        <v>45867</v>
      </c>
      <c r="C972" s="156">
        <v>0</v>
      </c>
      <c r="D972" s="156">
        <v>14175</v>
      </c>
      <c r="E972" s="157" t="s">
        <v>62</v>
      </c>
      <c r="F972" s="158">
        <v>388992935</v>
      </c>
      <c r="G972" s="159">
        <v>3500</v>
      </c>
      <c r="H972" s="79"/>
      <c r="I972" s="79"/>
      <c r="J972" s="79"/>
      <c r="K972" s="79"/>
      <c r="L972" s="79"/>
      <c r="M972" s="79"/>
    </row>
    <row r="973" spans="1:13" ht="15.75" hidden="1" customHeight="1">
      <c r="A973" s="79"/>
      <c r="B973" s="160"/>
      <c r="C973" s="160"/>
      <c r="D973" s="160"/>
      <c r="E973" s="161" t="s">
        <v>97</v>
      </c>
      <c r="F973" s="161"/>
      <c r="G973" s="162">
        <v>0</v>
      </c>
      <c r="H973" s="79"/>
      <c r="I973" s="79"/>
      <c r="J973" s="79"/>
      <c r="K973" s="79"/>
      <c r="L973" s="79"/>
      <c r="M973" s="79"/>
    </row>
    <row r="974" spans="1:13" ht="15.75" customHeight="1">
      <c r="A974" s="163" t="s">
        <v>140</v>
      </c>
      <c r="B974" s="155">
        <v>45867</v>
      </c>
      <c r="C974" s="156">
        <v>0</v>
      </c>
      <c r="D974" s="156">
        <v>14138</v>
      </c>
      <c r="E974" s="157" t="s">
        <v>141</v>
      </c>
      <c r="F974" s="158">
        <v>202507280086069</v>
      </c>
      <c r="G974" s="159">
        <v>1668.08</v>
      </c>
      <c r="H974" s="160" t="s">
        <v>1008</v>
      </c>
      <c r="I974" s="160" t="s">
        <v>428</v>
      </c>
      <c r="J974" s="79"/>
      <c r="K974" s="79"/>
      <c r="L974" s="79"/>
      <c r="M974" s="79"/>
    </row>
    <row r="975" spans="1:13" ht="15.75" hidden="1" customHeight="1">
      <c r="A975" s="79"/>
      <c r="B975" s="160"/>
      <c r="C975" s="160"/>
      <c r="D975" s="160"/>
      <c r="E975" s="161" t="s">
        <v>143</v>
      </c>
      <c r="F975" s="161"/>
      <c r="G975" s="162">
        <v>0</v>
      </c>
      <c r="H975" s="79"/>
      <c r="I975" s="79"/>
      <c r="J975" s="79"/>
      <c r="K975" s="79"/>
      <c r="L975" s="79"/>
      <c r="M975" s="79"/>
    </row>
    <row r="976" spans="1:13" ht="15.75" customHeight="1">
      <c r="A976" s="163" t="s">
        <v>140</v>
      </c>
      <c r="B976" s="155">
        <v>45867</v>
      </c>
      <c r="C976" s="156">
        <v>0</v>
      </c>
      <c r="D976" s="156">
        <v>14138</v>
      </c>
      <c r="E976" s="157" t="s">
        <v>141</v>
      </c>
      <c r="F976" s="158">
        <v>202507280086070</v>
      </c>
      <c r="G976" s="159">
        <v>1413.72</v>
      </c>
      <c r="H976" s="79" t="s">
        <v>1009</v>
      </c>
      <c r="I976" s="79" t="s">
        <v>428</v>
      </c>
      <c r="J976" s="79"/>
      <c r="K976" s="79"/>
      <c r="L976" s="79"/>
      <c r="M976" s="79"/>
    </row>
    <row r="977" spans="1:13" ht="15.75" hidden="1" customHeight="1">
      <c r="A977" s="79"/>
      <c r="B977" s="160"/>
      <c r="C977" s="160"/>
      <c r="D977" s="160"/>
      <c r="E977" s="161" t="s">
        <v>143</v>
      </c>
      <c r="F977" s="161"/>
      <c r="G977" s="162">
        <v>0</v>
      </c>
      <c r="H977" s="79"/>
      <c r="I977" s="79"/>
      <c r="J977" s="79"/>
      <c r="K977" s="79"/>
      <c r="L977" s="79"/>
      <c r="M977" s="79"/>
    </row>
    <row r="978" spans="1:13" ht="15.75" customHeight="1">
      <c r="A978" s="163" t="s">
        <v>140</v>
      </c>
      <c r="B978" s="155">
        <v>45867</v>
      </c>
      <c r="C978" s="156">
        <v>0</v>
      </c>
      <c r="D978" s="156">
        <v>14138</v>
      </c>
      <c r="E978" s="157" t="s">
        <v>141</v>
      </c>
      <c r="F978" s="158">
        <v>202507280086073</v>
      </c>
      <c r="G978" s="159">
        <v>1668.08</v>
      </c>
      <c r="H978" s="160" t="s">
        <v>1010</v>
      </c>
      <c r="I978" s="160" t="s">
        <v>428</v>
      </c>
      <c r="J978" s="79"/>
      <c r="K978" s="79"/>
      <c r="L978" s="79"/>
      <c r="M978" s="79"/>
    </row>
    <row r="979" spans="1:13" ht="15.75" hidden="1" customHeight="1">
      <c r="A979" s="79"/>
      <c r="B979" s="160"/>
      <c r="C979" s="160"/>
      <c r="D979" s="160"/>
      <c r="E979" s="161" t="s">
        <v>143</v>
      </c>
      <c r="F979" s="161"/>
      <c r="G979" s="162">
        <v>0</v>
      </c>
      <c r="H979" s="79"/>
      <c r="I979" s="79"/>
      <c r="J979" s="79"/>
      <c r="K979" s="79"/>
      <c r="L979" s="79"/>
      <c r="M979" s="79"/>
    </row>
    <row r="980" spans="1:13" ht="15.75" customHeight="1">
      <c r="A980" s="163" t="s">
        <v>140</v>
      </c>
      <c r="B980" s="155">
        <v>45867</v>
      </c>
      <c r="C980" s="156">
        <v>0</v>
      </c>
      <c r="D980" s="156">
        <v>14138</v>
      </c>
      <c r="E980" s="157" t="s">
        <v>141</v>
      </c>
      <c r="F980" s="158">
        <v>202507280086074</v>
      </c>
      <c r="G980" s="159">
        <v>1233.5999999999999</v>
      </c>
      <c r="H980" s="160" t="s">
        <v>1011</v>
      </c>
      <c r="I980" s="160" t="s">
        <v>428</v>
      </c>
      <c r="J980" s="79"/>
      <c r="K980" s="79"/>
      <c r="L980" s="79"/>
      <c r="M980" s="79"/>
    </row>
    <row r="981" spans="1:13" ht="15.75" hidden="1" customHeight="1">
      <c r="A981" s="79"/>
      <c r="B981" s="160"/>
      <c r="C981" s="160"/>
      <c r="D981" s="160"/>
      <c r="E981" s="161" t="s">
        <v>143</v>
      </c>
      <c r="F981" s="161"/>
      <c r="G981" s="162">
        <v>0</v>
      </c>
      <c r="H981" s="79"/>
      <c r="I981" s="79"/>
      <c r="J981" s="79"/>
      <c r="K981" s="79"/>
      <c r="L981" s="79"/>
      <c r="M981" s="79"/>
    </row>
    <row r="982" spans="1:13" ht="15.75" hidden="1" customHeight="1">
      <c r="A982" s="79"/>
      <c r="B982" s="155">
        <v>45867</v>
      </c>
      <c r="C982" s="156">
        <v>1533</v>
      </c>
      <c r="D982" s="156">
        <v>99008</v>
      </c>
      <c r="E982" s="157" t="s">
        <v>29</v>
      </c>
      <c r="F982" s="158">
        <v>383208</v>
      </c>
      <c r="G982" s="172">
        <v>282.25</v>
      </c>
      <c r="H982" s="79"/>
      <c r="I982" s="79"/>
      <c r="J982" s="79"/>
      <c r="K982" s="79"/>
      <c r="L982" s="79"/>
      <c r="M982" s="79"/>
    </row>
    <row r="983" spans="1:13" ht="15.75" hidden="1" customHeight="1">
      <c r="A983" s="79"/>
      <c r="B983" s="160"/>
      <c r="C983" s="160"/>
      <c r="D983" s="160"/>
      <c r="E983" s="161" t="s">
        <v>1012</v>
      </c>
      <c r="F983" s="161"/>
      <c r="G983" s="162">
        <v>0</v>
      </c>
      <c r="H983" s="79"/>
      <c r="I983" s="79"/>
      <c r="J983" s="79"/>
      <c r="K983" s="79"/>
      <c r="L983" s="79"/>
      <c r="M983" s="79"/>
    </row>
    <row r="984" spans="1:13" ht="15.75" hidden="1" customHeight="1">
      <c r="A984" s="79"/>
      <c r="B984" s="155">
        <v>45867</v>
      </c>
      <c r="C984" s="156">
        <v>1533</v>
      </c>
      <c r="D984" s="156">
        <v>99008</v>
      </c>
      <c r="E984" s="157" t="s">
        <v>29</v>
      </c>
      <c r="F984" s="158">
        <v>515313</v>
      </c>
      <c r="G984" s="172">
        <v>170.73</v>
      </c>
      <c r="H984" s="79"/>
      <c r="I984" s="79"/>
      <c r="J984" s="79"/>
      <c r="K984" s="79"/>
      <c r="L984" s="79"/>
      <c r="M984" s="79"/>
    </row>
    <row r="985" spans="1:13" ht="15.75" hidden="1" customHeight="1">
      <c r="A985" s="79"/>
      <c r="B985" s="160"/>
      <c r="C985" s="160"/>
      <c r="D985" s="160"/>
      <c r="E985" s="161" t="s">
        <v>1013</v>
      </c>
      <c r="F985" s="161"/>
      <c r="G985" s="162">
        <v>0</v>
      </c>
      <c r="H985" s="79"/>
      <c r="I985" s="79"/>
      <c r="J985" s="79"/>
      <c r="K985" s="79"/>
      <c r="L985" s="79"/>
      <c r="M985" s="79"/>
    </row>
    <row r="986" spans="1:13" ht="15.75" hidden="1" customHeight="1">
      <c r="A986" s="79"/>
      <c r="B986" s="155">
        <v>45867</v>
      </c>
      <c r="C986" s="156">
        <v>1533</v>
      </c>
      <c r="D986" s="156">
        <v>99008</v>
      </c>
      <c r="E986" s="157" t="s">
        <v>29</v>
      </c>
      <c r="F986" s="158">
        <v>630656</v>
      </c>
      <c r="G986" s="172">
        <v>24.99</v>
      </c>
      <c r="H986" s="79"/>
      <c r="I986" s="79"/>
      <c r="J986" s="79"/>
      <c r="K986" s="79"/>
      <c r="L986" s="79"/>
      <c r="M986" s="79"/>
    </row>
    <row r="987" spans="1:13" ht="15.75" hidden="1" customHeight="1">
      <c r="A987" s="79"/>
      <c r="B987" s="160"/>
      <c r="C987" s="160"/>
      <c r="D987" s="160"/>
      <c r="E987" s="161" t="s">
        <v>1014</v>
      </c>
      <c r="F987" s="161"/>
      <c r="G987" s="162">
        <v>0</v>
      </c>
      <c r="H987" s="79"/>
      <c r="I987" s="79"/>
      <c r="J987" s="79"/>
      <c r="K987" s="79"/>
      <c r="L987" s="79"/>
      <c r="M987" s="79"/>
    </row>
    <row r="988" spans="1:13" ht="15.75" hidden="1" customHeight="1">
      <c r="A988" s="79"/>
      <c r="B988" s="155">
        <v>45867</v>
      </c>
      <c r="C988" s="156">
        <v>0</v>
      </c>
      <c r="D988" s="156">
        <v>13105</v>
      </c>
      <c r="E988" s="157" t="s">
        <v>31</v>
      </c>
      <c r="F988" s="158">
        <v>72901</v>
      </c>
      <c r="G988" s="172">
        <v>167.02</v>
      </c>
      <c r="H988" s="79"/>
      <c r="I988" s="79"/>
      <c r="J988" s="79"/>
      <c r="K988" s="79"/>
      <c r="L988" s="79"/>
      <c r="M988" s="79"/>
    </row>
    <row r="989" spans="1:13" ht="15.75" hidden="1" customHeight="1">
      <c r="A989" s="79"/>
      <c r="B989" s="160"/>
      <c r="C989" s="160"/>
      <c r="D989" s="160"/>
      <c r="E989" s="161" t="s">
        <v>47</v>
      </c>
      <c r="F989" s="161"/>
      <c r="G989" s="162">
        <v>0</v>
      </c>
      <c r="H989" s="79"/>
      <c r="I989" s="79"/>
      <c r="J989" s="79"/>
      <c r="K989" s="79"/>
      <c r="L989" s="79"/>
      <c r="M989" s="79"/>
    </row>
    <row r="990" spans="1:13" ht="15.75" hidden="1" customHeight="1">
      <c r="A990" s="79"/>
      <c r="B990" s="155">
        <v>45867</v>
      </c>
      <c r="C990" s="156">
        <v>0</v>
      </c>
      <c r="D990" s="156">
        <v>13105</v>
      </c>
      <c r="E990" s="157" t="s">
        <v>31</v>
      </c>
      <c r="F990" s="158">
        <v>72902</v>
      </c>
      <c r="G990" s="172">
        <v>117.32</v>
      </c>
      <c r="H990" s="79"/>
      <c r="I990" s="79"/>
      <c r="J990" s="79"/>
      <c r="K990" s="79"/>
      <c r="L990" s="79"/>
      <c r="M990" s="79"/>
    </row>
    <row r="991" spans="1:13" ht="15.75" hidden="1" customHeight="1">
      <c r="A991" s="79"/>
      <c r="B991" s="160"/>
      <c r="C991" s="160"/>
      <c r="D991" s="160"/>
      <c r="E991" s="161" t="s">
        <v>56</v>
      </c>
      <c r="F991" s="161"/>
      <c r="G991" s="162">
        <v>0</v>
      </c>
      <c r="H991" s="79"/>
      <c r="I991" s="79"/>
      <c r="J991" s="79"/>
      <c r="K991" s="79"/>
      <c r="L991" s="79"/>
      <c r="M991" s="79"/>
    </row>
    <row r="992" spans="1:13" ht="15.75" hidden="1" customHeight="1">
      <c r="A992" s="79"/>
      <c r="B992" s="155">
        <v>45867</v>
      </c>
      <c r="C992" s="156">
        <v>0</v>
      </c>
      <c r="D992" s="156">
        <v>13105</v>
      </c>
      <c r="E992" s="157" t="s">
        <v>31</v>
      </c>
      <c r="F992" s="158">
        <v>72903</v>
      </c>
      <c r="G992" s="172">
        <v>35.159999999999997</v>
      </c>
      <c r="H992" s="79"/>
      <c r="I992" s="79"/>
      <c r="J992" s="79"/>
      <c r="K992" s="79"/>
      <c r="L992" s="79"/>
      <c r="M992" s="79"/>
    </row>
    <row r="993" spans="1:13" ht="15.75" hidden="1" customHeight="1">
      <c r="A993" s="79"/>
      <c r="B993" s="160"/>
      <c r="C993" s="160"/>
      <c r="D993" s="160"/>
      <c r="E993" s="161" t="s">
        <v>56</v>
      </c>
      <c r="F993" s="161"/>
      <c r="G993" s="162">
        <v>0</v>
      </c>
      <c r="H993" s="79"/>
      <c r="I993" s="79"/>
      <c r="J993" s="79"/>
      <c r="K993" s="79"/>
      <c r="L993" s="79"/>
      <c r="M993" s="79"/>
    </row>
    <row r="994" spans="1:13" ht="15.75" hidden="1" customHeight="1">
      <c r="A994" s="79"/>
      <c r="B994" s="155">
        <v>45867</v>
      </c>
      <c r="C994" s="156">
        <v>0</v>
      </c>
      <c r="D994" s="156">
        <v>13105</v>
      </c>
      <c r="E994" s="157" t="s">
        <v>31</v>
      </c>
      <c r="F994" s="158">
        <v>72904</v>
      </c>
      <c r="G994" s="172">
        <v>325.92</v>
      </c>
      <c r="H994" s="79"/>
      <c r="I994" s="79"/>
      <c r="J994" s="79"/>
      <c r="K994" s="79"/>
      <c r="L994" s="79"/>
      <c r="M994" s="79"/>
    </row>
    <row r="995" spans="1:13" ht="15.75" hidden="1" customHeight="1">
      <c r="A995" s="79"/>
      <c r="B995" s="160"/>
      <c r="C995" s="160"/>
      <c r="D995" s="160"/>
      <c r="E995" s="161" t="s">
        <v>200</v>
      </c>
      <c r="F995" s="161"/>
      <c r="G995" s="162">
        <v>0</v>
      </c>
      <c r="H995" s="79"/>
      <c r="I995" s="79"/>
      <c r="J995" s="79"/>
      <c r="K995" s="79"/>
      <c r="L995" s="79"/>
      <c r="M995" s="79"/>
    </row>
    <row r="996" spans="1:13" ht="15.75" hidden="1" customHeight="1">
      <c r="A996" s="79"/>
      <c r="B996" s="155">
        <v>45867</v>
      </c>
      <c r="C996" s="156">
        <v>0</v>
      </c>
      <c r="D996" s="156">
        <v>13105</v>
      </c>
      <c r="E996" s="157" t="s">
        <v>31</v>
      </c>
      <c r="F996" s="158">
        <v>72905</v>
      </c>
      <c r="G996" s="172">
        <v>340.13</v>
      </c>
      <c r="H996" s="79"/>
      <c r="I996" s="79"/>
      <c r="J996" s="79"/>
      <c r="K996" s="79"/>
      <c r="L996" s="79"/>
      <c r="M996" s="79"/>
    </row>
    <row r="997" spans="1:13" ht="15.75" hidden="1" customHeight="1">
      <c r="A997" s="79"/>
      <c r="B997" s="160"/>
      <c r="C997" s="160"/>
      <c r="D997" s="160"/>
      <c r="E997" s="161" t="s">
        <v>45</v>
      </c>
      <c r="F997" s="161"/>
      <c r="G997" s="162">
        <v>0</v>
      </c>
      <c r="H997" s="79"/>
      <c r="I997" s="79"/>
      <c r="J997" s="79"/>
      <c r="K997" s="79"/>
      <c r="L997" s="79"/>
      <c r="M997" s="79"/>
    </row>
    <row r="998" spans="1:13" ht="15.75" hidden="1" customHeight="1">
      <c r="A998" s="79"/>
      <c r="B998" s="155">
        <v>45867</v>
      </c>
      <c r="C998" s="156">
        <v>0</v>
      </c>
      <c r="D998" s="156">
        <v>13105</v>
      </c>
      <c r="E998" s="157" t="s">
        <v>31</v>
      </c>
      <c r="F998" s="158">
        <v>72906</v>
      </c>
      <c r="G998" s="172">
        <v>480.8</v>
      </c>
      <c r="H998" s="79"/>
      <c r="I998" s="79"/>
      <c r="J998" s="79"/>
      <c r="K998" s="79"/>
      <c r="L998" s="79"/>
      <c r="M998" s="79"/>
    </row>
    <row r="999" spans="1:13" ht="15.75" hidden="1" customHeight="1">
      <c r="A999" s="79"/>
      <c r="B999" s="160"/>
      <c r="C999" s="160"/>
      <c r="D999" s="160"/>
      <c r="E999" s="161" t="s">
        <v>45</v>
      </c>
      <c r="F999" s="161"/>
      <c r="G999" s="162">
        <v>0</v>
      </c>
      <c r="H999" s="79"/>
      <c r="I999" s="79"/>
      <c r="J999" s="79"/>
      <c r="K999" s="79"/>
      <c r="L999" s="79"/>
      <c r="M999" s="79"/>
    </row>
    <row r="1000" spans="1:13" ht="15.75" hidden="1" customHeight="1">
      <c r="A1000" s="79"/>
      <c r="B1000" s="155">
        <v>45867</v>
      </c>
      <c r="C1000" s="156">
        <v>0</v>
      </c>
      <c r="D1000" s="156">
        <v>13105</v>
      </c>
      <c r="E1000" s="157" t="s">
        <v>31</v>
      </c>
      <c r="F1000" s="158">
        <v>72907</v>
      </c>
      <c r="G1000" s="172">
        <v>231.11</v>
      </c>
      <c r="H1000" s="79"/>
      <c r="I1000" s="79"/>
      <c r="J1000" s="79"/>
      <c r="K1000" s="79"/>
      <c r="L1000" s="79"/>
      <c r="M1000" s="79"/>
    </row>
    <row r="1001" spans="1:13" ht="15.75" hidden="1" customHeight="1">
      <c r="A1001" s="79"/>
      <c r="B1001" s="160"/>
      <c r="C1001" s="160"/>
      <c r="D1001" s="160"/>
      <c r="E1001" s="161" t="s">
        <v>111</v>
      </c>
      <c r="F1001" s="161"/>
      <c r="G1001" s="162">
        <v>0</v>
      </c>
      <c r="H1001" s="79"/>
      <c r="I1001" s="79"/>
      <c r="J1001" s="79"/>
      <c r="K1001" s="79"/>
      <c r="L1001" s="79"/>
      <c r="M1001" s="79"/>
    </row>
    <row r="1002" spans="1:13" ht="15.75" hidden="1" customHeight="1">
      <c r="A1002" s="79"/>
      <c r="B1002" s="155">
        <v>45867</v>
      </c>
      <c r="C1002" s="156">
        <v>0</v>
      </c>
      <c r="D1002" s="156">
        <v>13105</v>
      </c>
      <c r="E1002" s="157" t="s">
        <v>80</v>
      </c>
      <c r="F1002" s="158">
        <v>72908</v>
      </c>
      <c r="G1002" s="172">
        <v>8874.0400000000009</v>
      </c>
      <c r="H1002" s="79"/>
      <c r="I1002" s="79"/>
      <c r="J1002" s="79"/>
      <c r="K1002" s="79"/>
      <c r="L1002" s="79"/>
      <c r="M1002" s="79"/>
    </row>
    <row r="1003" spans="1:13" ht="15.75" hidden="1" customHeight="1">
      <c r="A1003" s="79"/>
      <c r="B1003" s="160"/>
      <c r="C1003" s="160"/>
      <c r="D1003" s="160"/>
      <c r="E1003" s="161" t="s">
        <v>154</v>
      </c>
      <c r="F1003" s="161"/>
      <c r="G1003" s="162">
        <v>0</v>
      </c>
      <c r="H1003" s="79"/>
      <c r="I1003" s="79"/>
      <c r="J1003" s="79"/>
      <c r="K1003" s="79"/>
      <c r="L1003" s="79"/>
      <c r="M1003" s="79"/>
    </row>
    <row r="1004" spans="1:13" ht="15.75" hidden="1" customHeight="1">
      <c r="A1004" s="79"/>
      <c r="B1004" s="155">
        <v>45867</v>
      </c>
      <c r="C1004" s="156">
        <v>0</v>
      </c>
      <c r="D1004" s="156">
        <v>0</v>
      </c>
      <c r="E1004" s="157" t="s">
        <v>52</v>
      </c>
      <c r="F1004" s="158">
        <v>9903</v>
      </c>
      <c r="G1004" s="159">
        <v>1565.99</v>
      </c>
      <c r="H1004" s="79"/>
      <c r="I1004" s="79"/>
      <c r="J1004" s="79"/>
      <c r="K1004" s="79"/>
      <c r="L1004" s="79"/>
      <c r="M1004" s="79"/>
    </row>
    <row r="1005" spans="1:13" ht="15.75" hidden="1" customHeight="1">
      <c r="A1005" s="79"/>
      <c r="B1005" s="160"/>
      <c r="C1005" s="160"/>
      <c r="D1005" s="160"/>
      <c r="E1005" s="161" t="s">
        <v>53</v>
      </c>
      <c r="F1005" s="161"/>
      <c r="G1005" s="162">
        <v>0</v>
      </c>
      <c r="H1005" s="79"/>
      <c r="I1005" s="79"/>
      <c r="J1005" s="79"/>
      <c r="K1005" s="79"/>
      <c r="L1005" s="79"/>
      <c r="M1005" s="79"/>
    </row>
    <row r="1006" spans="1:13" ht="15.75" customHeight="1">
      <c r="A1006" s="163" t="s">
        <v>140</v>
      </c>
      <c r="B1006" s="155">
        <v>45868</v>
      </c>
      <c r="C1006" s="156">
        <v>0</v>
      </c>
      <c r="D1006" s="156">
        <v>14138</v>
      </c>
      <c r="E1006" s="157" t="s">
        <v>141</v>
      </c>
      <c r="F1006" s="158">
        <v>202507290055597</v>
      </c>
      <c r="G1006" s="159">
        <v>609.28</v>
      </c>
      <c r="H1006" s="79" t="s">
        <v>1015</v>
      </c>
      <c r="I1006" s="79" t="s">
        <v>419</v>
      </c>
      <c r="J1006" s="79"/>
      <c r="K1006" s="79"/>
      <c r="L1006" s="79"/>
      <c r="M1006" s="79"/>
    </row>
    <row r="1007" spans="1:13" ht="15.75" customHeight="1">
      <c r="A1007" s="163" t="s">
        <v>140</v>
      </c>
      <c r="B1007" s="155">
        <v>45868</v>
      </c>
      <c r="C1007" s="156">
        <v>0</v>
      </c>
      <c r="D1007" s="156">
        <v>14138</v>
      </c>
      <c r="E1007" s="157" t="s">
        <v>141</v>
      </c>
      <c r="F1007" s="158">
        <v>202507290055599</v>
      </c>
      <c r="G1007" s="159">
        <v>3813.14</v>
      </c>
      <c r="H1007" s="79" t="s">
        <v>1016</v>
      </c>
      <c r="I1007" s="79" t="s">
        <v>428</v>
      </c>
      <c r="J1007" s="79"/>
      <c r="K1007" s="79"/>
      <c r="L1007" s="79"/>
      <c r="M1007" s="79"/>
    </row>
    <row r="1008" spans="1:13" ht="15.75" customHeight="1">
      <c r="A1008" s="163" t="s">
        <v>140</v>
      </c>
      <c r="B1008" s="155">
        <v>45868</v>
      </c>
      <c r="C1008" s="156">
        <v>0</v>
      </c>
      <c r="D1008" s="156">
        <v>14138</v>
      </c>
      <c r="E1008" s="157" t="s">
        <v>141</v>
      </c>
      <c r="F1008" s="158">
        <v>202507290055601</v>
      </c>
      <c r="G1008" s="159">
        <v>1476.65</v>
      </c>
      <c r="H1008" s="160" t="s">
        <v>1017</v>
      </c>
      <c r="I1008" s="160" t="s">
        <v>595</v>
      </c>
      <c r="J1008" s="79"/>
      <c r="K1008" s="79"/>
      <c r="L1008" s="79"/>
      <c r="M1008" s="79"/>
    </row>
    <row r="1009" spans="1:13" ht="15.75" hidden="1" customHeight="1">
      <c r="A1009" s="79"/>
      <c r="B1009" s="160"/>
      <c r="C1009" s="160"/>
      <c r="D1009" s="160"/>
      <c r="E1009" s="161" t="s">
        <v>143</v>
      </c>
      <c r="F1009" s="161"/>
      <c r="G1009" s="162">
        <v>0</v>
      </c>
      <c r="H1009" s="79"/>
      <c r="I1009" s="79"/>
      <c r="J1009" s="79"/>
      <c r="K1009" s="79"/>
      <c r="L1009" s="79"/>
      <c r="M1009" s="79"/>
    </row>
    <row r="1010" spans="1:13" ht="15.75" customHeight="1">
      <c r="A1010" s="163" t="s">
        <v>140</v>
      </c>
      <c r="B1010" s="155">
        <v>45868</v>
      </c>
      <c r="C1010" s="156">
        <v>0</v>
      </c>
      <c r="D1010" s="156">
        <v>14138</v>
      </c>
      <c r="E1010" s="157" t="s">
        <v>141</v>
      </c>
      <c r="F1010" s="158">
        <v>202507290055602</v>
      </c>
      <c r="G1010" s="159">
        <v>1359.46</v>
      </c>
      <c r="H1010" s="160" t="s">
        <v>1018</v>
      </c>
      <c r="I1010" s="160" t="s">
        <v>595</v>
      </c>
      <c r="J1010" s="79"/>
      <c r="K1010" s="79"/>
      <c r="L1010" s="79"/>
      <c r="M1010" s="79"/>
    </row>
    <row r="1011" spans="1:13" ht="15.75" hidden="1" customHeight="1">
      <c r="A1011" s="79"/>
      <c r="B1011" s="160"/>
      <c r="C1011" s="160"/>
      <c r="D1011" s="160"/>
      <c r="E1011" s="161" t="s">
        <v>143</v>
      </c>
      <c r="F1011" s="161"/>
      <c r="G1011" s="162">
        <v>0</v>
      </c>
      <c r="H1011" s="79"/>
      <c r="I1011" s="79"/>
      <c r="J1011" s="79"/>
      <c r="K1011" s="79"/>
      <c r="L1011" s="79"/>
      <c r="M1011" s="79"/>
    </row>
    <row r="1012" spans="1:13" ht="15.75" customHeight="1">
      <c r="A1012" s="163" t="s">
        <v>140</v>
      </c>
      <c r="B1012" s="155">
        <v>45868</v>
      </c>
      <c r="C1012" s="156">
        <v>0</v>
      </c>
      <c r="D1012" s="156">
        <v>14138</v>
      </c>
      <c r="E1012" s="157" t="s">
        <v>141</v>
      </c>
      <c r="F1012" s="158">
        <v>202507290055603</v>
      </c>
      <c r="G1012" s="159">
        <v>1476.65</v>
      </c>
      <c r="H1012" s="79" t="s">
        <v>1019</v>
      </c>
      <c r="I1012" s="79" t="s">
        <v>595</v>
      </c>
      <c r="J1012" s="79"/>
      <c r="K1012" s="79"/>
      <c r="L1012" s="79"/>
      <c r="M1012" s="79"/>
    </row>
    <row r="1013" spans="1:13" ht="15.75" hidden="1" customHeight="1">
      <c r="A1013" s="79"/>
      <c r="B1013" s="160"/>
      <c r="C1013" s="160"/>
      <c r="D1013" s="160"/>
      <c r="E1013" s="161" t="s">
        <v>143</v>
      </c>
      <c r="F1013" s="161"/>
      <c r="G1013" s="162">
        <v>0</v>
      </c>
      <c r="H1013" s="79"/>
      <c r="I1013" s="79"/>
      <c r="J1013" s="79"/>
      <c r="K1013" s="79"/>
      <c r="L1013" s="79"/>
      <c r="M1013" s="79"/>
    </row>
    <row r="1014" spans="1:13" ht="15.75" customHeight="1">
      <c r="A1014" s="163" t="s">
        <v>140</v>
      </c>
      <c r="B1014" s="155">
        <v>45868</v>
      </c>
      <c r="C1014" s="156">
        <v>0</v>
      </c>
      <c r="D1014" s="156">
        <v>14138</v>
      </c>
      <c r="E1014" s="157" t="s">
        <v>141</v>
      </c>
      <c r="F1014" s="158">
        <v>202507290055604</v>
      </c>
      <c r="G1014" s="159">
        <v>1359.46</v>
      </c>
      <c r="H1014" s="160" t="s">
        <v>1020</v>
      </c>
      <c r="I1014" s="160" t="s">
        <v>595</v>
      </c>
      <c r="J1014" s="79"/>
      <c r="K1014" s="79"/>
      <c r="L1014" s="79"/>
      <c r="M1014" s="79"/>
    </row>
    <row r="1015" spans="1:13" ht="15.75" hidden="1" customHeight="1">
      <c r="A1015" s="79"/>
      <c r="B1015" s="160"/>
      <c r="C1015" s="160"/>
      <c r="D1015" s="160"/>
      <c r="E1015" s="161" t="s">
        <v>143</v>
      </c>
      <c r="F1015" s="161"/>
      <c r="G1015" s="162">
        <v>0</v>
      </c>
      <c r="H1015" s="79"/>
      <c r="I1015" s="79"/>
      <c r="J1015" s="79"/>
      <c r="K1015" s="79"/>
      <c r="L1015" s="79"/>
      <c r="M1015" s="79"/>
    </row>
    <row r="1016" spans="1:13" ht="15.75" customHeight="1">
      <c r="A1016" s="163" t="s">
        <v>140</v>
      </c>
      <c r="B1016" s="155">
        <v>45868</v>
      </c>
      <c r="C1016" s="156">
        <v>0</v>
      </c>
      <c r="D1016" s="156">
        <v>14138</v>
      </c>
      <c r="E1016" s="157" t="s">
        <v>141</v>
      </c>
      <c r="F1016" s="158">
        <v>202507290070878</v>
      </c>
      <c r="G1016" s="159">
        <v>225.53</v>
      </c>
      <c r="H1016" s="160" t="s">
        <v>1021</v>
      </c>
      <c r="I1016" s="160" t="s">
        <v>419</v>
      </c>
      <c r="J1016" s="79"/>
      <c r="K1016" s="79"/>
      <c r="L1016" s="79"/>
      <c r="M1016" s="79"/>
    </row>
    <row r="1017" spans="1:13" ht="15.75" hidden="1" customHeight="1">
      <c r="A1017" s="79"/>
      <c r="B1017" s="160"/>
      <c r="C1017" s="160"/>
      <c r="D1017" s="160"/>
      <c r="E1017" s="161" t="s">
        <v>143</v>
      </c>
      <c r="F1017" s="161"/>
      <c r="G1017" s="162">
        <v>0</v>
      </c>
      <c r="H1017" s="79"/>
      <c r="I1017" s="79"/>
      <c r="J1017" s="79"/>
      <c r="K1017" s="79"/>
      <c r="L1017" s="79"/>
      <c r="M1017" s="79"/>
    </row>
    <row r="1018" spans="1:13" ht="15.75" customHeight="1">
      <c r="A1018" s="163" t="s">
        <v>140</v>
      </c>
      <c r="B1018" s="155">
        <v>45868</v>
      </c>
      <c r="C1018" s="156">
        <v>0</v>
      </c>
      <c r="D1018" s="156">
        <v>14138</v>
      </c>
      <c r="E1018" s="157" t="s">
        <v>141</v>
      </c>
      <c r="F1018" s="158">
        <v>202507290070908</v>
      </c>
      <c r="G1018" s="159">
        <v>2643.1</v>
      </c>
      <c r="H1018" s="79" t="s">
        <v>1022</v>
      </c>
      <c r="I1018" s="79" t="s">
        <v>428</v>
      </c>
      <c r="J1018" s="79"/>
      <c r="K1018" s="79"/>
      <c r="L1018" s="79"/>
      <c r="M1018" s="79"/>
    </row>
    <row r="1019" spans="1:13" ht="15.75" hidden="1" customHeight="1">
      <c r="A1019" s="79"/>
      <c r="B1019" s="160"/>
      <c r="C1019" s="160"/>
      <c r="D1019" s="160"/>
      <c r="E1019" s="161" t="s">
        <v>143</v>
      </c>
      <c r="F1019" s="161"/>
      <c r="G1019" s="162">
        <v>0</v>
      </c>
      <c r="H1019" s="79"/>
      <c r="I1019" s="79"/>
      <c r="J1019" s="79"/>
      <c r="K1019" s="79"/>
      <c r="L1019" s="79"/>
      <c r="M1019" s="79"/>
    </row>
    <row r="1020" spans="1:13" ht="15.75" customHeight="1">
      <c r="A1020" s="163" t="s">
        <v>140</v>
      </c>
      <c r="B1020" s="155">
        <v>45868</v>
      </c>
      <c r="C1020" s="156">
        <v>0</v>
      </c>
      <c r="D1020" s="156">
        <v>14138</v>
      </c>
      <c r="E1020" s="157" t="s">
        <v>141</v>
      </c>
      <c r="F1020" s="158">
        <v>202507290070909</v>
      </c>
      <c r="G1020" s="159">
        <v>1668.08</v>
      </c>
      <c r="H1020" s="160" t="s">
        <v>1023</v>
      </c>
      <c r="I1020" s="160" t="s">
        <v>428</v>
      </c>
      <c r="J1020" s="79"/>
      <c r="K1020" s="79"/>
      <c r="L1020" s="79"/>
      <c r="M1020" s="79"/>
    </row>
    <row r="1021" spans="1:13" ht="15.75" hidden="1" customHeight="1">
      <c r="A1021" s="79"/>
      <c r="B1021" s="160"/>
      <c r="C1021" s="160"/>
      <c r="D1021" s="160"/>
      <c r="E1021" s="161" t="s">
        <v>143</v>
      </c>
      <c r="F1021" s="161"/>
      <c r="G1021" s="162">
        <v>0</v>
      </c>
      <c r="H1021" s="79"/>
      <c r="I1021" s="79"/>
      <c r="J1021" s="79"/>
      <c r="K1021" s="79"/>
      <c r="L1021" s="79"/>
      <c r="M1021" s="79"/>
    </row>
    <row r="1022" spans="1:13" ht="15.75" customHeight="1">
      <c r="A1022" s="163" t="s">
        <v>140</v>
      </c>
      <c r="B1022" s="155">
        <v>45868</v>
      </c>
      <c r="C1022" s="156">
        <v>0</v>
      </c>
      <c r="D1022" s="156">
        <v>14138</v>
      </c>
      <c r="E1022" s="157" t="s">
        <v>141</v>
      </c>
      <c r="F1022" s="158">
        <v>202507290070917</v>
      </c>
      <c r="G1022" s="159">
        <v>1345.46</v>
      </c>
      <c r="H1022" s="79" t="s">
        <v>1024</v>
      </c>
      <c r="I1022" s="79" t="s">
        <v>428</v>
      </c>
      <c r="J1022" s="79"/>
      <c r="K1022" s="79"/>
      <c r="L1022" s="79"/>
      <c r="M1022" s="79"/>
    </row>
    <row r="1023" spans="1:13" ht="15.75" hidden="1" customHeight="1">
      <c r="A1023" s="79"/>
      <c r="B1023" s="160"/>
      <c r="C1023" s="160"/>
      <c r="D1023" s="160"/>
      <c r="E1023" s="161" t="s">
        <v>143</v>
      </c>
      <c r="F1023" s="161"/>
      <c r="G1023" s="162">
        <v>0</v>
      </c>
      <c r="H1023" s="79"/>
      <c r="I1023" s="79"/>
      <c r="J1023" s="79"/>
      <c r="K1023" s="79"/>
      <c r="L1023" s="79"/>
      <c r="M1023" s="79"/>
    </row>
    <row r="1024" spans="1:13" ht="15.75" customHeight="1">
      <c r="A1024" s="163" t="s">
        <v>140</v>
      </c>
      <c r="B1024" s="155">
        <v>45868</v>
      </c>
      <c r="C1024" s="156">
        <v>0</v>
      </c>
      <c r="D1024" s="156">
        <v>14138</v>
      </c>
      <c r="E1024" s="157" t="s">
        <v>141</v>
      </c>
      <c r="F1024" s="158">
        <v>202507290070918</v>
      </c>
      <c r="G1024" s="159">
        <v>1668.08</v>
      </c>
      <c r="H1024" s="160" t="s">
        <v>1025</v>
      </c>
      <c r="I1024" s="160" t="s">
        <v>428</v>
      </c>
      <c r="J1024" s="79"/>
      <c r="K1024" s="79"/>
      <c r="L1024" s="79"/>
      <c r="M1024" s="79"/>
    </row>
    <row r="1025" spans="1:13" ht="15.75" hidden="1" customHeight="1">
      <c r="A1025" s="79"/>
      <c r="B1025" s="160"/>
      <c r="C1025" s="160"/>
      <c r="D1025" s="160"/>
      <c r="E1025" s="161" t="s">
        <v>143</v>
      </c>
      <c r="F1025" s="161"/>
      <c r="G1025" s="162">
        <v>0</v>
      </c>
      <c r="H1025" s="79"/>
      <c r="I1025" s="79"/>
      <c r="J1025" s="79"/>
      <c r="K1025" s="79"/>
      <c r="L1025" s="79"/>
      <c r="M1025" s="79"/>
    </row>
    <row r="1026" spans="1:13" ht="15.75" hidden="1" customHeight="1">
      <c r="A1026" s="79"/>
      <c r="B1026" s="155">
        <v>45868</v>
      </c>
      <c r="C1026" s="156">
        <v>0</v>
      </c>
      <c r="D1026" s="156">
        <v>14397</v>
      </c>
      <c r="E1026" s="157" t="s">
        <v>57</v>
      </c>
      <c r="F1026" s="158">
        <v>301218452554241</v>
      </c>
      <c r="G1026" s="159">
        <v>333.47</v>
      </c>
      <c r="H1026" s="79"/>
      <c r="I1026" s="79"/>
      <c r="J1026" s="79"/>
      <c r="K1026" s="79"/>
      <c r="L1026" s="79"/>
      <c r="M1026" s="79"/>
    </row>
    <row r="1027" spans="1:13" ht="15.75" hidden="1" customHeight="1">
      <c r="A1027" s="79"/>
      <c r="B1027" s="160"/>
      <c r="C1027" s="160"/>
      <c r="D1027" s="160"/>
      <c r="E1027" s="161" t="s">
        <v>1026</v>
      </c>
      <c r="F1027" s="161"/>
      <c r="G1027" s="162">
        <v>0</v>
      </c>
      <c r="H1027" s="79"/>
      <c r="I1027" s="79"/>
      <c r="J1027" s="79"/>
      <c r="K1027" s="79"/>
      <c r="L1027" s="79"/>
      <c r="M1027" s="79"/>
    </row>
    <row r="1028" spans="1:13" ht="15.75" hidden="1" customHeight="1">
      <c r="A1028" s="79"/>
      <c r="B1028" s="155">
        <v>45868</v>
      </c>
      <c r="C1028" s="156">
        <v>1533</v>
      </c>
      <c r="D1028" s="156">
        <v>99008</v>
      </c>
      <c r="E1028" s="157" t="s">
        <v>29</v>
      </c>
      <c r="F1028" s="158">
        <v>20437</v>
      </c>
      <c r="G1028" s="172">
        <v>24.77</v>
      </c>
      <c r="H1028" s="79"/>
      <c r="I1028" s="79"/>
      <c r="J1028" s="79"/>
      <c r="K1028" s="79"/>
      <c r="L1028" s="79"/>
      <c r="M1028" s="79"/>
    </row>
    <row r="1029" spans="1:13" ht="15.75" hidden="1" customHeight="1">
      <c r="A1029" s="79"/>
      <c r="B1029" s="160"/>
      <c r="C1029" s="160"/>
      <c r="D1029" s="160"/>
      <c r="E1029" s="161" t="s">
        <v>1027</v>
      </c>
      <c r="F1029" s="161"/>
      <c r="G1029" s="162">
        <v>0</v>
      </c>
      <c r="H1029" s="79"/>
      <c r="I1029" s="79"/>
      <c r="J1029" s="79"/>
      <c r="K1029" s="79"/>
      <c r="L1029" s="79"/>
      <c r="M1029" s="79"/>
    </row>
    <row r="1030" spans="1:13" ht="15.75" hidden="1" customHeight="1">
      <c r="A1030" s="79"/>
      <c r="B1030" s="155">
        <v>45868</v>
      </c>
      <c r="C1030" s="156">
        <v>1533</v>
      </c>
      <c r="D1030" s="156">
        <v>99008</v>
      </c>
      <c r="E1030" s="157" t="s">
        <v>29</v>
      </c>
      <c r="F1030" s="158">
        <v>754004</v>
      </c>
      <c r="G1030" s="172">
        <v>147.9</v>
      </c>
      <c r="H1030" s="79"/>
      <c r="I1030" s="79"/>
      <c r="J1030" s="79"/>
      <c r="K1030" s="79"/>
      <c r="L1030" s="79"/>
      <c r="M1030" s="79"/>
    </row>
    <row r="1031" spans="1:13" ht="15.75" hidden="1" customHeight="1">
      <c r="A1031" s="79"/>
      <c r="B1031" s="160"/>
      <c r="C1031" s="160"/>
      <c r="D1031" s="160"/>
      <c r="E1031" s="161" t="s">
        <v>1028</v>
      </c>
      <c r="F1031" s="161"/>
      <c r="G1031" s="162">
        <v>0</v>
      </c>
      <c r="H1031" s="79"/>
      <c r="I1031" s="79"/>
      <c r="J1031" s="79"/>
      <c r="K1031" s="79"/>
      <c r="L1031" s="79"/>
      <c r="M1031" s="79"/>
    </row>
    <row r="1032" spans="1:13" ht="15.75" hidden="1" customHeight="1">
      <c r="A1032" s="79"/>
      <c r="B1032" s="155">
        <v>45868</v>
      </c>
      <c r="C1032" s="156">
        <v>1533</v>
      </c>
      <c r="D1032" s="156">
        <v>99008</v>
      </c>
      <c r="E1032" s="157" t="s">
        <v>29</v>
      </c>
      <c r="F1032" s="158">
        <v>982665</v>
      </c>
      <c r="G1032" s="172">
        <v>152</v>
      </c>
      <c r="H1032" s="79"/>
      <c r="I1032" s="79"/>
      <c r="J1032" s="79"/>
      <c r="K1032" s="79"/>
      <c r="L1032" s="79"/>
      <c r="M1032" s="79"/>
    </row>
    <row r="1033" spans="1:13" ht="15.75" hidden="1" customHeight="1">
      <c r="A1033" s="79"/>
      <c r="B1033" s="160"/>
      <c r="C1033" s="160"/>
      <c r="D1033" s="160"/>
      <c r="E1033" s="161" t="s">
        <v>1029</v>
      </c>
      <c r="F1033" s="161"/>
      <c r="G1033" s="162">
        <v>0</v>
      </c>
      <c r="H1033" s="79"/>
      <c r="I1033" s="79"/>
      <c r="J1033" s="79"/>
      <c r="K1033" s="79"/>
      <c r="L1033" s="79"/>
      <c r="M1033" s="79"/>
    </row>
    <row r="1034" spans="1:13" ht="15.75" hidden="1" customHeight="1">
      <c r="A1034" s="79"/>
      <c r="B1034" s="155">
        <v>45868</v>
      </c>
      <c r="C1034" s="156">
        <v>0</v>
      </c>
      <c r="D1034" s="156">
        <v>13105</v>
      </c>
      <c r="E1034" s="157" t="s">
        <v>80</v>
      </c>
      <c r="F1034" s="158">
        <v>73001</v>
      </c>
      <c r="G1034" s="172">
        <v>4695.01</v>
      </c>
      <c r="H1034" s="79"/>
      <c r="I1034" s="79"/>
      <c r="J1034" s="79"/>
      <c r="K1034" s="79"/>
      <c r="L1034" s="79"/>
      <c r="M1034" s="79"/>
    </row>
    <row r="1035" spans="1:13" ht="15.75" hidden="1" customHeight="1">
      <c r="A1035" s="79"/>
      <c r="B1035" s="160"/>
      <c r="C1035" s="160"/>
      <c r="D1035" s="160"/>
      <c r="E1035" s="161" t="s">
        <v>172</v>
      </c>
      <c r="F1035" s="161"/>
      <c r="G1035" s="162">
        <v>0</v>
      </c>
      <c r="H1035" s="79"/>
      <c r="I1035" s="79"/>
      <c r="J1035" s="79"/>
      <c r="K1035" s="79"/>
      <c r="L1035" s="79"/>
      <c r="M1035" s="79"/>
    </row>
    <row r="1036" spans="1:13" ht="15.75" hidden="1" customHeight="1">
      <c r="A1036" s="79"/>
      <c r="B1036" s="155">
        <v>45868</v>
      </c>
      <c r="C1036" s="156">
        <v>0</v>
      </c>
      <c r="D1036" s="156">
        <v>13105</v>
      </c>
      <c r="E1036" s="157" t="s">
        <v>31</v>
      </c>
      <c r="F1036" s="158">
        <v>73002</v>
      </c>
      <c r="G1036" s="172">
        <v>324.75</v>
      </c>
      <c r="H1036" s="79"/>
      <c r="I1036" s="79"/>
      <c r="J1036" s="79"/>
      <c r="K1036" s="79"/>
      <c r="L1036" s="79"/>
      <c r="M1036" s="79"/>
    </row>
    <row r="1037" spans="1:13" ht="15.75" hidden="1" customHeight="1">
      <c r="A1037" s="79"/>
      <c r="B1037" s="160"/>
      <c r="C1037" s="160"/>
      <c r="D1037" s="160"/>
      <c r="E1037" s="161" t="s">
        <v>41</v>
      </c>
      <c r="F1037" s="161"/>
      <c r="G1037" s="162">
        <v>0</v>
      </c>
      <c r="H1037" s="79"/>
      <c r="I1037" s="79"/>
      <c r="J1037" s="79"/>
      <c r="K1037" s="79"/>
      <c r="L1037" s="79"/>
      <c r="M1037" s="79"/>
    </row>
    <row r="1038" spans="1:13" ht="15.75" hidden="1" customHeight="1">
      <c r="A1038" s="79"/>
      <c r="B1038" s="155">
        <v>45868</v>
      </c>
      <c r="C1038" s="156">
        <v>0</v>
      </c>
      <c r="D1038" s="156">
        <v>13105</v>
      </c>
      <c r="E1038" s="157" t="s">
        <v>31</v>
      </c>
      <c r="F1038" s="158">
        <v>73003</v>
      </c>
      <c r="G1038" s="172">
        <v>741.98</v>
      </c>
      <c r="H1038" s="79"/>
      <c r="I1038" s="79"/>
      <c r="J1038" s="79"/>
      <c r="K1038" s="79"/>
      <c r="L1038" s="79"/>
      <c r="M1038" s="79"/>
    </row>
    <row r="1039" spans="1:13" ht="15.75" hidden="1" customHeight="1">
      <c r="A1039" s="79"/>
      <c r="B1039" s="160"/>
      <c r="C1039" s="160"/>
      <c r="D1039" s="160"/>
      <c r="E1039" s="161" t="s">
        <v>188</v>
      </c>
      <c r="F1039" s="161"/>
      <c r="G1039" s="162">
        <v>0</v>
      </c>
      <c r="H1039" s="79"/>
      <c r="I1039" s="79"/>
      <c r="J1039" s="79"/>
      <c r="K1039" s="79"/>
      <c r="L1039" s="79"/>
      <c r="M1039" s="79"/>
    </row>
    <row r="1040" spans="1:13" ht="15.75" hidden="1" customHeight="1">
      <c r="A1040" s="79"/>
      <c r="B1040" s="155">
        <v>45868</v>
      </c>
      <c r="C1040" s="156">
        <v>0</v>
      </c>
      <c r="D1040" s="156">
        <v>13105</v>
      </c>
      <c r="E1040" s="157" t="s">
        <v>31</v>
      </c>
      <c r="F1040" s="158">
        <v>73004</v>
      </c>
      <c r="G1040" s="172">
        <v>3500</v>
      </c>
      <c r="H1040" s="79"/>
      <c r="I1040" s="79"/>
      <c r="J1040" s="79"/>
      <c r="K1040" s="79"/>
      <c r="L1040" s="79"/>
      <c r="M1040" s="79"/>
    </row>
    <row r="1041" spans="1:13" ht="15.75" hidden="1" customHeight="1">
      <c r="A1041" s="79"/>
      <c r="B1041" s="160"/>
      <c r="C1041" s="160"/>
      <c r="D1041" s="160"/>
      <c r="E1041" s="161" t="s">
        <v>173</v>
      </c>
      <c r="F1041" s="161"/>
      <c r="G1041" s="162">
        <v>0</v>
      </c>
      <c r="H1041" s="79"/>
      <c r="I1041" s="79"/>
      <c r="J1041" s="79"/>
      <c r="K1041" s="79"/>
      <c r="L1041" s="79"/>
      <c r="M1041" s="79"/>
    </row>
    <row r="1042" spans="1:13" ht="15.75" hidden="1" customHeight="1">
      <c r="A1042" s="79"/>
      <c r="B1042" s="155">
        <v>45868</v>
      </c>
      <c r="C1042" s="156">
        <v>0</v>
      </c>
      <c r="D1042" s="156">
        <v>13105</v>
      </c>
      <c r="E1042" s="157" t="s">
        <v>31</v>
      </c>
      <c r="F1042" s="158">
        <v>73005</v>
      </c>
      <c r="G1042" s="172">
        <v>157.26</v>
      </c>
      <c r="H1042" s="79"/>
      <c r="I1042" s="79"/>
      <c r="J1042" s="79"/>
      <c r="K1042" s="79"/>
      <c r="L1042" s="79"/>
      <c r="M1042" s="79"/>
    </row>
    <row r="1043" spans="1:13" ht="15.75" hidden="1" customHeight="1">
      <c r="A1043" s="79"/>
      <c r="B1043" s="160"/>
      <c r="C1043" s="160"/>
      <c r="D1043" s="160"/>
      <c r="E1043" s="161" t="s">
        <v>507</v>
      </c>
      <c r="F1043" s="161"/>
      <c r="G1043" s="162">
        <v>0</v>
      </c>
      <c r="H1043" s="79"/>
      <c r="I1043" s="79"/>
      <c r="J1043" s="79"/>
      <c r="K1043" s="79"/>
      <c r="L1043" s="79"/>
      <c r="M1043" s="79"/>
    </row>
    <row r="1044" spans="1:13" ht="15.75" hidden="1" customHeight="1">
      <c r="A1044" s="79"/>
      <c r="B1044" s="155">
        <v>45868</v>
      </c>
      <c r="C1044" s="156">
        <v>0</v>
      </c>
      <c r="D1044" s="156">
        <v>13105</v>
      </c>
      <c r="E1044" s="157" t="s">
        <v>31</v>
      </c>
      <c r="F1044" s="158">
        <v>73006</v>
      </c>
      <c r="G1044" s="172">
        <v>2685.4</v>
      </c>
      <c r="H1044" s="79"/>
      <c r="I1044" s="79"/>
      <c r="J1044" s="79"/>
      <c r="K1044" s="79"/>
      <c r="L1044" s="79"/>
      <c r="M1044" s="79"/>
    </row>
    <row r="1045" spans="1:13" ht="15.75" hidden="1" customHeight="1">
      <c r="A1045" s="79"/>
      <c r="B1045" s="160"/>
      <c r="C1045" s="160"/>
      <c r="D1045" s="160"/>
      <c r="E1045" s="161" t="s">
        <v>33</v>
      </c>
      <c r="F1045" s="161"/>
      <c r="G1045" s="162">
        <v>0</v>
      </c>
      <c r="H1045" s="79"/>
      <c r="I1045" s="79"/>
      <c r="J1045" s="79"/>
      <c r="K1045" s="79"/>
      <c r="L1045" s="79"/>
      <c r="M1045" s="79"/>
    </row>
    <row r="1046" spans="1:13" ht="15.75" hidden="1" customHeight="1">
      <c r="A1046" s="79"/>
      <c r="B1046" s="155">
        <v>45868</v>
      </c>
      <c r="C1046" s="156">
        <v>0</v>
      </c>
      <c r="D1046" s="156">
        <v>13105</v>
      </c>
      <c r="E1046" s="157" t="s">
        <v>31</v>
      </c>
      <c r="F1046" s="158">
        <v>73007</v>
      </c>
      <c r="G1046" s="172">
        <v>530.25</v>
      </c>
      <c r="H1046" s="79"/>
      <c r="I1046" s="79"/>
      <c r="J1046" s="79"/>
      <c r="K1046" s="79"/>
      <c r="L1046" s="79"/>
      <c r="M1046" s="79"/>
    </row>
    <row r="1047" spans="1:13" ht="15.75" hidden="1" customHeight="1">
      <c r="A1047" s="79"/>
      <c r="B1047" s="160"/>
      <c r="C1047" s="160"/>
      <c r="D1047" s="160"/>
      <c r="E1047" s="161" t="s">
        <v>46</v>
      </c>
      <c r="F1047" s="161"/>
      <c r="G1047" s="162">
        <v>0</v>
      </c>
      <c r="H1047" s="79"/>
      <c r="I1047" s="79"/>
      <c r="J1047" s="79"/>
      <c r="K1047" s="79"/>
      <c r="L1047" s="79"/>
      <c r="M1047" s="79"/>
    </row>
    <row r="1048" spans="1:13" ht="15.75" hidden="1" customHeight="1">
      <c r="A1048" s="79"/>
      <c r="B1048" s="155">
        <v>45868</v>
      </c>
      <c r="C1048" s="156">
        <v>0</v>
      </c>
      <c r="D1048" s="156">
        <v>13105</v>
      </c>
      <c r="E1048" s="157" t="s">
        <v>31</v>
      </c>
      <c r="F1048" s="158">
        <v>73008</v>
      </c>
      <c r="G1048" s="172">
        <v>613.79999999999995</v>
      </c>
      <c r="H1048" s="79"/>
      <c r="I1048" s="79"/>
      <c r="J1048" s="79"/>
      <c r="K1048" s="79"/>
      <c r="L1048" s="79"/>
      <c r="M1048" s="79"/>
    </row>
    <row r="1049" spans="1:13" ht="15.75" hidden="1" customHeight="1">
      <c r="A1049" s="79"/>
      <c r="B1049" s="160"/>
      <c r="C1049" s="160"/>
      <c r="D1049" s="160"/>
      <c r="E1049" s="161" t="s">
        <v>46</v>
      </c>
      <c r="F1049" s="161"/>
      <c r="G1049" s="162">
        <v>0</v>
      </c>
      <c r="H1049" s="79"/>
      <c r="I1049" s="79"/>
      <c r="J1049" s="79"/>
      <c r="K1049" s="79"/>
      <c r="L1049" s="79"/>
      <c r="M1049" s="79"/>
    </row>
    <row r="1050" spans="1:13" ht="15.75" hidden="1" customHeight="1">
      <c r="A1050" s="79"/>
      <c r="B1050" s="155">
        <v>45868</v>
      </c>
      <c r="C1050" s="156">
        <v>0</v>
      </c>
      <c r="D1050" s="156">
        <v>13105</v>
      </c>
      <c r="E1050" s="157" t="s">
        <v>31</v>
      </c>
      <c r="F1050" s="158">
        <v>73009</v>
      </c>
      <c r="G1050" s="172">
        <v>457.96</v>
      </c>
      <c r="H1050" s="79"/>
      <c r="I1050" s="79"/>
      <c r="J1050" s="79"/>
      <c r="K1050" s="79"/>
      <c r="L1050" s="79"/>
      <c r="M1050" s="79"/>
    </row>
    <row r="1051" spans="1:13" ht="15.75" hidden="1" customHeight="1">
      <c r="A1051" s="79"/>
      <c r="B1051" s="160"/>
      <c r="C1051" s="160"/>
      <c r="D1051" s="160"/>
      <c r="E1051" s="161" t="s">
        <v>340</v>
      </c>
      <c r="F1051" s="161"/>
      <c r="G1051" s="162">
        <v>0</v>
      </c>
      <c r="H1051" s="79"/>
      <c r="I1051" s="79"/>
      <c r="J1051" s="79"/>
      <c r="K1051" s="79"/>
      <c r="L1051" s="79"/>
      <c r="M1051" s="79"/>
    </row>
    <row r="1052" spans="1:13" ht="15.75" hidden="1" customHeight="1">
      <c r="A1052" s="79"/>
      <c r="B1052" s="155">
        <v>45868</v>
      </c>
      <c r="C1052" s="156">
        <v>0</v>
      </c>
      <c r="D1052" s="156">
        <v>13105</v>
      </c>
      <c r="E1052" s="157" t="s">
        <v>31</v>
      </c>
      <c r="F1052" s="158">
        <v>73010</v>
      </c>
      <c r="G1052" s="172">
        <v>309.82</v>
      </c>
      <c r="H1052" s="79"/>
      <c r="I1052" s="79"/>
      <c r="J1052" s="79"/>
      <c r="K1052" s="79"/>
      <c r="L1052" s="79"/>
      <c r="M1052" s="79"/>
    </row>
    <row r="1053" spans="1:13" ht="15.75" hidden="1" customHeight="1">
      <c r="A1053" s="79"/>
      <c r="B1053" s="160"/>
      <c r="C1053" s="160"/>
      <c r="D1053" s="160"/>
      <c r="E1053" s="161" t="s">
        <v>231</v>
      </c>
      <c r="F1053" s="161"/>
      <c r="G1053" s="162">
        <v>0</v>
      </c>
      <c r="H1053" s="79"/>
      <c r="I1053" s="79"/>
      <c r="J1053" s="79"/>
      <c r="K1053" s="79"/>
      <c r="L1053" s="79"/>
      <c r="M1053" s="79"/>
    </row>
    <row r="1054" spans="1:13" ht="15.75" hidden="1" customHeight="1">
      <c r="A1054" s="79"/>
      <c r="B1054" s="155">
        <v>45868</v>
      </c>
      <c r="C1054" s="156">
        <v>0</v>
      </c>
      <c r="D1054" s="156">
        <v>13105</v>
      </c>
      <c r="E1054" s="157" t="s">
        <v>31</v>
      </c>
      <c r="F1054" s="158">
        <v>73011</v>
      </c>
      <c r="G1054" s="172">
        <v>270.25</v>
      </c>
      <c r="H1054" s="79"/>
      <c r="I1054" s="79"/>
      <c r="J1054" s="79"/>
      <c r="K1054" s="79"/>
      <c r="L1054" s="79"/>
      <c r="M1054" s="79"/>
    </row>
    <row r="1055" spans="1:13" ht="15.75" hidden="1" customHeight="1">
      <c r="A1055" s="79"/>
      <c r="B1055" s="160"/>
      <c r="C1055" s="160"/>
      <c r="D1055" s="160"/>
      <c r="E1055" s="161" t="s">
        <v>755</v>
      </c>
      <c r="F1055" s="161"/>
      <c r="G1055" s="162">
        <v>0</v>
      </c>
      <c r="H1055" s="79"/>
      <c r="I1055" s="79"/>
      <c r="J1055" s="79"/>
      <c r="K1055" s="79"/>
      <c r="L1055" s="79"/>
      <c r="M1055" s="79"/>
    </row>
    <row r="1056" spans="1:13" ht="15.75" hidden="1" customHeight="1">
      <c r="A1056" s="79"/>
      <c r="B1056" s="155">
        <v>45868</v>
      </c>
      <c r="C1056" s="156">
        <v>0</v>
      </c>
      <c r="D1056" s="156">
        <v>13105</v>
      </c>
      <c r="E1056" s="157" t="s">
        <v>31</v>
      </c>
      <c r="F1056" s="158">
        <v>73012</v>
      </c>
      <c r="G1056" s="172">
        <v>95</v>
      </c>
      <c r="H1056" s="79"/>
      <c r="I1056" s="79"/>
      <c r="J1056" s="79"/>
      <c r="K1056" s="79"/>
      <c r="L1056" s="79"/>
      <c r="M1056" s="79"/>
    </row>
    <row r="1057" spans="1:13" ht="15.75" hidden="1" customHeight="1">
      <c r="A1057" s="79"/>
      <c r="B1057" s="160"/>
      <c r="C1057" s="160"/>
      <c r="D1057" s="160"/>
      <c r="E1057" s="161" t="s">
        <v>43</v>
      </c>
      <c r="F1057" s="161"/>
      <c r="G1057" s="162">
        <v>0</v>
      </c>
      <c r="H1057" s="79"/>
      <c r="I1057" s="79"/>
      <c r="J1057" s="79"/>
      <c r="K1057" s="79"/>
      <c r="L1057" s="79"/>
      <c r="M1057" s="79"/>
    </row>
    <row r="1058" spans="1:13" ht="15.75" hidden="1" customHeight="1">
      <c r="A1058" s="79"/>
      <c r="B1058" s="155">
        <v>45868</v>
      </c>
      <c r="C1058" s="156">
        <v>0</v>
      </c>
      <c r="D1058" s="156">
        <v>13105</v>
      </c>
      <c r="E1058" s="157" t="s">
        <v>31</v>
      </c>
      <c r="F1058" s="158">
        <v>73013</v>
      </c>
      <c r="G1058" s="172">
        <v>210.36</v>
      </c>
      <c r="H1058" s="79"/>
      <c r="I1058" s="79"/>
      <c r="J1058" s="79"/>
      <c r="K1058" s="79"/>
      <c r="L1058" s="79"/>
      <c r="M1058" s="79"/>
    </row>
    <row r="1059" spans="1:13" ht="15.75" hidden="1" customHeight="1">
      <c r="A1059" s="79"/>
      <c r="B1059" s="160"/>
      <c r="C1059" s="160"/>
      <c r="D1059" s="160"/>
      <c r="E1059" s="161" t="s">
        <v>45</v>
      </c>
      <c r="F1059" s="161"/>
      <c r="G1059" s="162">
        <v>0</v>
      </c>
      <c r="H1059" s="79"/>
      <c r="I1059" s="79"/>
      <c r="J1059" s="79"/>
      <c r="K1059" s="79"/>
      <c r="L1059" s="79"/>
      <c r="M1059" s="79"/>
    </row>
    <row r="1060" spans="1:13" ht="15.75" hidden="1" customHeight="1">
      <c r="A1060" s="79"/>
      <c r="B1060" s="155">
        <v>45868</v>
      </c>
      <c r="C1060" s="156">
        <v>0</v>
      </c>
      <c r="D1060" s="156">
        <v>13105</v>
      </c>
      <c r="E1060" s="157" t="s">
        <v>31</v>
      </c>
      <c r="F1060" s="158">
        <v>73014</v>
      </c>
      <c r="G1060" s="172">
        <v>190.35</v>
      </c>
      <c r="H1060" s="79"/>
      <c r="I1060" s="79"/>
      <c r="J1060" s="79"/>
      <c r="K1060" s="79"/>
      <c r="L1060" s="79"/>
      <c r="M1060" s="79"/>
    </row>
    <row r="1061" spans="1:13" ht="15.75" hidden="1" customHeight="1">
      <c r="A1061" s="79"/>
      <c r="B1061" s="160"/>
      <c r="C1061" s="160"/>
      <c r="D1061" s="160"/>
      <c r="E1061" s="161" t="s">
        <v>50</v>
      </c>
      <c r="F1061" s="161"/>
      <c r="G1061" s="162">
        <v>0</v>
      </c>
      <c r="H1061" s="79"/>
      <c r="I1061" s="79"/>
      <c r="J1061" s="79"/>
      <c r="K1061" s="79"/>
      <c r="L1061" s="79"/>
      <c r="M1061" s="79"/>
    </row>
    <row r="1062" spans="1:13" ht="15.75" hidden="1" customHeight="1">
      <c r="A1062" s="79"/>
      <c r="B1062" s="155">
        <v>45868</v>
      </c>
      <c r="C1062" s="156">
        <v>0</v>
      </c>
      <c r="D1062" s="156">
        <v>13105</v>
      </c>
      <c r="E1062" s="157" t="s">
        <v>31</v>
      </c>
      <c r="F1062" s="158">
        <v>73015</v>
      </c>
      <c r="G1062" s="172">
        <v>1102.5999999999999</v>
      </c>
      <c r="H1062" s="79"/>
      <c r="I1062" s="79"/>
      <c r="J1062" s="79"/>
      <c r="K1062" s="79"/>
      <c r="L1062" s="79"/>
      <c r="M1062" s="79"/>
    </row>
    <row r="1063" spans="1:13" ht="15.75" hidden="1" customHeight="1">
      <c r="A1063" s="79"/>
      <c r="B1063" s="160"/>
      <c r="C1063" s="160"/>
      <c r="D1063" s="160"/>
      <c r="E1063" s="161" t="s">
        <v>440</v>
      </c>
      <c r="F1063" s="161"/>
      <c r="G1063" s="162">
        <v>0</v>
      </c>
      <c r="H1063" s="79"/>
      <c r="I1063" s="79"/>
      <c r="J1063" s="79"/>
      <c r="K1063" s="79"/>
      <c r="L1063" s="79"/>
      <c r="M1063" s="79"/>
    </row>
    <row r="1064" spans="1:13" ht="15.75" hidden="1" customHeight="1">
      <c r="A1064" s="79"/>
      <c r="B1064" s="155">
        <v>45868</v>
      </c>
      <c r="C1064" s="156">
        <v>0</v>
      </c>
      <c r="D1064" s="156">
        <v>0</v>
      </c>
      <c r="E1064" s="157" t="s">
        <v>59</v>
      </c>
      <c r="F1064" s="158">
        <v>9903</v>
      </c>
      <c r="G1064" s="172">
        <v>1768.9</v>
      </c>
      <c r="H1064" s="79"/>
      <c r="I1064" s="79"/>
      <c r="J1064" s="79"/>
      <c r="K1064" s="79"/>
      <c r="L1064" s="79"/>
      <c r="M1064" s="79"/>
    </row>
    <row r="1065" spans="1:13" ht="15.75" hidden="1" customHeight="1">
      <c r="A1065" s="79"/>
      <c r="B1065" s="160"/>
      <c r="C1065" s="160"/>
      <c r="D1065" s="160"/>
      <c r="E1065" s="161" t="s">
        <v>53</v>
      </c>
      <c r="F1065" s="161"/>
      <c r="G1065" s="162">
        <v>0</v>
      </c>
      <c r="H1065" s="79"/>
      <c r="I1065" s="79"/>
      <c r="J1065" s="79"/>
      <c r="K1065" s="79"/>
      <c r="L1065" s="79"/>
      <c r="M1065" s="79"/>
    </row>
    <row r="1066" spans="1:13" ht="15.75" hidden="1" customHeight="1">
      <c r="A1066" s="79"/>
      <c r="B1066" s="155">
        <v>45869</v>
      </c>
      <c r="C1066" s="156">
        <v>128</v>
      </c>
      <c r="D1066" s="156">
        <v>99021</v>
      </c>
      <c r="E1066" s="157" t="s">
        <v>27</v>
      </c>
      <c r="F1066" s="158">
        <v>610128000064860</v>
      </c>
      <c r="G1066" s="159">
        <v>957.24</v>
      </c>
      <c r="H1066" s="79"/>
      <c r="I1066" s="79"/>
      <c r="J1066" s="79"/>
      <c r="K1066" s="79"/>
      <c r="L1066" s="79"/>
      <c r="M1066" s="79"/>
    </row>
    <row r="1067" spans="1:13" ht="15.75" hidden="1" customHeight="1">
      <c r="A1067" s="79"/>
      <c r="B1067" s="160"/>
      <c r="C1067" s="160"/>
      <c r="D1067" s="160"/>
      <c r="E1067" s="161" t="s">
        <v>1030</v>
      </c>
      <c r="F1067" s="161"/>
      <c r="G1067" s="162">
        <v>0</v>
      </c>
      <c r="H1067" s="79"/>
      <c r="I1067" s="79"/>
      <c r="J1067" s="79"/>
      <c r="K1067" s="79"/>
      <c r="L1067" s="79"/>
      <c r="M1067" s="79"/>
    </row>
    <row r="1068" spans="1:13" ht="15.75" hidden="1" customHeight="1">
      <c r="A1068" s="79"/>
      <c r="B1068" s="155">
        <v>45869</v>
      </c>
      <c r="C1068" s="156">
        <v>5072</v>
      </c>
      <c r="D1068" s="156">
        <v>99021</v>
      </c>
      <c r="E1068" s="157" t="s">
        <v>27</v>
      </c>
      <c r="F1068" s="158">
        <v>615072000004700</v>
      </c>
      <c r="G1068" s="159">
        <v>480.26</v>
      </c>
      <c r="H1068" s="79"/>
      <c r="I1068" s="79"/>
      <c r="J1068" s="79"/>
      <c r="K1068" s="79"/>
      <c r="L1068" s="79"/>
      <c r="M1068" s="79"/>
    </row>
    <row r="1069" spans="1:13" ht="15.75" hidden="1" customHeight="1">
      <c r="A1069" s="79"/>
      <c r="B1069" s="160"/>
      <c r="C1069" s="160"/>
      <c r="D1069" s="160"/>
      <c r="E1069" s="161" t="s">
        <v>1031</v>
      </c>
      <c r="F1069" s="161"/>
      <c r="G1069" s="162">
        <v>0</v>
      </c>
      <c r="H1069" s="79"/>
      <c r="I1069" s="79"/>
      <c r="J1069" s="79"/>
      <c r="K1069" s="79"/>
      <c r="L1069" s="79"/>
      <c r="M1069" s="79"/>
    </row>
    <row r="1070" spans="1:13" ht="15.75" hidden="1" customHeight="1">
      <c r="A1070" s="79"/>
      <c r="B1070" s="155">
        <v>45869</v>
      </c>
      <c r="C1070" s="156">
        <v>0</v>
      </c>
      <c r="D1070" s="156">
        <v>14175</v>
      </c>
      <c r="E1070" s="157" t="s">
        <v>62</v>
      </c>
      <c r="F1070" s="158">
        <v>34748135</v>
      </c>
      <c r="G1070" s="159">
        <v>1500</v>
      </c>
      <c r="H1070" s="79"/>
      <c r="I1070" s="79"/>
      <c r="J1070" s="79"/>
      <c r="K1070" s="79"/>
      <c r="L1070" s="79"/>
      <c r="M1070" s="79"/>
    </row>
    <row r="1071" spans="1:13" ht="15.75" hidden="1" customHeight="1">
      <c r="A1071" s="79"/>
      <c r="B1071" s="160"/>
      <c r="C1071" s="160"/>
      <c r="D1071" s="160"/>
      <c r="E1071" s="161" t="s">
        <v>97</v>
      </c>
      <c r="F1071" s="161"/>
      <c r="G1071" s="162">
        <v>0</v>
      </c>
      <c r="H1071" s="79"/>
      <c r="I1071" s="79"/>
      <c r="J1071" s="79"/>
      <c r="K1071" s="79"/>
      <c r="L1071" s="79"/>
      <c r="M1071" s="79"/>
    </row>
    <row r="1072" spans="1:13" ht="15.75" hidden="1" customHeight="1">
      <c r="A1072" s="79"/>
      <c r="B1072" s="155">
        <v>45869</v>
      </c>
      <c r="C1072" s="156">
        <v>0</v>
      </c>
      <c r="D1072" s="156">
        <v>14175</v>
      </c>
      <c r="E1072" s="157" t="s">
        <v>62</v>
      </c>
      <c r="F1072" s="158">
        <v>389381312</v>
      </c>
      <c r="G1072" s="159">
        <v>3000</v>
      </c>
      <c r="H1072" s="79"/>
      <c r="I1072" s="79"/>
      <c r="J1072" s="79"/>
      <c r="K1072" s="79"/>
      <c r="L1072" s="79"/>
      <c r="M1072" s="79"/>
    </row>
    <row r="1073" spans="1:13" ht="15.75" hidden="1" customHeight="1">
      <c r="A1073" s="79"/>
      <c r="B1073" s="160"/>
      <c r="C1073" s="160"/>
      <c r="D1073" s="160"/>
      <c r="E1073" s="161" t="s">
        <v>97</v>
      </c>
      <c r="F1073" s="161"/>
      <c r="G1073" s="162">
        <v>0</v>
      </c>
      <c r="H1073" s="79"/>
      <c r="I1073" s="79"/>
      <c r="J1073" s="79"/>
      <c r="K1073" s="79"/>
      <c r="L1073" s="79"/>
      <c r="M1073" s="79"/>
    </row>
    <row r="1074" spans="1:13" ht="15.75" customHeight="1">
      <c r="A1074" s="163" t="s">
        <v>140</v>
      </c>
      <c r="B1074" s="155">
        <v>45869</v>
      </c>
      <c r="C1074" s="156">
        <v>0</v>
      </c>
      <c r="D1074" s="156">
        <v>14138</v>
      </c>
      <c r="E1074" s="157" t="s">
        <v>141</v>
      </c>
      <c r="F1074" s="158">
        <v>202507300089003</v>
      </c>
      <c r="G1074" s="159">
        <v>12.89</v>
      </c>
      <c r="H1074" s="160" t="s">
        <v>1032</v>
      </c>
      <c r="I1074" s="160" t="s">
        <v>419</v>
      </c>
      <c r="J1074" s="79"/>
      <c r="K1074" s="79"/>
      <c r="L1074" s="79"/>
      <c r="M1074" s="79"/>
    </row>
    <row r="1075" spans="1:13" ht="15.75" hidden="1" customHeight="1">
      <c r="A1075" s="79"/>
      <c r="B1075" s="160"/>
      <c r="C1075" s="160"/>
      <c r="D1075" s="160"/>
      <c r="E1075" s="161" t="s">
        <v>143</v>
      </c>
      <c r="F1075" s="161"/>
      <c r="G1075" s="162">
        <v>0</v>
      </c>
      <c r="H1075" s="79"/>
      <c r="I1075" s="79"/>
      <c r="J1075" s="79"/>
      <c r="K1075" s="79"/>
      <c r="L1075" s="79"/>
      <c r="M1075" s="79"/>
    </row>
    <row r="1076" spans="1:13" ht="15.75" customHeight="1">
      <c r="A1076" s="163" t="s">
        <v>140</v>
      </c>
      <c r="B1076" s="155">
        <v>45869</v>
      </c>
      <c r="C1076" s="156">
        <v>0</v>
      </c>
      <c r="D1076" s="156">
        <v>14138</v>
      </c>
      <c r="E1076" s="157" t="s">
        <v>141</v>
      </c>
      <c r="F1076" s="158">
        <v>202507300089004</v>
      </c>
      <c r="G1076" s="159">
        <v>609.28</v>
      </c>
      <c r="H1076" s="79" t="s">
        <v>1033</v>
      </c>
      <c r="I1076" s="79" t="s">
        <v>419</v>
      </c>
      <c r="J1076" s="79"/>
      <c r="K1076" s="79"/>
      <c r="L1076" s="79"/>
      <c r="M1076" s="79"/>
    </row>
    <row r="1077" spans="1:13" ht="15.75" hidden="1" customHeight="1">
      <c r="A1077" s="79"/>
      <c r="B1077" s="160"/>
      <c r="C1077" s="160"/>
      <c r="D1077" s="160"/>
      <c r="E1077" s="161" t="s">
        <v>143</v>
      </c>
      <c r="F1077" s="161"/>
      <c r="G1077" s="162">
        <v>0</v>
      </c>
      <c r="H1077" s="79"/>
      <c r="I1077" s="79"/>
      <c r="J1077" s="79"/>
      <c r="K1077" s="79"/>
      <c r="L1077" s="79"/>
      <c r="M1077" s="79"/>
    </row>
    <row r="1078" spans="1:13" ht="15.75" customHeight="1">
      <c r="A1078" s="163" t="s">
        <v>140</v>
      </c>
      <c r="B1078" s="155">
        <v>45869</v>
      </c>
      <c r="C1078" s="156">
        <v>0</v>
      </c>
      <c r="D1078" s="156">
        <v>14138</v>
      </c>
      <c r="E1078" s="157" t="s">
        <v>141</v>
      </c>
      <c r="F1078" s="158">
        <v>202507300089007</v>
      </c>
      <c r="G1078" s="159">
        <v>12.89</v>
      </c>
      <c r="H1078" s="160" t="s">
        <v>1034</v>
      </c>
      <c r="I1078" s="160" t="s">
        <v>419</v>
      </c>
      <c r="J1078" s="79"/>
      <c r="K1078" s="79"/>
      <c r="L1078" s="79"/>
      <c r="M1078" s="79"/>
    </row>
    <row r="1079" spans="1:13" ht="15.75" hidden="1" customHeight="1">
      <c r="A1079" s="79"/>
      <c r="B1079" s="160"/>
      <c r="C1079" s="160"/>
      <c r="D1079" s="160"/>
      <c r="E1079" s="161" t="s">
        <v>143</v>
      </c>
      <c r="F1079" s="161"/>
      <c r="G1079" s="162">
        <v>0</v>
      </c>
      <c r="H1079" s="79"/>
      <c r="I1079" s="79"/>
      <c r="J1079" s="79"/>
      <c r="K1079" s="79"/>
      <c r="L1079" s="79"/>
      <c r="M1079" s="79"/>
    </row>
    <row r="1080" spans="1:13" ht="15.75" customHeight="1">
      <c r="A1080" s="163" t="s">
        <v>140</v>
      </c>
      <c r="B1080" s="155">
        <v>45869</v>
      </c>
      <c r="C1080" s="156">
        <v>0</v>
      </c>
      <c r="D1080" s="156">
        <v>14138</v>
      </c>
      <c r="E1080" s="157" t="s">
        <v>141</v>
      </c>
      <c r="F1080" s="158">
        <v>202507300089008</v>
      </c>
      <c r="G1080" s="159">
        <v>609.28</v>
      </c>
      <c r="H1080" s="79" t="s">
        <v>1035</v>
      </c>
      <c r="I1080" s="79" t="s">
        <v>419</v>
      </c>
      <c r="J1080" s="79"/>
      <c r="K1080" s="79"/>
      <c r="L1080" s="79"/>
      <c r="M1080" s="79"/>
    </row>
    <row r="1081" spans="1:13" ht="15.75" hidden="1" customHeight="1">
      <c r="A1081" s="79"/>
      <c r="B1081" s="160"/>
      <c r="C1081" s="160"/>
      <c r="D1081" s="160"/>
      <c r="E1081" s="161" t="s">
        <v>143</v>
      </c>
      <c r="F1081" s="161"/>
      <c r="G1081" s="162">
        <v>0</v>
      </c>
      <c r="H1081" s="79"/>
      <c r="I1081" s="79"/>
      <c r="J1081" s="79"/>
      <c r="K1081" s="79"/>
      <c r="L1081" s="79"/>
      <c r="M1081" s="79"/>
    </row>
    <row r="1082" spans="1:13" ht="15.75" hidden="1" customHeight="1">
      <c r="A1082" s="79"/>
      <c r="B1082" s="155">
        <v>45869</v>
      </c>
      <c r="C1082" s="156">
        <v>0</v>
      </c>
      <c r="D1082" s="156">
        <v>14397</v>
      </c>
      <c r="E1082" s="157" t="s">
        <v>57</v>
      </c>
      <c r="F1082" s="158">
        <v>311351386469482</v>
      </c>
      <c r="G1082" s="159">
        <v>5000</v>
      </c>
      <c r="H1082" s="79"/>
      <c r="I1082" s="79"/>
      <c r="J1082" s="79"/>
      <c r="K1082" s="79"/>
      <c r="L1082" s="79"/>
      <c r="M1082" s="79"/>
    </row>
    <row r="1083" spans="1:13" ht="15.75" hidden="1" customHeight="1">
      <c r="A1083" s="79"/>
      <c r="B1083" s="160"/>
      <c r="C1083" s="160"/>
      <c r="D1083" s="160"/>
      <c r="E1083" s="161" t="s">
        <v>1036</v>
      </c>
      <c r="F1083" s="161"/>
      <c r="G1083" s="162">
        <v>0</v>
      </c>
      <c r="H1083" s="79"/>
      <c r="I1083" s="79"/>
      <c r="J1083" s="79"/>
      <c r="K1083" s="79"/>
      <c r="L1083" s="79"/>
      <c r="M1083" s="79"/>
    </row>
    <row r="1084" spans="1:13" ht="15.75" hidden="1" customHeight="1">
      <c r="A1084" s="79"/>
      <c r="B1084" s="155">
        <v>45869</v>
      </c>
      <c r="C1084" s="156">
        <v>0</v>
      </c>
      <c r="D1084" s="156">
        <v>14397</v>
      </c>
      <c r="E1084" s="157" t="s">
        <v>57</v>
      </c>
      <c r="F1084" s="158">
        <v>311729272410541</v>
      </c>
      <c r="G1084" s="159">
        <v>178.2</v>
      </c>
      <c r="H1084" s="79"/>
      <c r="I1084" s="79"/>
      <c r="J1084" s="79"/>
      <c r="K1084" s="79"/>
      <c r="L1084" s="79"/>
      <c r="M1084" s="79"/>
    </row>
    <row r="1085" spans="1:13" ht="15.75" hidden="1" customHeight="1">
      <c r="A1085" s="79"/>
      <c r="B1085" s="160"/>
      <c r="C1085" s="160"/>
      <c r="D1085" s="160"/>
      <c r="E1085" s="161" t="s">
        <v>1037</v>
      </c>
      <c r="F1085" s="161"/>
      <c r="G1085" s="162">
        <v>0</v>
      </c>
      <c r="H1085" s="79"/>
      <c r="I1085" s="79"/>
      <c r="J1085" s="79"/>
      <c r="K1085" s="79"/>
      <c r="L1085" s="79"/>
      <c r="M1085" s="79"/>
    </row>
    <row r="1086" spans="1:13" ht="15.75" hidden="1" customHeight="1">
      <c r="A1086" s="79"/>
      <c r="B1086" s="155">
        <v>45869</v>
      </c>
      <c r="C1086" s="156">
        <v>0</v>
      </c>
      <c r="D1086" s="156">
        <v>14397</v>
      </c>
      <c r="E1086" s="157" t="s">
        <v>57</v>
      </c>
      <c r="F1086" s="158">
        <v>311733267572102</v>
      </c>
      <c r="G1086" s="159">
        <v>194.37</v>
      </c>
      <c r="H1086" s="79"/>
      <c r="I1086" s="79"/>
      <c r="J1086" s="79"/>
      <c r="K1086" s="79"/>
      <c r="L1086" s="79"/>
      <c r="M1086" s="79"/>
    </row>
    <row r="1087" spans="1:13" ht="15.75" hidden="1" customHeight="1">
      <c r="A1087" s="79"/>
      <c r="B1087" s="160"/>
      <c r="C1087" s="160"/>
      <c r="D1087" s="160"/>
      <c r="E1087" s="161" t="s">
        <v>1038</v>
      </c>
      <c r="F1087" s="161"/>
      <c r="G1087" s="162">
        <v>0</v>
      </c>
      <c r="H1087" s="79"/>
      <c r="I1087" s="79"/>
      <c r="J1087" s="79"/>
      <c r="K1087" s="79"/>
      <c r="L1087" s="79"/>
      <c r="M1087" s="79"/>
    </row>
    <row r="1088" spans="1:13" ht="15.75" hidden="1" customHeight="1">
      <c r="A1088" s="79"/>
      <c r="B1088" s="155">
        <v>45869</v>
      </c>
      <c r="C1088" s="156">
        <v>0</v>
      </c>
      <c r="D1088" s="156">
        <v>14397</v>
      </c>
      <c r="E1088" s="157" t="s">
        <v>57</v>
      </c>
      <c r="F1088" s="158">
        <v>311734389736932</v>
      </c>
      <c r="G1088" s="159">
        <v>194.36</v>
      </c>
      <c r="H1088" s="79"/>
      <c r="I1088" s="79"/>
      <c r="J1088" s="79"/>
      <c r="K1088" s="79"/>
      <c r="L1088" s="79"/>
      <c r="M1088" s="79"/>
    </row>
    <row r="1089" spans="1:13" ht="15.75" hidden="1" customHeight="1">
      <c r="A1089" s="79"/>
      <c r="B1089" s="160"/>
      <c r="C1089" s="160"/>
      <c r="D1089" s="160"/>
      <c r="E1089" s="161" t="s">
        <v>1039</v>
      </c>
      <c r="F1089" s="161"/>
      <c r="G1089" s="162">
        <v>0</v>
      </c>
      <c r="H1089" s="79"/>
      <c r="I1089" s="79"/>
      <c r="J1089" s="79"/>
      <c r="K1089" s="79"/>
      <c r="L1089" s="79"/>
      <c r="M1089" s="79"/>
    </row>
    <row r="1090" spans="1:13" ht="15.75" hidden="1" customHeight="1">
      <c r="A1090" s="79"/>
      <c r="B1090" s="155">
        <v>45869</v>
      </c>
      <c r="C1090" s="156">
        <v>0</v>
      </c>
      <c r="D1090" s="156">
        <v>14397</v>
      </c>
      <c r="E1090" s="157" t="s">
        <v>57</v>
      </c>
      <c r="F1090" s="158">
        <v>311736262445262</v>
      </c>
      <c r="G1090" s="159">
        <v>257.45999999999998</v>
      </c>
      <c r="H1090" s="79"/>
      <c r="I1090" s="79"/>
      <c r="J1090" s="79"/>
      <c r="K1090" s="79"/>
      <c r="L1090" s="79"/>
      <c r="M1090" s="79"/>
    </row>
    <row r="1091" spans="1:13" ht="15.75" hidden="1" customHeight="1">
      <c r="A1091" s="79"/>
      <c r="B1091" s="160"/>
      <c r="C1091" s="160"/>
      <c r="D1091" s="160"/>
      <c r="E1091" s="161" t="s">
        <v>1040</v>
      </c>
      <c r="F1091" s="161"/>
      <c r="G1091" s="162">
        <v>0</v>
      </c>
      <c r="H1091" s="79"/>
      <c r="I1091" s="79"/>
      <c r="J1091" s="79"/>
      <c r="K1091" s="79"/>
      <c r="L1091" s="79"/>
      <c r="M1091" s="79"/>
    </row>
    <row r="1092" spans="1:13" ht="15.75" hidden="1" customHeight="1">
      <c r="A1092" s="79"/>
      <c r="B1092" s="155">
        <v>45869</v>
      </c>
      <c r="C1092" s="156">
        <v>0</v>
      </c>
      <c r="D1092" s="156">
        <v>14397</v>
      </c>
      <c r="E1092" s="157" t="s">
        <v>57</v>
      </c>
      <c r="F1092" s="158">
        <v>311738159216421</v>
      </c>
      <c r="G1092" s="159">
        <v>260.17</v>
      </c>
      <c r="H1092" s="79"/>
      <c r="I1092" s="79"/>
      <c r="J1092" s="79"/>
      <c r="K1092" s="79"/>
      <c r="L1092" s="79"/>
      <c r="M1092" s="79"/>
    </row>
    <row r="1093" spans="1:13" ht="15.75" hidden="1" customHeight="1">
      <c r="A1093" s="79"/>
      <c r="B1093" s="160"/>
      <c r="C1093" s="160"/>
      <c r="D1093" s="160"/>
      <c r="E1093" s="161" t="s">
        <v>1041</v>
      </c>
      <c r="F1093" s="161"/>
      <c r="G1093" s="162">
        <v>0</v>
      </c>
      <c r="H1093" s="79"/>
      <c r="I1093" s="79"/>
      <c r="J1093" s="79"/>
      <c r="K1093" s="79"/>
      <c r="L1093" s="79"/>
      <c r="M1093" s="79"/>
    </row>
    <row r="1094" spans="1:13" ht="15.75" hidden="1" customHeight="1">
      <c r="A1094" s="79"/>
      <c r="B1094" s="155">
        <v>45869</v>
      </c>
      <c r="C1094" s="156">
        <v>0</v>
      </c>
      <c r="D1094" s="156">
        <v>14397</v>
      </c>
      <c r="E1094" s="157" t="s">
        <v>57</v>
      </c>
      <c r="F1094" s="158">
        <v>311740027329122</v>
      </c>
      <c r="G1094" s="159">
        <v>295.3</v>
      </c>
      <c r="H1094" s="79"/>
      <c r="I1094" s="79"/>
      <c r="J1094" s="79"/>
      <c r="K1094" s="79"/>
      <c r="L1094" s="79"/>
      <c r="M1094" s="79"/>
    </row>
    <row r="1095" spans="1:13" ht="15.75" hidden="1" customHeight="1">
      <c r="A1095" s="79"/>
      <c r="B1095" s="160"/>
      <c r="C1095" s="160"/>
      <c r="D1095" s="160"/>
      <c r="E1095" s="161" t="s">
        <v>1042</v>
      </c>
      <c r="F1095" s="161"/>
      <c r="G1095" s="162">
        <v>0</v>
      </c>
      <c r="H1095" s="79"/>
      <c r="I1095" s="79"/>
      <c r="J1095" s="79"/>
      <c r="K1095" s="79"/>
      <c r="L1095" s="79"/>
      <c r="M1095" s="79"/>
    </row>
    <row r="1096" spans="1:13" ht="15.75" hidden="1" customHeight="1">
      <c r="A1096" s="79"/>
      <c r="B1096" s="155">
        <v>45869</v>
      </c>
      <c r="C1096" s="156">
        <v>0</v>
      </c>
      <c r="D1096" s="156">
        <v>14397</v>
      </c>
      <c r="E1096" s="157" t="s">
        <v>57</v>
      </c>
      <c r="F1096" s="158">
        <v>311741192928562</v>
      </c>
      <c r="G1096" s="159">
        <v>257.45999999999998</v>
      </c>
      <c r="H1096" s="79"/>
      <c r="I1096" s="79"/>
      <c r="J1096" s="79"/>
      <c r="K1096" s="79"/>
      <c r="L1096" s="79"/>
      <c r="M1096" s="79"/>
    </row>
    <row r="1097" spans="1:13" ht="15.75" hidden="1" customHeight="1">
      <c r="A1097" s="79"/>
      <c r="B1097" s="160"/>
      <c r="C1097" s="160"/>
      <c r="D1097" s="160"/>
      <c r="E1097" s="161" t="s">
        <v>1043</v>
      </c>
      <c r="F1097" s="161"/>
      <c r="G1097" s="162">
        <v>0</v>
      </c>
      <c r="H1097" s="79"/>
      <c r="I1097" s="79"/>
      <c r="J1097" s="79"/>
      <c r="K1097" s="79"/>
      <c r="L1097" s="79"/>
      <c r="M1097" s="79"/>
    </row>
    <row r="1098" spans="1:13" ht="15.75" hidden="1" customHeight="1">
      <c r="A1098" s="79"/>
      <c r="B1098" s="155">
        <v>45869</v>
      </c>
      <c r="C1098" s="156">
        <v>0</v>
      </c>
      <c r="D1098" s="156">
        <v>14397</v>
      </c>
      <c r="E1098" s="157" t="s">
        <v>57</v>
      </c>
      <c r="F1098" s="158">
        <v>311745093754092</v>
      </c>
      <c r="G1098" s="159">
        <v>307.24</v>
      </c>
      <c r="H1098" s="79"/>
      <c r="I1098" s="79"/>
      <c r="J1098" s="79"/>
      <c r="K1098" s="79"/>
      <c r="L1098" s="79"/>
      <c r="M1098" s="79"/>
    </row>
    <row r="1099" spans="1:13" ht="15.75" hidden="1" customHeight="1">
      <c r="A1099" s="79"/>
      <c r="B1099" s="160"/>
      <c r="C1099" s="160"/>
      <c r="D1099" s="160"/>
      <c r="E1099" s="161" t="s">
        <v>1044</v>
      </c>
      <c r="F1099" s="161"/>
      <c r="G1099" s="162">
        <v>0</v>
      </c>
      <c r="H1099" s="79"/>
      <c r="I1099" s="79"/>
      <c r="J1099" s="79"/>
      <c r="K1099" s="79"/>
      <c r="L1099" s="79"/>
      <c r="M1099" s="79"/>
    </row>
    <row r="1100" spans="1:13" ht="15.75" hidden="1" customHeight="1">
      <c r="A1100" s="79"/>
      <c r="B1100" s="155">
        <v>45869</v>
      </c>
      <c r="C1100" s="156">
        <v>1533</v>
      </c>
      <c r="D1100" s="156">
        <v>99008</v>
      </c>
      <c r="E1100" s="157" t="s">
        <v>29</v>
      </c>
      <c r="F1100" s="158">
        <v>52650</v>
      </c>
      <c r="G1100" s="172">
        <v>220.1</v>
      </c>
      <c r="H1100" s="79"/>
      <c r="I1100" s="79"/>
      <c r="J1100" s="79"/>
      <c r="K1100" s="79"/>
      <c r="L1100" s="79"/>
      <c r="M1100" s="79"/>
    </row>
    <row r="1101" spans="1:13" ht="15.75" hidden="1" customHeight="1">
      <c r="A1101" s="79"/>
      <c r="B1101" s="160"/>
      <c r="C1101" s="160"/>
      <c r="D1101" s="160"/>
      <c r="E1101" s="161" t="s">
        <v>1045</v>
      </c>
      <c r="F1101" s="161"/>
      <c r="G1101" s="162">
        <v>0</v>
      </c>
      <c r="H1101" s="79"/>
      <c r="I1101" s="79"/>
      <c r="J1101" s="79"/>
      <c r="K1101" s="79"/>
      <c r="L1101" s="79"/>
      <c r="M1101" s="79"/>
    </row>
    <row r="1102" spans="1:13" ht="15.75" hidden="1" customHeight="1">
      <c r="A1102" s="79"/>
      <c r="B1102" s="155">
        <v>45869</v>
      </c>
      <c r="C1102" s="156">
        <v>1533</v>
      </c>
      <c r="D1102" s="156">
        <v>99008</v>
      </c>
      <c r="E1102" s="157" t="s">
        <v>29</v>
      </c>
      <c r="F1102" s="158">
        <v>60193</v>
      </c>
      <c r="G1102" s="172">
        <v>40</v>
      </c>
      <c r="H1102" s="79"/>
      <c r="I1102" s="79"/>
      <c r="J1102" s="79"/>
      <c r="K1102" s="79"/>
      <c r="L1102" s="79"/>
      <c r="M1102" s="79"/>
    </row>
    <row r="1103" spans="1:13" ht="15.75" hidden="1" customHeight="1">
      <c r="A1103" s="79"/>
      <c r="B1103" s="155">
        <v>45869</v>
      </c>
      <c r="C1103" s="156">
        <v>1533</v>
      </c>
      <c r="D1103" s="156">
        <v>99008</v>
      </c>
      <c r="E1103" s="157" t="s">
        <v>29</v>
      </c>
      <c r="F1103" s="158">
        <v>480447</v>
      </c>
      <c r="G1103" s="172">
        <v>287.04000000000002</v>
      </c>
      <c r="H1103" s="79"/>
      <c r="I1103" s="79"/>
      <c r="J1103" s="79"/>
      <c r="K1103" s="79"/>
      <c r="L1103" s="79"/>
      <c r="M1103" s="79"/>
    </row>
    <row r="1104" spans="1:13" ht="15.75" hidden="1" customHeight="1">
      <c r="A1104" s="79"/>
      <c r="B1104" s="160"/>
      <c r="C1104" s="160"/>
      <c r="D1104" s="160"/>
      <c r="E1104" s="161" t="s">
        <v>1046</v>
      </c>
      <c r="F1104" s="161"/>
      <c r="G1104" s="162">
        <v>0</v>
      </c>
      <c r="H1104" s="79"/>
      <c r="I1104" s="79"/>
      <c r="J1104" s="79"/>
      <c r="K1104" s="79"/>
      <c r="L1104" s="79"/>
      <c r="M1104" s="79"/>
    </row>
    <row r="1105" spans="1:13" ht="15.75" hidden="1" customHeight="1">
      <c r="A1105" s="79"/>
      <c r="B1105" s="155">
        <v>45869</v>
      </c>
      <c r="C1105" s="156">
        <v>1533</v>
      </c>
      <c r="D1105" s="156">
        <v>99015</v>
      </c>
      <c r="E1105" s="157" t="s">
        <v>195</v>
      </c>
      <c r="F1105" s="158">
        <v>551845000113366</v>
      </c>
      <c r="G1105" s="172">
        <v>4486</v>
      </c>
      <c r="H1105" s="79"/>
      <c r="I1105" s="79"/>
      <c r="J1105" s="79"/>
      <c r="K1105" s="79"/>
      <c r="L1105" s="79"/>
      <c r="M1105" s="79"/>
    </row>
    <row r="1106" spans="1:13" ht="15.75" hidden="1" customHeight="1">
      <c r="A1106" s="79"/>
      <c r="B1106" s="160"/>
      <c r="C1106" s="160"/>
      <c r="D1106" s="160"/>
      <c r="E1106" s="161" t="s">
        <v>1047</v>
      </c>
      <c r="F1106" s="161"/>
      <c r="G1106" s="162">
        <v>0</v>
      </c>
      <c r="H1106" s="79"/>
      <c r="I1106" s="79"/>
      <c r="J1106" s="79"/>
      <c r="K1106" s="79"/>
      <c r="L1106" s="79"/>
      <c r="M1106" s="79"/>
    </row>
    <row r="1107" spans="1:13" ht="15.75" hidden="1" customHeight="1">
      <c r="A1107" s="79"/>
      <c r="B1107" s="155">
        <v>45869</v>
      </c>
      <c r="C1107" s="156">
        <v>0</v>
      </c>
      <c r="D1107" s="156">
        <v>13105</v>
      </c>
      <c r="E1107" s="157" t="s">
        <v>31</v>
      </c>
      <c r="F1107" s="158">
        <v>73102</v>
      </c>
      <c r="G1107" s="172">
        <v>190.35</v>
      </c>
      <c r="H1107" s="79"/>
      <c r="I1107" s="79"/>
      <c r="J1107" s="79"/>
      <c r="K1107" s="79"/>
      <c r="L1107" s="79"/>
      <c r="M1107" s="79"/>
    </row>
    <row r="1108" spans="1:13" ht="15.75" hidden="1" customHeight="1">
      <c r="A1108" s="79"/>
      <c r="B1108" s="160"/>
      <c r="C1108" s="160"/>
      <c r="D1108" s="160"/>
      <c r="E1108" s="161" t="s">
        <v>50</v>
      </c>
      <c r="F1108" s="161"/>
      <c r="G1108" s="162">
        <v>0</v>
      </c>
      <c r="H1108" s="79"/>
      <c r="I1108" s="79"/>
      <c r="J1108" s="79"/>
      <c r="K1108" s="79"/>
      <c r="L1108" s="79"/>
      <c r="M1108" s="79"/>
    </row>
    <row r="1109" spans="1:13" ht="15.75" hidden="1" customHeight="1">
      <c r="A1109" s="79"/>
      <c r="B1109" s="155">
        <v>45869</v>
      </c>
      <c r="C1109" s="156">
        <v>0</v>
      </c>
      <c r="D1109" s="156">
        <v>13105</v>
      </c>
      <c r="E1109" s="157" t="s">
        <v>31</v>
      </c>
      <c r="F1109" s="158">
        <v>73103</v>
      </c>
      <c r="G1109" s="172">
        <v>167.72</v>
      </c>
      <c r="H1109" s="79"/>
      <c r="I1109" s="79"/>
      <c r="J1109" s="79"/>
      <c r="K1109" s="79"/>
      <c r="L1109" s="79"/>
      <c r="M1109" s="79"/>
    </row>
    <row r="1110" spans="1:13" ht="15.75" hidden="1" customHeight="1">
      <c r="A1110" s="79"/>
      <c r="B1110" s="160"/>
      <c r="C1110" s="160"/>
      <c r="D1110" s="160"/>
      <c r="E1110" s="161" t="s">
        <v>46</v>
      </c>
      <c r="F1110" s="161"/>
      <c r="G1110" s="162">
        <v>0</v>
      </c>
      <c r="H1110" s="79"/>
      <c r="I1110" s="79"/>
      <c r="J1110" s="79"/>
      <c r="K1110" s="79"/>
      <c r="L1110" s="79"/>
      <c r="M1110" s="79"/>
    </row>
    <row r="1111" spans="1:13" ht="15.75" hidden="1" customHeight="1">
      <c r="A1111" s="79"/>
      <c r="B1111" s="155">
        <v>45869</v>
      </c>
      <c r="C1111" s="156">
        <v>0</v>
      </c>
      <c r="D1111" s="156">
        <v>13105</v>
      </c>
      <c r="E1111" s="157" t="s">
        <v>31</v>
      </c>
      <c r="F1111" s="158">
        <v>73104</v>
      </c>
      <c r="G1111" s="172">
        <v>1412.08</v>
      </c>
      <c r="H1111" s="79"/>
      <c r="I1111" s="79"/>
      <c r="J1111" s="79"/>
      <c r="K1111" s="79"/>
      <c r="L1111" s="79"/>
      <c r="M1111" s="79"/>
    </row>
    <row r="1112" spans="1:13" ht="15.75" hidden="1" customHeight="1">
      <c r="A1112" s="79"/>
      <c r="B1112" s="160"/>
      <c r="C1112" s="160"/>
      <c r="D1112" s="160"/>
      <c r="E1112" s="161" t="s">
        <v>46</v>
      </c>
      <c r="F1112" s="161"/>
      <c r="G1112" s="162">
        <v>0</v>
      </c>
      <c r="H1112" s="79"/>
      <c r="I1112" s="79"/>
      <c r="J1112" s="79"/>
      <c r="K1112" s="79"/>
      <c r="L1112" s="79"/>
      <c r="M1112" s="79"/>
    </row>
    <row r="1113" spans="1:13" ht="15.75" hidden="1" customHeight="1">
      <c r="A1113" s="79"/>
      <c r="B1113" s="155">
        <v>45869</v>
      </c>
      <c r="C1113" s="156">
        <v>0</v>
      </c>
      <c r="D1113" s="156">
        <v>13105</v>
      </c>
      <c r="E1113" s="157" t="s">
        <v>31</v>
      </c>
      <c r="F1113" s="158">
        <v>73105</v>
      </c>
      <c r="G1113" s="172">
        <v>241.63</v>
      </c>
      <c r="H1113" s="79"/>
      <c r="I1113" s="79"/>
      <c r="J1113" s="79"/>
      <c r="K1113" s="79"/>
      <c r="L1113" s="79"/>
      <c r="M1113" s="79"/>
    </row>
    <row r="1114" spans="1:13" ht="15.75" hidden="1" customHeight="1">
      <c r="A1114" s="79"/>
      <c r="B1114" s="160"/>
      <c r="C1114" s="160"/>
      <c r="D1114" s="160"/>
      <c r="E1114" s="161" t="s">
        <v>111</v>
      </c>
      <c r="F1114" s="161"/>
      <c r="G1114" s="162">
        <v>0</v>
      </c>
      <c r="H1114" s="79"/>
      <c r="I1114" s="79"/>
      <c r="J1114" s="79"/>
      <c r="K1114" s="79"/>
      <c r="L1114" s="79"/>
      <c r="M1114" s="79"/>
    </row>
    <row r="1115" spans="1:13" ht="15.75" hidden="1" customHeight="1">
      <c r="A1115" s="79"/>
      <c r="B1115" s="155">
        <v>45869</v>
      </c>
      <c r="C1115" s="156">
        <v>0</v>
      </c>
      <c r="D1115" s="156">
        <v>13013</v>
      </c>
      <c r="E1115" s="157" t="s">
        <v>204</v>
      </c>
      <c r="F1115" s="158">
        <v>3941</v>
      </c>
      <c r="G1115" s="172">
        <v>2441.7800000000002</v>
      </c>
      <c r="H1115" s="79"/>
      <c r="I1115" s="79"/>
      <c r="J1115" s="79"/>
      <c r="K1115" s="79"/>
      <c r="L1115" s="79"/>
      <c r="M1115" s="79"/>
    </row>
    <row r="1116" spans="1:13" ht="15.75" hidden="1" customHeight="1">
      <c r="A1116" s="79"/>
      <c r="B1116" s="160"/>
      <c r="C1116" s="160"/>
      <c r="D1116" s="160"/>
      <c r="E1116" s="161" t="s">
        <v>205</v>
      </c>
      <c r="F1116" s="161"/>
      <c r="G1116" s="162">
        <v>0</v>
      </c>
      <c r="H1116" s="79"/>
      <c r="I1116" s="79"/>
      <c r="J1116" s="79"/>
      <c r="K1116" s="79"/>
      <c r="L1116" s="79"/>
      <c r="M1116" s="79"/>
    </row>
    <row r="1117" spans="1:13" ht="15.75" hidden="1" customHeight="1">
      <c r="A1117" s="79"/>
      <c r="B1117" s="155">
        <v>45869</v>
      </c>
      <c r="C1117" s="156">
        <v>0</v>
      </c>
      <c r="D1117" s="156">
        <v>13013</v>
      </c>
      <c r="E1117" s="157" t="s">
        <v>204</v>
      </c>
      <c r="F1117" s="158">
        <v>3941</v>
      </c>
      <c r="G1117" s="172">
        <v>848.28</v>
      </c>
      <c r="H1117" s="79"/>
      <c r="I1117" s="79"/>
      <c r="J1117" s="79"/>
      <c r="K1117" s="79"/>
      <c r="L1117" s="79"/>
      <c r="M1117" s="79"/>
    </row>
    <row r="1118" spans="1:13" ht="15.75" hidden="1" customHeight="1">
      <c r="A1118" s="79"/>
      <c r="B1118" s="160"/>
      <c r="C1118" s="160"/>
      <c r="D1118" s="160"/>
      <c r="E1118" s="161" t="s">
        <v>205</v>
      </c>
      <c r="F1118" s="161"/>
      <c r="G1118" s="162">
        <v>0</v>
      </c>
      <c r="H1118" s="79"/>
      <c r="I1118" s="79"/>
      <c r="J1118" s="79"/>
      <c r="K1118" s="79"/>
      <c r="L1118" s="79"/>
      <c r="M1118" s="79"/>
    </row>
    <row r="1119" spans="1:13" ht="15.75" hidden="1" customHeight="1">
      <c r="A1119" s="79"/>
      <c r="B1119" s="155">
        <v>45869</v>
      </c>
      <c r="C1119" s="156">
        <v>0</v>
      </c>
      <c r="D1119" s="156">
        <v>13013</v>
      </c>
      <c r="E1119" s="157" t="s">
        <v>204</v>
      </c>
      <c r="F1119" s="158">
        <v>3941</v>
      </c>
      <c r="G1119" s="172">
        <v>1039.55</v>
      </c>
      <c r="H1119" s="79"/>
      <c r="I1119" s="79"/>
      <c r="J1119" s="79"/>
      <c r="K1119" s="79"/>
      <c r="L1119" s="79"/>
      <c r="M1119" s="79"/>
    </row>
    <row r="1120" spans="1:13" ht="15.75" hidden="1" customHeight="1">
      <c r="A1120" s="79"/>
      <c r="B1120" s="160"/>
      <c r="C1120" s="160"/>
      <c r="D1120" s="160"/>
      <c r="E1120" s="161" t="s">
        <v>205</v>
      </c>
      <c r="F1120" s="161"/>
      <c r="G1120" s="162">
        <v>0</v>
      </c>
      <c r="H1120" s="79"/>
      <c r="I1120" s="79"/>
      <c r="J1120" s="79"/>
      <c r="K1120" s="79"/>
      <c r="L1120" s="79"/>
      <c r="M1120" s="79"/>
    </row>
    <row r="1121" spans="1:13" ht="15.75" hidden="1" customHeight="1">
      <c r="A1121" s="79"/>
      <c r="B1121" s="155">
        <v>45869</v>
      </c>
      <c r="C1121" s="156">
        <v>0</v>
      </c>
      <c r="D1121" s="156">
        <v>13013</v>
      </c>
      <c r="E1121" s="157" t="s">
        <v>204</v>
      </c>
      <c r="F1121" s="158">
        <v>3941</v>
      </c>
      <c r="G1121" s="172">
        <v>819.42</v>
      </c>
      <c r="H1121" s="79"/>
      <c r="I1121" s="79"/>
      <c r="J1121" s="79"/>
      <c r="K1121" s="79"/>
      <c r="L1121" s="79"/>
      <c r="M1121" s="79"/>
    </row>
    <row r="1122" spans="1:13" ht="15.75" hidden="1" customHeight="1">
      <c r="A1122" s="79"/>
      <c r="B1122" s="160"/>
      <c r="C1122" s="160"/>
      <c r="D1122" s="160"/>
      <c r="E1122" s="161" t="s">
        <v>205</v>
      </c>
      <c r="F1122" s="161"/>
      <c r="G1122" s="162">
        <v>0</v>
      </c>
      <c r="H1122" s="79"/>
      <c r="I1122" s="79"/>
      <c r="J1122" s="79"/>
      <c r="K1122" s="79"/>
      <c r="L1122" s="79"/>
      <c r="M1122" s="79"/>
    </row>
    <row r="1123" spans="1:13" ht="15.75" customHeight="1">
      <c r="A1123" s="79"/>
      <c r="B1123" s="79"/>
      <c r="C1123" s="79"/>
      <c r="D1123" s="79"/>
      <c r="E1123" s="79"/>
      <c r="F1123" s="79"/>
      <c r="G1123" s="81"/>
      <c r="H1123" s="164"/>
      <c r="I1123" s="79"/>
      <c r="J1123" s="79"/>
      <c r="K1123" s="79"/>
      <c r="L1123" s="79"/>
      <c r="M1123" s="79"/>
    </row>
  </sheetData>
  <pageMargins left="0.511811024" right="0.511811024" top="0.78740157499999996" bottom="0.78740157499999996" header="0" footer="0"/>
  <pageSetup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9"/>
  <dimension ref="A1:M1026"/>
  <sheetViews>
    <sheetView topLeftCell="F1" workbookViewId="0">
      <selection activeCell="G15" sqref="G15"/>
    </sheetView>
  </sheetViews>
  <sheetFormatPr defaultColWidth="14.42578125" defaultRowHeight="15" customHeight="1"/>
  <cols>
    <col min="1" max="1" width="7.140625" customWidth="1"/>
    <col min="2" max="2" width="14" customWidth="1"/>
    <col min="3" max="3" width="5.140625" customWidth="1"/>
    <col min="4" max="4" width="8.7109375" customWidth="1"/>
    <col min="5" max="5" width="10.28515625" customWidth="1"/>
    <col min="6" max="6" width="18.42578125" customWidth="1"/>
    <col min="7" max="7" width="14.140625" customWidth="1"/>
    <col min="8" max="8" width="45" customWidth="1"/>
    <col min="9" max="9" width="21.85546875" customWidth="1"/>
    <col min="10" max="10" width="49.28515625" customWidth="1"/>
    <col min="11" max="11" width="13.28515625" customWidth="1"/>
    <col min="12" max="12" width="11.140625" customWidth="1"/>
    <col min="13" max="13" width="27.5703125" customWidth="1"/>
    <col min="14" max="26" width="8.7109375" customWidth="1"/>
  </cols>
  <sheetData>
    <row r="1" spans="1:13">
      <c r="A1" s="79" t="s">
        <v>18</v>
      </c>
      <c r="B1" s="79" t="s">
        <v>19</v>
      </c>
      <c r="C1" s="64" t="s">
        <v>20</v>
      </c>
      <c r="D1" s="64" t="s">
        <v>21</v>
      </c>
      <c r="E1" s="64" t="s">
        <v>22</v>
      </c>
      <c r="F1" s="64" t="s">
        <v>23</v>
      </c>
      <c r="G1" s="81" t="s">
        <v>24</v>
      </c>
      <c r="H1" s="79" t="s">
        <v>404</v>
      </c>
      <c r="I1" s="79" t="s">
        <v>405</v>
      </c>
      <c r="J1" s="86" t="s">
        <v>798</v>
      </c>
      <c r="K1" s="3">
        <f>SUMIF(I:I,"Hematologia", G:G)</f>
        <v>72031.100000000006</v>
      </c>
      <c r="L1" s="86" t="s">
        <v>536</v>
      </c>
      <c r="M1" s="87">
        <f>SUBTOTAL(9,Ago!$G$2:$G$1026)</f>
        <v>1072735.3800000004</v>
      </c>
    </row>
    <row r="2" spans="1:13" hidden="1">
      <c r="A2" s="64"/>
      <c r="B2" s="177">
        <v>45869</v>
      </c>
      <c r="C2" s="64">
        <v>0</v>
      </c>
      <c r="D2" s="64">
        <v>0</v>
      </c>
      <c r="E2" s="64" t="s">
        <v>26</v>
      </c>
      <c r="F2" s="64"/>
      <c r="G2" s="81">
        <v>0</v>
      </c>
      <c r="H2" s="64"/>
      <c r="I2" s="64"/>
    </row>
    <row r="3" spans="1:13" hidden="1">
      <c r="A3" s="64"/>
      <c r="B3" s="177">
        <v>45870</v>
      </c>
      <c r="C3" s="64">
        <v>0</v>
      </c>
      <c r="D3" s="64">
        <v>14397</v>
      </c>
      <c r="E3" s="64" t="s">
        <v>57</v>
      </c>
      <c r="F3" s="178">
        <v>11032315887311</v>
      </c>
      <c r="G3" s="81">
        <v>4409</v>
      </c>
      <c r="H3" s="64"/>
      <c r="I3" s="64"/>
    </row>
    <row r="4" spans="1:13" hidden="1">
      <c r="A4" s="64"/>
      <c r="B4" s="64"/>
      <c r="C4" s="64"/>
      <c r="D4" s="64"/>
      <c r="E4" s="64" t="s">
        <v>1048</v>
      </c>
      <c r="F4" s="64"/>
      <c r="G4" s="81">
        <v>0</v>
      </c>
      <c r="H4" s="64"/>
      <c r="I4" s="64"/>
    </row>
    <row r="5" spans="1:13" hidden="1">
      <c r="A5" s="64"/>
      <c r="B5" s="177">
        <v>45870</v>
      </c>
      <c r="C5" s="64">
        <v>0</v>
      </c>
      <c r="D5" s="64">
        <v>14397</v>
      </c>
      <c r="E5" s="64" t="s">
        <v>57</v>
      </c>
      <c r="F5" s="178">
        <v>11347282025861</v>
      </c>
      <c r="G5" s="81">
        <v>5000</v>
      </c>
      <c r="H5" s="64"/>
      <c r="I5" s="64"/>
    </row>
    <row r="6" spans="1:13" hidden="1">
      <c r="A6" s="64"/>
      <c r="B6" s="64"/>
      <c r="C6" s="64"/>
      <c r="D6" s="64"/>
      <c r="E6" s="64" t="s">
        <v>1049</v>
      </c>
      <c r="F6" s="64"/>
      <c r="G6" s="81">
        <v>0</v>
      </c>
      <c r="H6" s="64"/>
      <c r="I6" s="64"/>
    </row>
    <row r="7" spans="1:13">
      <c r="A7" s="179" t="s">
        <v>140</v>
      </c>
      <c r="B7" s="177">
        <v>45870</v>
      </c>
      <c r="C7" s="64">
        <v>0</v>
      </c>
      <c r="D7" s="64">
        <v>14138</v>
      </c>
      <c r="E7" s="64" t="s">
        <v>141</v>
      </c>
      <c r="F7" s="178">
        <v>202507310001855</v>
      </c>
      <c r="G7" s="81">
        <v>1241.98</v>
      </c>
      <c r="H7" s="79" t="s">
        <v>1050</v>
      </c>
      <c r="I7" s="64" t="s">
        <v>428</v>
      </c>
      <c r="J7" s="86" t="s">
        <v>800</v>
      </c>
      <c r="K7" s="3">
        <f>SUMIF(I:I,"Coagulação", G:G)</f>
        <v>9345.6899999999987</v>
      </c>
      <c r="L7" s="1" t="s">
        <v>691</v>
      </c>
      <c r="M7" s="87">
        <f>SUMIF(A:A,"Baixado",G:G)</f>
        <v>171794.17999999993</v>
      </c>
    </row>
    <row r="8" spans="1:13" hidden="1">
      <c r="A8" s="64"/>
      <c r="B8" s="64"/>
      <c r="C8" s="64"/>
      <c r="D8" s="64"/>
      <c r="E8" s="64" t="s">
        <v>143</v>
      </c>
      <c r="F8" s="64"/>
      <c r="G8" s="81">
        <v>0</v>
      </c>
      <c r="H8" s="64"/>
      <c r="I8" s="64"/>
    </row>
    <row r="9" spans="1:13">
      <c r="A9" s="179" t="s">
        <v>140</v>
      </c>
      <c r="B9" s="177">
        <v>45870</v>
      </c>
      <c r="C9" s="64">
        <v>0</v>
      </c>
      <c r="D9" s="64">
        <v>14138</v>
      </c>
      <c r="E9" s="64" t="s">
        <v>141</v>
      </c>
      <c r="F9" s="178">
        <v>202507310001857</v>
      </c>
      <c r="G9" s="81">
        <v>1232.8399999999999</v>
      </c>
      <c r="H9" s="79" t="s">
        <v>1051</v>
      </c>
      <c r="I9" s="64" t="s">
        <v>428</v>
      </c>
      <c r="J9" s="86" t="s">
        <v>803</v>
      </c>
      <c r="K9" s="3">
        <f>SUMIF(I:I,"Ionograma", G:G)</f>
        <v>40910.900000000016</v>
      </c>
      <c r="L9" s="1" t="s">
        <v>692</v>
      </c>
      <c r="M9" s="87">
        <f>SUMIF(A:A,"Pendente",G:G)</f>
        <v>5474.25</v>
      </c>
    </row>
    <row r="10" spans="1:13" hidden="1">
      <c r="A10" s="64"/>
      <c r="B10" s="64"/>
      <c r="C10" s="64"/>
      <c r="D10" s="64"/>
      <c r="E10" s="64" t="s">
        <v>143</v>
      </c>
      <c r="F10" s="64"/>
      <c r="G10" s="81">
        <v>0</v>
      </c>
      <c r="H10" s="64"/>
      <c r="I10" s="64"/>
    </row>
    <row r="11" spans="1:13">
      <c r="A11" s="179" t="s">
        <v>140</v>
      </c>
      <c r="B11" s="177">
        <v>45870</v>
      </c>
      <c r="C11" s="64">
        <v>0</v>
      </c>
      <c r="D11" s="64">
        <v>14138</v>
      </c>
      <c r="E11" s="64" t="s">
        <v>141</v>
      </c>
      <c r="F11" s="178">
        <v>202507310001859</v>
      </c>
      <c r="G11" s="81">
        <v>4167.09</v>
      </c>
      <c r="H11" s="79" t="s">
        <v>1052</v>
      </c>
      <c r="I11" s="64" t="s">
        <v>428</v>
      </c>
    </row>
    <row r="12" spans="1:13" hidden="1">
      <c r="A12" s="64"/>
      <c r="B12" s="64"/>
      <c r="C12" s="64"/>
      <c r="D12" s="64"/>
      <c r="E12" s="64" t="s">
        <v>143</v>
      </c>
      <c r="F12" s="64"/>
      <c r="G12" s="81">
        <v>0</v>
      </c>
      <c r="H12" s="64"/>
      <c r="I12" s="64"/>
    </row>
    <row r="13" spans="1:13">
      <c r="A13" s="179" t="s">
        <v>140</v>
      </c>
      <c r="B13" s="177">
        <v>45870</v>
      </c>
      <c r="C13" s="64">
        <v>0</v>
      </c>
      <c r="D13" s="64">
        <v>14138</v>
      </c>
      <c r="E13" s="64" t="s">
        <v>141</v>
      </c>
      <c r="F13" s="178">
        <v>202507310001861</v>
      </c>
      <c r="G13" s="81">
        <v>2439.98</v>
      </c>
      <c r="H13" s="79" t="s">
        <v>1053</v>
      </c>
      <c r="I13" s="64" t="s">
        <v>428</v>
      </c>
    </row>
    <row r="14" spans="1:13" hidden="1">
      <c r="A14" s="64"/>
      <c r="B14" s="64"/>
      <c r="C14" s="64"/>
      <c r="D14" s="64"/>
      <c r="E14" s="64" t="s">
        <v>143</v>
      </c>
      <c r="F14" s="64"/>
      <c r="G14" s="81">
        <v>0</v>
      </c>
      <c r="H14" s="64"/>
      <c r="I14" s="64"/>
    </row>
    <row r="15" spans="1:13">
      <c r="A15" s="179" t="s">
        <v>140</v>
      </c>
      <c r="B15" s="177">
        <v>45870</v>
      </c>
      <c r="C15" s="64">
        <v>0</v>
      </c>
      <c r="D15" s="64">
        <v>14138</v>
      </c>
      <c r="E15" s="64" t="s">
        <v>141</v>
      </c>
      <c r="F15" s="178">
        <v>202507310001865</v>
      </c>
      <c r="G15" s="81">
        <v>1668.08</v>
      </c>
      <c r="H15" s="64" t="s">
        <v>1054</v>
      </c>
      <c r="I15" s="64" t="s">
        <v>428</v>
      </c>
    </row>
    <row r="16" spans="1:13" hidden="1">
      <c r="A16" s="64"/>
      <c r="B16" s="64"/>
      <c r="C16" s="64"/>
      <c r="D16" s="64"/>
      <c r="E16" s="64" t="s">
        <v>143</v>
      </c>
      <c r="F16" s="64"/>
      <c r="G16" s="81">
        <v>0</v>
      </c>
      <c r="H16" s="64"/>
      <c r="I16" s="64"/>
    </row>
    <row r="17" spans="1:9">
      <c r="A17" s="179" t="s">
        <v>140</v>
      </c>
      <c r="B17" s="177">
        <v>45870</v>
      </c>
      <c r="C17" s="64">
        <v>0</v>
      </c>
      <c r="D17" s="64">
        <v>14138</v>
      </c>
      <c r="E17" s="64" t="s">
        <v>141</v>
      </c>
      <c r="F17" s="178">
        <v>202507310001868</v>
      </c>
      <c r="G17" s="81">
        <v>1063.96</v>
      </c>
      <c r="H17" s="64" t="s">
        <v>1055</v>
      </c>
      <c r="I17" s="64" t="s">
        <v>428</v>
      </c>
    </row>
    <row r="18" spans="1:9" hidden="1">
      <c r="A18" s="64"/>
      <c r="B18" s="64"/>
      <c r="C18" s="64"/>
      <c r="D18" s="64"/>
      <c r="E18" s="64" t="s">
        <v>143</v>
      </c>
      <c r="F18" s="64"/>
      <c r="G18" s="81">
        <v>0</v>
      </c>
      <c r="H18" s="64"/>
      <c r="I18" s="64"/>
    </row>
    <row r="19" spans="1:9">
      <c r="A19" s="179" t="s">
        <v>140</v>
      </c>
      <c r="B19" s="177">
        <v>45870</v>
      </c>
      <c r="C19" s="64">
        <v>0</v>
      </c>
      <c r="D19" s="64">
        <v>14138</v>
      </c>
      <c r="E19" s="64" t="s">
        <v>141</v>
      </c>
      <c r="F19" s="178">
        <v>202507310001871</v>
      </c>
      <c r="G19" s="81">
        <v>1668.08</v>
      </c>
      <c r="H19" s="80" t="s">
        <v>1056</v>
      </c>
      <c r="I19" s="64" t="s">
        <v>428</v>
      </c>
    </row>
    <row r="20" spans="1:9" hidden="1">
      <c r="A20" s="64"/>
      <c r="B20" s="64"/>
      <c r="C20" s="64"/>
      <c r="D20" s="64"/>
      <c r="E20" s="64" t="s">
        <v>143</v>
      </c>
      <c r="F20" s="64"/>
      <c r="G20" s="81">
        <v>0</v>
      </c>
      <c r="H20" s="64"/>
      <c r="I20" s="64"/>
    </row>
    <row r="21" spans="1:9" ht="15.75" hidden="1" customHeight="1">
      <c r="A21" s="64"/>
      <c r="B21" s="177">
        <v>45870</v>
      </c>
      <c r="C21" s="64">
        <v>1533</v>
      </c>
      <c r="D21" s="64">
        <v>99015</v>
      </c>
      <c r="E21" s="64" t="s">
        <v>195</v>
      </c>
      <c r="F21" s="178">
        <v>551845000113366</v>
      </c>
      <c r="G21" s="81">
        <v>3605.31</v>
      </c>
      <c r="H21" s="64"/>
      <c r="I21" s="64"/>
    </row>
    <row r="22" spans="1:9" ht="15.75" hidden="1" customHeight="1">
      <c r="A22" s="64"/>
      <c r="B22" s="64"/>
      <c r="C22" s="64"/>
      <c r="D22" s="64"/>
      <c r="E22" s="64" t="s">
        <v>1057</v>
      </c>
      <c r="F22" s="64"/>
      <c r="G22" s="81">
        <v>0</v>
      </c>
      <c r="H22" s="64"/>
      <c r="I22" s="64"/>
    </row>
    <row r="23" spans="1:9" ht="15.75" hidden="1" customHeight="1">
      <c r="A23" s="64"/>
      <c r="B23" s="177">
        <v>45870</v>
      </c>
      <c r="C23" s="64">
        <v>1533</v>
      </c>
      <c r="D23" s="64">
        <v>99015</v>
      </c>
      <c r="E23" s="64" t="s">
        <v>195</v>
      </c>
      <c r="F23" s="178">
        <v>552035000108588</v>
      </c>
      <c r="G23" s="81">
        <v>3687.48</v>
      </c>
      <c r="H23" s="64"/>
      <c r="I23" s="64"/>
    </row>
    <row r="24" spans="1:9" ht="15.75" hidden="1" customHeight="1">
      <c r="A24" s="64"/>
      <c r="B24" s="64"/>
      <c r="C24" s="64"/>
      <c r="D24" s="64"/>
      <c r="E24" s="64" t="s">
        <v>1058</v>
      </c>
      <c r="F24" s="64"/>
      <c r="G24" s="81">
        <v>0</v>
      </c>
      <c r="H24" s="64"/>
      <c r="I24" s="64"/>
    </row>
    <row r="25" spans="1:9" ht="15.75" hidden="1" customHeight="1">
      <c r="A25" s="64"/>
      <c r="B25" s="177">
        <v>45870</v>
      </c>
      <c r="C25" s="64">
        <v>0</v>
      </c>
      <c r="D25" s="64">
        <v>13105</v>
      </c>
      <c r="E25" s="64" t="s">
        <v>118</v>
      </c>
      <c r="F25" s="178">
        <v>80101</v>
      </c>
      <c r="G25" s="81">
        <v>154.88</v>
      </c>
      <c r="H25" s="64"/>
      <c r="I25" s="64"/>
    </row>
    <row r="26" spans="1:9" ht="15.75" hidden="1" customHeight="1">
      <c r="A26" s="64"/>
      <c r="B26" s="64"/>
      <c r="C26" s="64"/>
      <c r="D26" s="64"/>
      <c r="E26" s="64" t="s">
        <v>1059</v>
      </c>
      <c r="F26" s="64"/>
      <c r="G26" s="81">
        <v>0</v>
      </c>
      <c r="H26" s="64"/>
      <c r="I26" s="64"/>
    </row>
    <row r="27" spans="1:9" ht="15.75" hidden="1" customHeight="1">
      <c r="A27" s="64"/>
      <c r="B27" s="177">
        <v>45870</v>
      </c>
      <c r="C27" s="64">
        <v>0</v>
      </c>
      <c r="D27" s="64">
        <v>13105</v>
      </c>
      <c r="E27" s="64" t="s">
        <v>31</v>
      </c>
      <c r="F27" s="178">
        <v>80102</v>
      </c>
      <c r="G27" s="81">
        <v>378.65</v>
      </c>
      <c r="H27" s="64"/>
      <c r="I27" s="64"/>
    </row>
    <row r="28" spans="1:9" ht="15.75" hidden="1" customHeight="1">
      <c r="A28" s="64"/>
      <c r="B28" s="64"/>
      <c r="C28" s="64"/>
      <c r="D28" s="64"/>
      <c r="E28" s="64" t="s">
        <v>46</v>
      </c>
      <c r="F28" s="64"/>
      <c r="G28" s="81">
        <v>0</v>
      </c>
      <c r="H28" s="64"/>
      <c r="I28" s="64"/>
    </row>
    <row r="29" spans="1:9" ht="15.75" hidden="1" customHeight="1">
      <c r="A29" s="64"/>
      <c r="B29" s="177">
        <v>45870</v>
      </c>
      <c r="C29" s="64">
        <v>0</v>
      </c>
      <c r="D29" s="64">
        <v>13105</v>
      </c>
      <c r="E29" s="64" t="s">
        <v>31</v>
      </c>
      <c r="F29" s="178">
        <v>80103</v>
      </c>
      <c r="G29" s="81">
        <v>302.35000000000002</v>
      </c>
      <c r="H29" s="64"/>
      <c r="I29" s="64"/>
    </row>
    <row r="30" spans="1:9" ht="15.75" hidden="1" customHeight="1">
      <c r="A30" s="64"/>
      <c r="B30" s="64"/>
      <c r="C30" s="64"/>
      <c r="D30" s="64"/>
      <c r="E30" s="64" t="s">
        <v>51</v>
      </c>
      <c r="F30" s="64"/>
      <c r="G30" s="81">
        <v>0</v>
      </c>
      <c r="H30" s="64"/>
      <c r="I30" s="64"/>
    </row>
    <row r="31" spans="1:9" ht="15.75" hidden="1" customHeight="1">
      <c r="A31" s="64"/>
      <c r="B31" s="177">
        <v>45870</v>
      </c>
      <c r="C31" s="64">
        <v>0</v>
      </c>
      <c r="D31" s="64">
        <v>13105</v>
      </c>
      <c r="E31" s="64" t="s">
        <v>31</v>
      </c>
      <c r="F31" s="178">
        <v>80104</v>
      </c>
      <c r="G31" s="81">
        <v>677.93</v>
      </c>
      <c r="H31" s="64"/>
      <c r="I31" s="64"/>
    </row>
    <row r="32" spans="1:9" ht="15.75" hidden="1" customHeight="1">
      <c r="A32" s="64"/>
      <c r="B32" s="64"/>
      <c r="C32" s="64"/>
      <c r="D32" s="64"/>
      <c r="E32" s="64" t="s">
        <v>45</v>
      </c>
      <c r="F32" s="64"/>
      <c r="G32" s="81">
        <v>0</v>
      </c>
      <c r="H32" s="64"/>
      <c r="I32" s="64"/>
    </row>
    <row r="33" spans="1:9" ht="15.75" hidden="1" customHeight="1">
      <c r="A33" s="64"/>
      <c r="B33" s="177">
        <v>45870</v>
      </c>
      <c r="C33" s="64">
        <v>0</v>
      </c>
      <c r="D33" s="64">
        <v>13105</v>
      </c>
      <c r="E33" s="64" t="s">
        <v>31</v>
      </c>
      <c r="F33" s="178">
        <v>80105</v>
      </c>
      <c r="G33" s="81">
        <v>555.51</v>
      </c>
      <c r="H33" s="64"/>
      <c r="I33" s="64"/>
    </row>
    <row r="34" spans="1:9" ht="15.75" hidden="1" customHeight="1">
      <c r="A34" s="64"/>
      <c r="B34" s="64"/>
      <c r="C34" s="64"/>
      <c r="D34" s="64"/>
      <c r="E34" s="64" t="s">
        <v>45</v>
      </c>
      <c r="F34" s="64"/>
      <c r="G34" s="81">
        <v>0</v>
      </c>
      <c r="H34" s="64"/>
      <c r="I34" s="64"/>
    </row>
    <row r="35" spans="1:9" ht="15.75" hidden="1" customHeight="1">
      <c r="A35" s="64"/>
      <c r="B35" s="177">
        <v>45870</v>
      </c>
      <c r="C35" s="64">
        <v>0</v>
      </c>
      <c r="D35" s="64">
        <v>13105</v>
      </c>
      <c r="E35" s="64" t="s">
        <v>31</v>
      </c>
      <c r="F35" s="178">
        <v>80106</v>
      </c>
      <c r="G35" s="81">
        <v>459.42</v>
      </c>
      <c r="H35" s="64"/>
      <c r="I35" s="64"/>
    </row>
    <row r="36" spans="1:9" ht="15.75" hidden="1" customHeight="1">
      <c r="A36" s="64"/>
      <c r="B36" s="64"/>
      <c r="C36" s="64"/>
      <c r="D36" s="64"/>
      <c r="E36" s="64" t="s">
        <v>45</v>
      </c>
      <c r="F36" s="64"/>
      <c r="G36" s="81">
        <v>0</v>
      </c>
      <c r="H36" s="64"/>
      <c r="I36" s="64"/>
    </row>
    <row r="37" spans="1:9" ht="15.75" hidden="1" customHeight="1">
      <c r="A37" s="64"/>
      <c r="B37" s="177">
        <v>45870</v>
      </c>
      <c r="C37" s="64">
        <v>0</v>
      </c>
      <c r="D37" s="64">
        <v>13105</v>
      </c>
      <c r="E37" s="64" t="s">
        <v>31</v>
      </c>
      <c r="F37" s="178">
        <v>80107</v>
      </c>
      <c r="G37" s="81">
        <v>190.37</v>
      </c>
      <c r="H37" s="64"/>
      <c r="I37" s="64"/>
    </row>
    <row r="38" spans="1:9" ht="15.75" hidden="1" customHeight="1">
      <c r="A38" s="64"/>
      <c r="B38" s="64"/>
      <c r="C38" s="64"/>
      <c r="D38" s="64"/>
      <c r="E38" s="64" t="s">
        <v>50</v>
      </c>
      <c r="F38" s="64"/>
      <c r="G38" s="81">
        <v>0</v>
      </c>
      <c r="H38" s="64"/>
      <c r="I38" s="64"/>
    </row>
    <row r="39" spans="1:9" ht="15.75" hidden="1" customHeight="1">
      <c r="A39" s="64"/>
      <c r="B39" s="177">
        <v>45870</v>
      </c>
      <c r="C39" s="64">
        <v>0</v>
      </c>
      <c r="D39" s="64">
        <v>13105</v>
      </c>
      <c r="E39" s="64" t="s">
        <v>118</v>
      </c>
      <c r="F39" s="178">
        <v>80108</v>
      </c>
      <c r="G39" s="81">
        <v>16000</v>
      </c>
      <c r="H39" s="64"/>
      <c r="I39" s="64"/>
    </row>
    <row r="40" spans="1:9" ht="15.75" hidden="1" customHeight="1">
      <c r="A40" s="64"/>
      <c r="B40" s="64"/>
      <c r="C40" s="64"/>
      <c r="D40" s="64"/>
      <c r="E40" s="64" t="s">
        <v>1060</v>
      </c>
      <c r="F40" s="64"/>
      <c r="G40" s="81">
        <v>0</v>
      </c>
      <c r="H40" s="64"/>
      <c r="I40" s="64"/>
    </row>
    <row r="41" spans="1:9" ht="15.75" hidden="1" customHeight="1">
      <c r="A41" s="64"/>
      <c r="B41" s="177">
        <v>45870</v>
      </c>
      <c r="C41" s="64">
        <v>0</v>
      </c>
      <c r="D41" s="64">
        <v>0</v>
      </c>
      <c r="E41" s="64" t="s">
        <v>52</v>
      </c>
      <c r="F41" s="178">
        <v>9903</v>
      </c>
      <c r="G41" s="81">
        <v>3120.89</v>
      </c>
      <c r="H41" s="64"/>
      <c r="I41" s="64"/>
    </row>
    <row r="42" spans="1:9" ht="15.75" hidden="1" customHeight="1">
      <c r="A42" s="64"/>
      <c r="B42" s="64"/>
      <c r="C42" s="64"/>
      <c r="D42" s="64"/>
      <c r="E42" s="64" t="s">
        <v>53</v>
      </c>
      <c r="F42" s="64"/>
      <c r="G42" s="81">
        <v>0</v>
      </c>
      <c r="H42" s="64"/>
      <c r="I42" s="64"/>
    </row>
    <row r="43" spans="1:9" ht="15.75" hidden="1" customHeight="1">
      <c r="A43" s="64"/>
      <c r="B43" s="177">
        <v>45873</v>
      </c>
      <c r="C43" s="64">
        <v>3525</v>
      </c>
      <c r="D43" s="64">
        <v>99021</v>
      </c>
      <c r="E43" s="64" t="s">
        <v>27</v>
      </c>
      <c r="F43" s="178">
        <v>613525000032047</v>
      </c>
      <c r="G43" s="81">
        <v>327.13</v>
      </c>
      <c r="H43" s="64"/>
      <c r="I43" s="64"/>
    </row>
    <row r="44" spans="1:9" ht="15.75" hidden="1" customHeight="1">
      <c r="A44" s="64"/>
      <c r="B44" s="64"/>
      <c r="C44" s="64"/>
      <c r="D44" s="64"/>
      <c r="E44" s="64" t="s">
        <v>1061</v>
      </c>
      <c r="F44" s="64"/>
      <c r="G44" s="81">
        <v>0</v>
      </c>
      <c r="H44" s="64"/>
      <c r="I44" s="64"/>
    </row>
    <row r="45" spans="1:9" ht="15.75" hidden="1" customHeight="1">
      <c r="A45" s="64"/>
      <c r="B45" s="177">
        <v>45873</v>
      </c>
      <c r="C45" s="64">
        <v>0</v>
      </c>
      <c r="D45" s="64">
        <v>14175</v>
      </c>
      <c r="E45" s="64" t="s">
        <v>62</v>
      </c>
      <c r="F45" s="178">
        <v>389865021</v>
      </c>
      <c r="G45" s="81">
        <v>3000</v>
      </c>
      <c r="H45" s="64"/>
      <c r="I45" s="64"/>
    </row>
    <row r="46" spans="1:9" ht="15.75" hidden="1" customHeight="1">
      <c r="A46" s="64"/>
      <c r="B46" s="64"/>
      <c r="C46" s="64"/>
      <c r="D46" s="64"/>
      <c r="E46" s="64" t="s">
        <v>97</v>
      </c>
      <c r="F46" s="64"/>
      <c r="G46" s="81">
        <v>0</v>
      </c>
      <c r="H46" s="64"/>
      <c r="I46" s="64"/>
    </row>
    <row r="47" spans="1:9" ht="15.75" hidden="1" customHeight="1">
      <c r="A47" s="64"/>
      <c r="B47" s="177">
        <v>45873</v>
      </c>
      <c r="C47" s="64">
        <v>0</v>
      </c>
      <c r="D47" s="64">
        <v>14397</v>
      </c>
      <c r="E47" s="64" t="s">
        <v>57</v>
      </c>
      <c r="F47" s="178">
        <v>40837539959932</v>
      </c>
      <c r="G47" s="81">
        <v>275.11</v>
      </c>
      <c r="H47" s="64"/>
      <c r="I47" s="64"/>
    </row>
    <row r="48" spans="1:9" ht="15.75" hidden="1" customHeight="1">
      <c r="A48" s="64"/>
      <c r="B48" s="64"/>
      <c r="C48" s="64"/>
      <c r="D48" s="64"/>
      <c r="E48" s="64" t="s">
        <v>1062</v>
      </c>
      <c r="F48" s="64"/>
      <c r="G48" s="81">
        <v>0</v>
      </c>
      <c r="H48" s="64"/>
      <c r="I48" s="64"/>
    </row>
    <row r="49" spans="1:9" ht="15.75" hidden="1" customHeight="1">
      <c r="A49" s="64"/>
      <c r="B49" s="177">
        <v>45873</v>
      </c>
      <c r="C49" s="64">
        <v>0</v>
      </c>
      <c r="D49" s="64">
        <v>14397</v>
      </c>
      <c r="E49" s="64" t="s">
        <v>57</v>
      </c>
      <c r="F49" s="178">
        <v>41821482724062</v>
      </c>
      <c r="G49" s="81">
        <v>3000</v>
      </c>
      <c r="H49" s="64"/>
      <c r="I49" s="64"/>
    </row>
    <row r="50" spans="1:9" ht="15.75" hidden="1" customHeight="1">
      <c r="A50" s="64"/>
      <c r="B50" s="64"/>
      <c r="C50" s="64"/>
      <c r="D50" s="64"/>
      <c r="E50" s="64" t="s">
        <v>1063</v>
      </c>
      <c r="F50" s="64"/>
      <c r="G50" s="81">
        <v>0</v>
      </c>
      <c r="H50" s="64"/>
      <c r="I50" s="64"/>
    </row>
    <row r="51" spans="1:9" ht="15.75" customHeight="1">
      <c r="A51" s="179" t="s">
        <v>140</v>
      </c>
      <c r="B51" s="177">
        <v>45873</v>
      </c>
      <c r="C51" s="64">
        <v>0</v>
      </c>
      <c r="D51" s="64">
        <v>14138</v>
      </c>
      <c r="E51" s="64" t="s">
        <v>141</v>
      </c>
      <c r="F51" s="178">
        <v>202508010020258</v>
      </c>
      <c r="G51" s="81">
        <v>171.36</v>
      </c>
      <c r="H51" s="80" t="s">
        <v>1064</v>
      </c>
      <c r="I51" s="79" t="s">
        <v>711</v>
      </c>
    </row>
    <row r="52" spans="1:9" ht="15.75" hidden="1" customHeight="1">
      <c r="A52" s="64"/>
      <c r="B52" s="64"/>
      <c r="C52" s="64"/>
      <c r="D52" s="64"/>
      <c r="E52" s="64" t="s">
        <v>143</v>
      </c>
      <c r="F52" s="64"/>
      <c r="G52" s="81">
        <v>0</v>
      </c>
      <c r="H52" s="64"/>
      <c r="I52" s="64"/>
    </row>
    <row r="53" spans="1:9" ht="15.75" customHeight="1">
      <c r="A53" s="179" t="s">
        <v>140</v>
      </c>
      <c r="B53" s="177">
        <v>45873</v>
      </c>
      <c r="C53" s="64">
        <v>0</v>
      </c>
      <c r="D53" s="64">
        <v>14138</v>
      </c>
      <c r="E53" s="64" t="s">
        <v>141</v>
      </c>
      <c r="F53" s="178">
        <v>202508010034055</v>
      </c>
      <c r="G53" s="81">
        <v>9346.16</v>
      </c>
      <c r="H53" s="64" t="s">
        <v>1065</v>
      </c>
      <c r="I53" s="64" t="s">
        <v>428</v>
      </c>
    </row>
    <row r="54" spans="1:9" ht="15.75" hidden="1" customHeight="1">
      <c r="A54" s="64"/>
      <c r="B54" s="64"/>
      <c r="C54" s="64"/>
      <c r="D54" s="64"/>
      <c r="E54" s="64" t="s">
        <v>143</v>
      </c>
      <c r="F54" s="64"/>
      <c r="G54" s="81">
        <v>0</v>
      </c>
      <c r="H54" s="64"/>
      <c r="I54" s="64"/>
    </row>
    <row r="55" spans="1:9" ht="15.75" customHeight="1">
      <c r="A55" s="179" t="s">
        <v>140</v>
      </c>
      <c r="B55" s="177">
        <v>45873</v>
      </c>
      <c r="C55" s="64">
        <v>0</v>
      </c>
      <c r="D55" s="64">
        <v>14138</v>
      </c>
      <c r="E55" s="64" t="s">
        <v>141</v>
      </c>
      <c r="F55" s="178">
        <v>202508010034057</v>
      </c>
      <c r="G55" s="81">
        <v>3832.93</v>
      </c>
      <c r="H55" s="64" t="s">
        <v>1066</v>
      </c>
      <c r="I55" s="64" t="s">
        <v>428</v>
      </c>
    </row>
    <row r="56" spans="1:9" ht="15.75" hidden="1" customHeight="1">
      <c r="A56" s="64"/>
      <c r="B56" s="64"/>
      <c r="C56" s="64"/>
      <c r="D56" s="64"/>
      <c r="E56" s="64" t="s">
        <v>143</v>
      </c>
      <c r="F56" s="64"/>
      <c r="G56" s="81">
        <v>0</v>
      </c>
      <c r="H56" s="64"/>
      <c r="I56" s="64"/>
    </row>
    <row r="57" spans="1:9" ht="15.75" hidden="1" customHeight="1">
      <c r="A57" s="64"/>
      <c r="B57" s="177">
        <v>45873</v>
      </c>
      <c r="C57" s="64">
        <v>1533</v>
      </c>
      <c r="D57" s="64">
        <v>99008</v>
      </c>
      <c r="E57" s="64" t="s">
        <v>29</v>
      </c>
      <c r="F57" s="178">
        <v>13227</v>
      </c>
      <c r="G57" s="81">
        <v>35</v>
      </c>
      <c r="H57" s="64"/>
      <c r="I57" s="64"/>
    </row>
    <row r="58" spans="1:9" ht="15.75" hidden="1" customHeight="1">
      <c r="A58" s="64"/>
      <c r="B58" s="64"/>
      <c r="C58" s="64"/>
      <c r="D58" s="64"/>
      <c r="E58" s="64" t="s">
        <v>1067</v>
      </c>
      <c r="F58" s="64"/>
      <c r="G58" s="81">
        <v>0</v>
      </c>
      <c r="H58" s="64"/>
      <c r="I58" s="64"/>
    </row>
    <row r="59" spans="1:9" ht="15.75" hidden="1" customHeight="1">
      <c r="A59" s="64"/>
      <c r="B59" s="177">
        <v>45873</v>
      </c>
      <c r="C59" s="64">
        <v>1533</v>
      </c>
      <c r="D59" s="64">
        <v>99008</v>
      </c>
      <c r="E59" s="64" t="s">
        <v>29</v>
      </c>
      <c r="F59" s="178">
        <v>44205</v>
      </c>
      <c r="G59" s="81">
        <v>100</v>
      </c>
      <c r="H59" s="64"/>
      <c r="I59" s="64"/>
    </row>
    <row r="60" spans="1:9" ht="15.75" hidden="1" customHeight="1">
      <c r="A60" s="64"/>
      <c r="B60" s="64"/>
      <c r="C60" s="64"/>
      <c r="D60" s="64"/>
      <c r="E60" s="64" t="s">
        <v>1068</v>
      </c>
      <c r="F60" s="64"/>
      <c r="G60" s="81">
        <v>0</v>
      </c>
      <c r="H60" s="64"/>
      <c r="I60" s="64"/>
    </row>
    <row r="61" spans="1:9" ht="15.75" hidden="1" customHeight="1">
      <c r="A61" s="64"/>
      <c r="B61" s="177">
        <v>45873</v>
      </c>
      <c r="C61" s="64">
        <v>1533</v>
      </c>
      <c r="D61" s="64">
        <v>99008</v>
      </c>
      <c r="E61" s="64" t="s">
        <v>29</v>
      </c>
      <c r="F61" s="178">
        <v>84179</v>
      </c>
      <c r="G61" s="81">
        <v>110</v>
      </c>
      <c r="H61" s="64"/>
      <c r="I61" s="64"/>
    </row>
    <row r="62" spans="1:9" ht="15.75" hidden="1" customHeight="1">
      <c r="A62" s="64"/>
      <c r="B62" s="64"/>
      <c r="C62" s="64"/>
      <c r="D62" s="64"/>
      <c r="E62" s="64" t="s">
        <v>1069</v>
      </c>
      <c r="F62" s="64"/>
      <c r="G62" s="81">
        <v>0</v>
      </c>
      <c r="H62" s="64"/>
      <c r="I62" s="64"/>
    </row>
    <row r="63" spans="1:9" ht="15.75" hidden="1" customHeight="1">
      <c r="A63" s="64"/>
      <c r="B63" s="177">
        <v>45873</v>
      </c>
      <c r="C63" s="64">
        <v>1533</v>
      </c>
      <c r="D63" s="64">
        <v>99008</v>
      </c>
      <c r="E63" s="64" t="s">
        <v>29</v>
      </c>
      <c r="F63" s="178">
        <v>108431</v>
      </c>
      <c r="G63" s="81">
        <v>212.02</v>
      </c>
      <c r="H63" s="64"/>
      <c r="I63" s="64"/>
    </row>
    <row r="64" spans="1:9" ht="15.75" hidden="1" customHeight="1">
      <c r="A64" s="64"/>
      <c r="B64" s="64"/>
      <c r="C64" s="64"/>
      <c r="D64" s="64"/>
      <c r="E64" s="64" t="s">
        <v>1070</v>
      </c>
      <c r="F64" s="64"/>
      <c r="G64" s="81">
        <v>0</v>
      </c>
      <c r="H64" s="64"/>
      <c r="I64" s="64"/>
    </row>
    <row r="65" spans="1:9" ht="15.75" hidden="1" customHeight="1">
      <c r="A65" s="64"/>
      <c r="B65" s="177">
        <v>45873</v>
      </c>
      <c r="C65" s="64">
        <v>1533</v>
      </c>
      <c r="D65" s="64">
        <v>99008</v>
      </c>
      <c r="E65" s="64" t="s">
        <v>29</v>
      </c>
      <c r="F65" s="178">
        <v>730869</v>
      </c>
      <c r="G65" s="81">
        <v>230</v>
      </c>
      <c r="H65" s="64"/>
      <c r="I65" s="64"/>
    </row>
    <row r="66" spans="1:9" ht="15.75" hidden="1" customHeight="1">
      <c r="A66" s="64"/>
      <c r="B66" s="64"/>
      <c r="C66" s="64"/>
      <c r="D66" s="64"/>
      <c r="E66" s="64" t="s">
        <v>1071</v>
      </c>
      <c r="F66" s="64"/>
      <c r="G66" s="81">
        <v>0</v>
      </c>
      <c r="H66" s="64"/>
      <c r="I66" s="64"/>
    </row>
    <row r="67" spans="1:9" ht="15.75" hidden="1" customHeight="1">
      <c r="A67" s="64"/>
      <c r="B67" s="177">
        <v>45873</v>
      </c>
      <c r="C67" s="64">
        <v>0</v>
      </c>
      <c r="D67" s="64">
        <v>13105</v>
      </c>
      <c r="E67" s="64" t="s">
        <v>80</v>
      </c>
      <c r="F67" s="178">
        <v>80401</v>
      </c>
      <c r="G67" s="81">
        <v>122.62</v>
      </c>
      <c r="H67" s="64"/>
      <c r="I67" s="64"/>
    </row>
    <row r="68" spans="1:9" ht="15.75" hidden="1" customHeight="1">
      <c r="A68" s="64"/>
      <c r="B68" s="64"/>
      <c r="C68" s="64"/>
      <c r="D68" s="64"/>
      <c r="E68" s="64" t="s">
        <v>81</v>
      </c>
      <c r="F68" s="64"/>
      <c r="G68" s="81">
        <v>0</v>
      </c>
      <c r="H68" s="64"/>
      <c r="I68" s="64"/>
    </row>
    <row r="69" spans="1:9" ht="15.75" hidden="1" customHeight="1">
      <c r="A69" s="64"/>
      <c r="B69" s="177">
        <v>45873</v>
      </c>
      <c r="C69" s="64">
        <v>0</v>
      </c>
      <c r="D69" s="64">
        <v>13105</v>
      </c>
      <c r="E69" s="64" t="s">
        <v>80</v>
      </c>
      <c r="F69" s="178">
        <v>80402</v>
      </c>
      <c r="G69" s="81">
        <v>2717.43</v>
      </c>
      <c r="H69" s="64"/>
      <c r="I69" s="64"/>
    </row>
    <row r="70" spans="1:9" ht="15.75" hidden="1" customHeight="1">
      <c r="A70" s="64"/>
      <c r="B70" s="64"/>
      <c r="C70" s="64"/>
      <c r="D70" s="64"/>
      <c r="E70" s="64" t="s">
        <v>81</v>
      </c>
      <c r="F70" s="64"/>
      <c r="G70" s="81">
        <v>0</v>
      </c>
      <c r="H70" s="64"/>
      <c r="I70" s="64"/>
    </row>
    <row r="71" spans="1:9" ht="15.75" hidden="1" customHeight="1">
      <c r="A71" s="64"/>
      <c r="B71" s="177">
        <v>45873</v>
      </c>
      <c r="C71" s="64">
        <v>0</v>
      </c>
      <c r="D71" s="64">
        <v>13105</v>
      </c>
      <c r="E71" s="64" t="s">
        <v>31</v>
      </c>
      <c r="F71" s="178">
        <v>80403</v>
      </c>
      <c r="G71" s="81">
        <v>7437.3</v>
      </c>
      <c r="H71" s="64"/>
      <c r="I71" s="64"/>
    </row>
    <row r="72" spans="1:9" ht="15.75" hidden="1" customHeight="1">
      <c r="A72" s="64"/>
      <c r="B72" s="64"/>
      <c r="C72" s="64"/>
      <c r="D72" s="64"/>
      <c r="E72" s="64" t="s">
        <v>32</v>
      </c>
      <c r="F72" s="64"/>
      <c r="G72" s="81">
        <v>0</v>
      </c>
      <c r="H72" s="64"/>
      <c r="I72" s="64"/>
    </row>
    <row r="73" spans="1:9" ht="15.75" hidden="1" customHeight="1">
      <c r="A73" s="64"/>
      <c r="B73" s="177">
        <v>45873</v>
      </c>
      <c r="C73" s="64">
        <v>0</v>
      </c>
      <c r="D73" s="64">
        <v>13105</v>
      </c>
      <c r="E73" s="64" t="s">
        <v>31</v>
      </c>
      <c r="F73" s="178">
        <v>80404</v>
      </c>
      <c r="G73" s="81">
        <v>420</v>
      </c>
      <c r="H73" s="64"/>
      <c r="I73" s="64"/>
    </row>
    <row r="74" spans="1:9" ht="15.75" hidden="1" customHeight="1">
      <c r="A74" s="64"/>
      <c r="B74" s="64"/>
      <c r="C74" s="64"/>
      <c r="D74" s="64"/>
      <c r="E74" s="64" t="s">
        <v>1072</v>
      </c>
      <c r="F74" s="64"/>
      <c r="G74" s="81">
        <v>0</v>
      </c>
      <c r="H74" s="64"/>
      <c r="I74" s="64"/>
    </row>
    <row r="75" spans="1:9" ht="15.75" hidden="1" customHeight="1">
      <c r="A75" s="64"/>
      <c r="B75" s="177">
        <v>45873</v>
      </c>
      <c r="C75" s="64">
        <v>0</v>
      </c>
      <c r="D75" s="64">
        <v>13105</v>
      </c>
      <c r="E75" s="64" t="s">
        <v>31</v>
      </c>
      <c r="F75" s="178">
        <v>80405</v>
      </c>
      <c r="G75" s="81">
        <v>1320</v>
      </c>
      <c r="H75" s="64"/>
      <c r="I75" s="64"/>
    </row>
    <row r="76" spans="1:9" ht="15.75" hidden="1" customHeight="1">
      <c r="A76" s="64"/>
      <c r="B76" s="64"/>
      <c r="C76" s="64"/>
      <c r="D76" s="64"/>
      <c r="E76" s="64" t="s">
        <v>769</v>
      </c>
      <c r="F76" s="64"/>
      <c r="G76" s="81">
        <v>0</v>
      </c>
      <c r="H76" s="64"/>
      <c r="I76" s="64"/>
    </row>
    <row r="77" spans="1:9" ht="15.75" hidden="1" customHeight="1">
      <c r="A77" s="64"/>
      <c r="B77" s="177">
        <v>45873</v>
      </c>
      <c r="C77" s="64">
        <v>0</v>
      </c>
      <c r="D77" s="64">
        <v>13105</v>
      </c>
      <c r="E77" s="64" t="s">
        <v>31</v>
      </c>
      <c r="F77" s="178">
        <v>80406</v>
      </c>
      <c r="G77" s="81">
        <v>1518</v>
      </c>
      <c r="H77" s="64"/>
      <c r="I77" s="64"/>
    </row>
    <row r="78" spans="1:9" ht="15.75" hidden="1" customHeight="1">
      <c r="A78" s="64"/>
      <c r="B78" s="64"/>
      <c r="C78" s="64"/>
      <c r="D78" s="64"/>
      <c r="E78" s="64" t="s">
        <v>68</v>
      </c>
      <c r="F78" s="64"/>
      <c r="G78" s="81">
        <v>0</v>
      </c>
      <c r="H78" s="64"/>
      <c r="I78" s="64"/>
    </row>
    <row r="79" spans="1:9" ht="15.75" hidden="1" customHeight="1">
      <c r="A79" s="64"/>
      <c r="B79" s="177">
        <v>45873</v>
      </c>
      <c r="C79" s="64">
        <v>0</v>
      </c>
      <c r="D79" s="64">
        <v>13105</v>
      </c>
      <c r="E79" s="64" t="s">
        <v>31</v>
      </c>
      <c r="F79" s="178">
        <v>80407</v>
      </c>
      <c r="G79" s="81">
        <v>1550</v>
      </c>
      <c r="H79" s="64"/>
      <c r="I79" s="64"/>
    </row>
    <row r="80" spans="1:9" ht="15.75" hidden="1" customHeight="1">
      <c r="A80" s="64"/>
      <c r="B80" s="64"/>
      <c r="C80" s="64"/>
      <c r="D80" s="64"/>
      <c r="E80" s="64" t="s">
        <v>37</v>
      </c>
      <c r="F80" s="64"/>
      <c r="G80" s="81">
        <v>0</v>
      </c>
      <c r="H80" s="64"/>
      <c r="I80" s="64"/>
    </row>
    <row r="81" spans="1:9" ht="15.75" hidden="1" customHeight="1">
      <c r="A81" s="64"/>
      <c r="B81" s="177">
        <v>45873</v>
      </c>
      <c r="C81" s="64">
        <v>0</v>
      </c>
      <c r="D81" s="64">
        <v>13105</v>
      </c>
      <c r="E81" s="64" t="s">
        <v>31</v>
      </c>
      <c r="F81" s="178">
        <v>80408</v>
      </c>
      <c r="G81" s="81">
        <v>724.51</v>
      </c>
      <c r="H81" s="64"/>
      <c r="I81" s="64"/>
    </row>
    <row r="82" spans="1:9" ht="15.75" hidden="1" customHeight="1">
      <c r="A82" s="64"/>
      <c r="B82" s="64"/>
      <c r="C82" s="64"/>
      <c r="D82" s="64"/>
      <c r="E82" s="64" t="s">
        <v>46</v>
      </c>
      <c r="F82" s="64"/>
      <c r="G82" s="81">
        <v>0</v>
      </c>
      <c r="H82" s="64"/>
      <c r="I82" s="64"/>
    </row>
    <row r="83" spans="1:9" ht="15.75" hidden="1" customHeight="1">
      <c r="A83" s="64"/>
      <c r="B83" s="177">
        <v>45873</v>
      </c>
      <c r="C83" s="64">
        <v>0</v>
      </c>
      <c r="D83" s="64">
        <v>13105</v>
      </c>
      <c r="E83" s="64" t="s">
        <v>31</v>
      </c>
      <c r="F83" s="178">
        <v>80409</v>
      </c>
      <c r="G83" s="81">
        <v>225.29</v>
      </c>
      <c r="H83" s="64"/>
      <c r="I83" s="64"/>
    </row>
    <row r="84" spans="1:9" ht="15.75" hidden="1" customHeight="1">
      <c r="A84" s="64"/>
      <c r="B84" s="64"/>
      <c r="C84" s="64"/>
      <c r="D84" s="64"/>
      <c r="E84" s="64" t="s">
        <v>111</v>
      </c>
      <c r="F84" s="64"/>
      <c r="G84" s="81">
        <v>0</v>
      </c>
      <c r="H84" s="64"/>
      <c r="I84" s="64"/>
    </row>
    <row r="85" spans="1:9" ht="15.75" hidden="1" customHeight="1">
      <c r="A85" s="64"/>
      <c r="B85" s="177">
        <v>45873</v>
      </c>
      <c r="C85" s="64">
        <v>0</v>
      </c>
      <c r="D85" s="64">
        <v>13105</v>
      </c>
      <c r="E85" s="64" t="s">
        <v>31</v>
      </c>
      <c r="F85" s="178">
        <v>80410</v>
      </c>
      <c r="G85" s="81">
        <v>300.77</v>
      </c>
      <c r="H85" s="64"/>
      <c r="I85" s="64"/>
    </row>
    <row r="86" spans="1:9" ht="15.75" hidden="1" customHeight="1">
      <c r="A86" s="64"/>
      <c r="B86" s="64"/>
      <c r="C86" s="64"/>
      <c r="D86" s="64"/>
      <c r="E86" s="64" t="s">
        <v>762</v>
      </c>
      <c r="F86" s="64"/>
      <c r="G86" s="81">
        <v>0</v>
      </c>
      <c r="H86" s="64"/>
      <c r="I86" s="64"/>
    </row>
    <row r="87" spans="1:9" ht="15.75" hidden="1" customHeight="1">
      <c r="A87" s="64"/>
      <c r="B87" s="177">
        <v>45873</v>
      </c>
      <c r="C87" s="64">
        <v>0</v>
      </c>
      <c r="D87" s="64">
        <v>13105</v>
      </c>
      <c r="E87" s="64" t="s">
        <v>80</v>
      </c>
      <c r="F87" s="178">
        <v>80411</v>
      </c>
      <c r="G87" s="81">
        <v>160.84</v>
      </c>
      <c r="H87" s="64"/>
      <c r="I87" s="64"/>
    </row>
    <row r="88" spans="1:9" ht="15.75" hidden="1" customHeight="1">
      <c r="A88" s="64"/>
      <c r="B88" s="64"/>
      <c r="C88" s="64"/>
      <c r="D88" s="64"/>
      <c r="E88" s="64" t="s">
        <v>81</v>
      </c>
      <c r="F88" s="64"/>
      <c r="G88" s="81">
        <v>0</v>
      </c>
      <c r="H88" s="64"/>
      <c r="I88" s="64"/>
    </row>
    <row r="89" spans="1:9" ht="15.75" hidden="1" customHeight="1">
      <c r="A89" s="64"/>
      <c r="B89" s="177">
        <v>45873</v>
      </c>
      <c r="C89" s="64">
        <v>0</v>
      </c>
      <c r="D89" s="64">
        <v>0</v>
      </c>
      <c r="E89" s="64" t="s">
        <v>59</v>
      </c>
      <c r="F89" s="178">
        <v>9903</v>
      </c>
      <c r="G89" s="81">
        <v>2768.91</v>
      </c>
      <c r="H89" s="64"/>
      <c r="I89" s="64"/>
    </row>
    <row r="90" spans="1:9" ht="15.75" hidden="1" customHeight="1">
      <c r="A90" s="64"/>
      <c r="B90" s="64"/>
      <c r="C90" s="64"/>
      <c r="D90" s="64"/>
      <c r="E90" s="64" t="s">
        <v>53</v>
      </c>
      <c r="F90" s="64"/>
      <c r="G90" s="81">
        <v>0</v>
      </c>
      <c r="H90" s="64"/>
      <c r="I90" s="64"/>
    </row>
    <row r="91" spans="1:9" ht="15.75" hidden="1" customHeight="1">
      <c r="A91" s="64"/>
      <c r="B91" s="177">
        <v>45874</v>
      </c>
      <c r="C91" s="64">
        <v>0</v>
      </c>
      <c r="D91" s="64">
        <v>14397</v>
      </c>
      <c r="E91" s="64" t="s">
        <v>57</v>
      </c>
      <c r="F91" s="178">
        <v>51637053768252</v>
      </c>
      <c r="G91" s="81">
        <v>81.38</v>
      </c>
      <c r="H91" s="64"/>
      <c r="I91" s="64"/>
    </row>
    <row r="92" spans="1:9" ht="15.75" hidden="1" customHeight="1">
      <c r="A92" s="64"/>
      <c r="B92" s="64"/>
      <c r="C92" s="64"/>
      <c r="D92" s="64"/>
      <c r="E92" s="64" t="s">
        <v>1073</v>
      </c>
      <c r="F92" s="64"/>
      <c r="G92" s="81">
        <v>0</v>
      </c>
      <c r="H92" s="64"/>
      <c r="I92" s="64"/>
    </row>
    <row r="93" spans="1:9" ht="15.75" customHeight="1">
      <c r="A93" s="179" t="s">
        <v>140</v>
      </c>
      <c r="B93" s="177">
        <v>45874</v>
      </c>
      <c r="C93" s="64">
        <v>0</v>
      </c>
      <c r="D93" s="64">
        <v>14138</v>
      </c>
      <c r="E93" s="64" t="s">
        <v>141</v>
      </c>
      <c r="F93" s="178">
        <v>202508040050720</v>
      </c>
      <c r="G93" s="81">
        <v>1476.65</v>
      </c>
      <c r="H93" s="64" t="s">
        <v>1074</v>
      </c>
      <c r="I93" s="64" t="s">
        <v>595</v>
      </c>
    </row>
    <row r="94" spans="1:9" ht="14.25" hidden="1" customHeight="1">
      <c r="A94" s="64"/>
      <c r="B94" s="64"/>
      <c r="C94" s="64"/>
      <c r="D94" s="64"/>
      <c r="E94" s="64" t="s">
        <v>143</v>
      </c>
      <c r="F94" s="64"/>
      <c r="G94" s="81">
        <v>0</v>
      </c>
      <c r="H94" s="64"/>
      <c r="I94" s="64"/>
    </row>
    <row r="95" spans="1:9" ht="15.75" customHeight="1">
      <c r="A95" s="179" t="s">
        <v>140</v>
      </c>
      <c r="B95" s="177">
        <v>45874</v>
      </c>
      <c r="C95" s="64">
        <v>0</v>
      </c>
      <c r="D95" s="64">
        <v>14138</v>
      </c>
      <c r="E95" s="64" t="s">
        <v>141</v>
      </c>
      <c r="F95" s="178">
        <v>202508040050721</v>
      </c>
      <c r="G95" s="81">
        <v>1165.25</v>
      </c>
      <c r="H95" s="64" t="s">
        <v>1075</v>
      </c>
      <c r="I95" s="64" t="s">
        <v>595</v>
      </c>
    </row>
    <row r="96" spans="1:9" ht="15.75" hidden="1" customHeight="1">
      <c r="A96" s="64"/>
      <c r="B96" s="64"/>
      <c r="C96" s="64"/>
      <c r="D96" s="64"/>
      <c r="E96" s="64" t="s">
        <v>143</v>
      </c>
      <c r="F96" s="64"/>
      <c r="G96" s="81">
        <v>0</v>
      </c>
      <c r="H96" s="64"/>
      <c r="I96" s="64"/>
    </row>
    <row r="97" spans="1:9" ht="15.75" customHeight="1">
      <c r="A97" s="179" t="s">
        <v>140</v>
      </c>
      <c r="B97" s="177">
        <v>45874</v>
      </c>
      <c r="C97" s="64">
        <v>0</v>
      </c>
      <c r="D97" s="64">
        <v>14138</v>
      </c>
      <c r="E97" s="64" t="s">
        <v>141</v>
      </c>
      <c r="F97" s="178">
        <v>202508040050726</v>
      </c>
      <c r="G97" s="81">
        <v>1476.65</v>
      </c>
      <c r="H97" s="64" t="s">
        <v>1076</v>
      </c>
      <c r="I97" s="64" t="s">
        <v>595</v>
      </c>
    </row>
    <row r="98" spans="1:9" ht="15.75" hidden="1" customHeight="1">
      <c r="A98" s="64"/>
      <c r="B98" s="64"/>
      <c r="C98" s="64"/>
      <c r="D98" s="64"/>
      <c r="E98" s="64" t="s">
        <v>143</v>
      </c>
      <c r="F98" s="64"/>
      <c r="G98" s="81">
        <v>0</v>
      </c>
      <c r="H98" s="64"/>
      <c r="I98" s="64"/>
    </row>
    <row r="99" spans="1:9" ht="15.75" customHeight="1">
      <c r="A99" s="179" t="s">
        <v>140</v>
      </c>
      <c r="B99" s="177">
        <v>45874</v>
      </c>
      <c r="C99" s="64">
        <v>0</v>
      </c>
      <c r="D99" s="64">
        <v>14138</v>
      </c>
      <c r="E99" s="64" t="s">
        <v>141</v>
      </c>
      <c r="F99" s="178">
        <v>202508040050727</v>
      </c>
      <c r="G99" s="81">
        <v>1165.25</v>
      </c>
      <c r="H99" s="64" t="s">
        <v>1077</v>
      </c>
      <c r="I99" s="64" t="s">
        <v>595</v>
      </c>
    </row>
    <row r="100" spans="1:9" ht="15.75" hidden="1" customHeight="1">
      <c r="A100" s="64"/>
      <c r="B100" s="64"/>
      <c r="C100" s="64"/>
      <c r="D100" s="64"/>
      <c r="E100" s="64" t="s">
        <v>143</v>
      </c>
      <c r="F100" s="64"/>
      <c r="G100" s="81">
        <v>0</v>
      </c>
      <c r="H100" s="64"/>
      <c r="I100" s="64"/>
    </row>
    <row r="101" spans="1:9" ht="15.75" hidden="1" customHeight="1">
      <c r="A101" s="64"/>
      <c r="B101" s="177">
        <v>45874</v>
      </c>
      <c r="C101" s="64">
        <v>1533</v>
      </c>
      <c r="D101" s="64">
        <v>99008</v>
      </c>
      <c r="E101" s="64" t="s">
        <v>29</v>
      </c>
      <c r="F101" s="178">
        <v>639211</v>
      </c>
      <c r="G101" s="81">
        <v>28</v>
      </c>
      <c r="H101" s="64"/>
      <c r="I101" s="64"/>
    </row>
    <row r="102" spans="1:9" ht="15.75" hidden="1" customHeight="1">
      <c r="A102" s="64"/>
      <c r="B102" s="64"/>
      <c r="C102" s="64"/>
      <c r="D102" s="64"/>
      <c r="E102" s="64" t="s">
        <v>1078</v>
      </c>
      <c r="F102" s="64"/>
      <c r="G102" s="81">
        <v>0</v>
      </c>
      <c r="H102" s="64"/>
      <c r="I102" s="64"/>
    </row>
    <row r="103" spans="1:9" ht="15.75" hidden="1" customHeight="1">
      <c r="A103" s="64"/>
      <c r="B103" s="177">
        <v>45874</v>
      </c>
      <c r="C103" s="64">
        <v>1533</v>
      </c>
      <c r="D103" s="64">
        <v>99008</v>
      </c>
      <c r="E103" s="64" t="s">
        <v>29</v>
      </c>
      <c r="F103" s="178">
        <v>660167</v>
      </c>
      <c r="G103" s="81">
        <v>90</v>
      </c>
      <c r="H103" s="64"/>
      <c r="I103" s="64"/>
    </row>
    <row r="104" spans="1:9" ht="15.75" hidden="1" customHeight="1">
      <c r="A104" s="64"/>
      <c r="B104" s="64"/>
      <c r="C104" s="64"/>
      <c r="D104" s="64"/>
      <c r="E104" s="64" t="s">
        <v>1079</v>
      </c>
      <c r="F104" s="64"/>
      <c r="G104" s="81">
        <v>0</v>
      </c>
      <c r="H104" s="64"/>
      <c r="I104" s="64"/>
    </row>
    <row r="105" spans="1:9" ht="15.75" hidden="1" customHeight="1">
      <c r="A105" s="64"/>
      <c r="B105" s="177">
        <v>45874</v>
      </c>
      <c r="C105" s="64">
        <v>0</v>
      </c>
      <c r="D105" s="64">
        <v>13105</v>
      </c>
      <c r="E105" s="64" t="s">
        <v>31</v>
      </c>
      <c r="F105" s="178">
        <v>80501</v>
      </c>
      <c r="G105" s="81">
        <v>676.51</v>
      </c>
      <c r="H105" s="64"/>
      <c r="I105" s="64"/>
    </row>
    <row r="106" spans="1:9" ht="15.75" hidden="1" customHeight="1">
      <c r="A106" s="64"/>
      <c r="B106" s="64"/>
      <c r="C106" s="64"/>
      <c r="D106" s="64"/>
      <c r="E106" s="64" t="s">
        <v>41</v>
      </c>
      <c r="F106" s="64"/>
      <c r="G106" s="81">
        <v>0</v>
      </c>
      <c r="H106" s="64"/>
      <c r="I106" s="64"/>
    </row>
    <row r="107" spans="1:9" ht="15.75" hidden="1" customHeight="1">
      <c r="A107" s="64"/>
      <c r="B107" s="177">
        <v>45874</v>
      </c>
      <c r="C107" s="64">
        <v>0</v>
      </c>
      <c r="D107" s="64">
        <v>13105</v>
      </c>
      <c r="E107" s="64" t="s">
        <v>31</v>
      </c>
      <c r="F107" s="178">
        <v>80502</v>
      </c>
      <c r="G107" s="81">
        <v>274.5</v>
      </c>
      <c r="H107" s="64"/>
      <c r="I107" s="64"/>
    </row>
    <row r="108" spans="1:9" ht="15.75" hidden="1" customHeight="1">
      <c r="A108" s="64"/>
      <c r="B108" s="64"/>
      <c r="C108" s="64"/>
      <c r="D108" s="64"/>
      <c r="E108" s="64" t="s">
        <v>41</v>
      </c>
      <c r="F108" s="64"/>
      <c r="G108" s="81">
        <v>0</v>
      </c>
      <c r="H108" s="64"/>
      <c r="I108" s="64"/>
    </row>
    <row r="109" spans="1:9" ht="15.75" hidden="1" customHeight="1">
      <c r="A109" s="64"/>
      <c r="B109" s="177">
        <v>45874</v>
      </c>
      <c r="C109" s="64">
        <v>0</v>
      </c>
      <c r="D109" s="64">
        <v>13105</v>
      </c>
      <c r="E109" s="64" t="s">
        <v>31</v>
      </c>
      <c r="F109" s="178">
        <v>80503</v>
      </c>
      <c r="G109" s="81">
        <v>568.30999999999995</v>
      </c>
      <c r="H109" s="64"/>
      <c r="I109" s="64"/>
    </row>
    <row r="110" spans="1:9" ht="15.75" hidden="1" customHeight="1">
      <c r="A110" s="64"/>
      <c r="B110" s="64"/>
      <c r="C110" s="64"/>
      <c r="D110" s="64"/>
      <c r="E110" s="64" t="s">
        <v>66</v>
      </c>
      <c r="F110" s="64"/>
      <c r="G110" s="81">
        <v>0</v>
      </c>
      <c r="H110" s="64"/>
      <c r="I110" s="64"/>
    </row>
    <row r="111" spans="1:9" ht="15.75" hidden="1" customHeight="1">
      <c r="A111" s="64"/>
      <c r="B111" s="177">
        <v>45874</v>
      </c>
      <c r="C111" s="64">
        <v>0</v>
      </c>
      <c r="D111" s="64">
        <v>13105</v>
      </c>
      <c r="E111" s="64" t="s">
        <v>31</v>
      </c>
      <c r="F111" s="178">
        <v>80504</v>
      </c>
      <c r="G111" s="81">
        <v>173.35</v>
      </c>
      <c r="H111" s="64"/>
      <c r="I111" s="64"/>
    </row>
    <row r="112" spans="1:9" ht="15.75" hidden="1" customHeight="1">
      <c r="A112" s="64"/>
      <c r="B112" s="64"/>
      <c r="C112" s="64"/>
      <c r="D112" s="64"/>
      <c r="E112" s="64" t="s">
        <v>216</v>
      </c>
      <c r="F112" s="64"/>
      <c r="G112" s="81">
        <v>0</v>
      </c>
      <c r="H112" s="64"/>
      <c r="I112" s="64"/>
    </row>
    <row r="113" spans="1:9" ht="15.75" hidden="1" customHeight="1">
      <c r="A113" s="64"/>
      <c r="B113" s="177">
        <v>45874</v>
      </c>
      <c r="C113" s="64">
        <v>0</v>
      </c>
      <c r="D113" s="64">
        <v>13105</v>
      </c>
      <c r="E113" s="64" t="s">
        <v>31</v>
      </c>
      <c r="F113" s="178">
        <v>80505</v>
      </c>
      <c r="G113" s="81">
        <v>343.2</v>
      </c>
      <c r="H113" s="64"/>
      <c r="I113" s="64"/>
    </row>
    <row r="114" spans="1:9" ht="15.75" hidden="1" customHeight="1">
      <c r="A114" s="64"/>
      <c r="B114" s="64"/>
      <c r="C114" s="64"/>
      <c r="D114" s="64"/>
      <c r="E114" s="64" t="s">
        <v>769</v>
      </c>
      <c r="F114" s="64"/>
      <c r="G114" s="81">
        <v>0</v>
      </c>
      <c r="H114" s="64"/>
      <c r="I114" s="64"/>
    </row>
    <row r="115" spans="1:9" ht="15.75" hidden="1" customHeight="1">
      <c r="A115" s="64"/>
      <c r="B115" s="177">
        <v>45874</v>
      </c>
      <c r="C115" s="64">
        <v>0</v>
      </c>
      <c r="D115" s="64">
        <v>13105</v>
      </c>
      <c r="E115" s="64" t="s">
        <v>31</v>
      </c>
      <c r="F115" s="178">
        <v>80506</v>
      </c>
      <c r="G115" s="81">
        <v>340.13</v>
      </c>
      <c r="H115" s="64"/>
      <c r="I115" s="64"/>
    </row>
    <row r="116" spans="1:9" ht="15.75" hidden="1" customHeight="1">
      <c r="A116" s="64"/>
      <c r="B116" s="64"/>
      <c r="C116" s="64"/>
      <c r="D116" s="64"/>
      <c r="E116" s="64" t="s">
        <v>45</v>
      </c>
      <c r="F116" s="64"/>
      <c r="G116" s="81">
        <v>0</v>
      </c>
      <c r="H116" s="64"/>
      <c r="I116" s="64"/>
    </row>
    <row r="117" spans="1:9" ht="15.75" hidden="1" customHeight="1">
      <c r="A117" s="64"/>
      <c r="B117" s="177">
        <v>45874</v>
      </c>
      <c r="C117" s="64">
        <v>0</v>
      </c>
      <c r="D117" s="64">
        <v>13105</v>
      </c>
      <c r="E117" s="64" t="s">
        <v>31</v>
      </c>
      <c r="F117" s="178">
        <v>80507</v>
      </c>
      <c r="G117" s="81">
        <v>480.8</v>
      </c>
      <c r="H117" s="64"/>
      <c r="I117" s="64"/>
    </row>
    <row r="118" spans="1:9" ht="15.75" hidden="1" customHeight="1">
      <c r="A118" s="64"/>
      <c r="B118" s="64"/>
      <c r="C118" s="64"/>
      <c r="D118" s="64"/>
      <c r="E118" s="64" t="s">
        <v>45</v>
      </c>
      <c r="F118" s="64"/>
      <c r="G118" s="81">
        <v>0</v>
      </c>
      <c r="H118" s="64"/>
      <c r="I118" s="64"/>
    </row>
    <row r="119" spans="1:9" ht="15.75" hidden="1" customHeight="1">
      <c r="A119" s="64"/>
      <c r="B119" s="177">
        <v>45874</v>
      </c>
      <c r="C119" s="64">
        <v>0</v>
      </c>
      <c r="D119" s="64">
        <v>13105</v>
      </c>
      <c r="E119" s="64" t="s">
        <v>31</v>
      </c>
      <c r="F119" s="178">
        <v>80508</v>
      </c>
      <c r="G119" s="81">
        <v>557.79999999999995</v>
      </c>
      <c r="H119" s="64"/>
      <c r="I119" s="64"/>
    </row>
    <row r="120" spans="1:9" ht="15.75" hidden="1" customHeight="1">
      <c r="A120" s="64"/>
      <c r="B120" s="64"/>
      <c r="C120" s="64"/>
      <c r="D120" s="64"/>
      <c r="E120" s="64" t="s">
        <v>46</v>
      </c>
      <c r="F120" s="64"/>
      <c r="G120" s="81">
        <v>0</v>
      </c>
      <c r="H120" s="64"/>
      <c r="I120" s="64"/>
    </row>
    <row r="121" spans="1:9" ht="15.75" hidden="1" customHeight="1">
      <c r="A121" s="64"/>
      <c r="B121" s="177">
        <v>45874</v>
      </c>
      <c r="C121" s="64">
        <v>0</v>
      </c>
      <c r="D121" s="64">
        <v>13105</v>
      </c>
      <c r="E121" s="64" t="s">
        <v>31</v>
      </c>
      <c r="F121" s="178">
        <v>80509</v>
      </c>
      <c r="G121" s="81">
        <v>667.88</v>
      </c>
      <c r="H121" s="64"/>
      <c r="I121" s="64"/>
    </row>
    <row r="122" spans="1:9" ht="15.75" hidden="1" customHeight="1">
      <c r="A122" s="64"/>
      <c r="B122" s="64"/>
      <c r="C122" s="64"/>
      <c r="D122" s="64"/>
      <c r="E122" s="64" t="s">
        <v>46</v>
      </c>
      <c r="F122" s="64"/>
      <c r="G122" s="81">
        <v>0</v>
      </c>
      <c r="H122" s="64"/>
      <c r="I122" s="64"/>
    </row>
    <row r="123" spans="1:9" ht="15.75" hidden="1" customHeight="1">
      <c r="A123" s="64"/>
      <c r="B123" s="177">
        <v>45874</v>
      </c>
      <c r="C123" s="64">
        <v>0</v>
      </c>
      <c r="D123" s="64">
        <v>13105</v>
      </c>
      <c r="E123" s="64" t="s">
        <v>31</v>
      </c>
      <c r="F123" s="178">
        <v>80510</v>
      </c>
      <c r="G123" s="81">
        <v>232.44</v>
      </c>
      <c r="H123" s="64"/>
      <c r="I123" s="64"/>
    </row>
    <row r="124" spans="1:9" ht="15.75" hidden="1" customHeight="1">
      <c r="A124" s="64"/>
      <c r="B124" s="64"/>
      <c r="C124" s="64"/>
      <c r="D124" s="64"/>
      <c r="E124" s="64" t="s">
        <v>340</v>
      </c>
      <c r="F124" s="64"/>
      <c r="G124" s="81">
        <v>0</v>
      </c>
      <c r="H124" s="64"/>
      <c r="I124" s="64"/>
    </row>
    <row r="125" spans="1:9" ht="15.75" hidden="1" customHeight="1">
      <c r="A125" s="64"/>
      <c r="B125" s="177">
        <v>45874</v>
      </c>
      <c r="C125" s="64">
        <v>0</v>
      </c>
      <c r="D125" s="64">
        <v>13105</v>
      </c>
      <c r="E125" s="64" t="s">
        <v>31</v>
      </c>
      <c r="F125" s="178">
        <v>80511</v>
      </c>
      <c r="G125" s="81">
        <v>231.11</v>
      </c>
      <c r="H125" s="64"/>
      <c r="I125" s="64"/>
    </row>
    <row r="126" spans="1:9" ht="15.75" hidden="1" customHeight="1">
      <c r="A126" s="64"/>
      <c r="B126" s="64"/>
      <c r="C126" s="64"/>
      <c r="D126" s="64"/>
      <c r="E126" s="64" t="s">
        <v>111</v>
      </c>
      <c r="F126" s="64"/>
      <c r="G126" s="81">
        <v>0</v>
      </c>
      <c r="H126" s="64"/>
      <c r="I126" s="64"/>
    </row>
    <row r="127" spans="1:9" ht="15.75" hidden="1" customHeight="1">
      <c r="A127" s="64"/>
      <c r="B127" s="177">
        <v>45874</v>
      </c>
      <c r="C127" s="64">
        <v>0</v>
      </c>
      <c r="D127" s="64">
        <v>13113</v>
      </c>
      <c r="E127" s="64" t="s">
        <v>72</v>
      </c>
      <c r="F127" s="178">
        <v>882171200017193</v>
      </c>
      <c r="G127" s="81">
        <v>75.400000000000006</v>
      </c>
      <c r="H127" s="64"/>
      <c r="I127" s="64"/>
    </row>
    <row r="128" spans="1:9" ht="15.75" hidden="1" customHeight="1">
      <c r="A128" s="64"/>
      <c r="B128" s="64"/>
      <c r="C128" s="64"/>
      <c r="D128" s="64"/>
      <c r="E128" s="64" t="s">
        <v>1080</v>
      </c>
      <c r="F128" s="64"/>
      <c r="G128" s="81">
        <v>0</v>
      </c>
      <c r="H128" s="64"/>
      <c r="I128" s="64"/>
    </row>
    <row r="129" spans="1:9" ht="15.75" hidden="1" customHeight="1">
      <c r="A129" s="64"/>
      <c r="B129" s="177">
        <v>45874</v>
      </c>
      <c r="C129" s="64">
        <v>0</v>
      </c>
      <c r="D129" s="64">
        <v>0</v>
      </c>
      <c r="E129" s="64" t="s">
        <v>59</v>
      </c>
      <c r="F129" s="178">
        <v>9903</v>
      </c>
      <c r="G129" s="81">
        <v>625.75</v>
      </c>
      <c r="H129" s="64"/>
      <c r="I129" s="64"/>
    </row>
    <row r="130" spans="1:9" ht="15.75" hidden="1" customHeight="1">
      <c r="A130" s="64"/>
      <c r="B130" s="64"/>
      <c r="C130" s="64"/>
      <c r="D130" s="64"/>
      <c r="E130" s="64" t="s">
        <v>53</v>
      </c>
      <c r="F130" s="64"/>
      <c r="G130" s="81">
        <v>0</v>
      </c>
      <c r="H130" s="64"/>
      <c r="I130" s="64"/>
    </row>
    <row r="131" spans="1:9" ht="15.75" hidden="1" customHeight="1">
      <c r="A131" s="64"/>
      <c r="B131" s="177">
        <v>45875</v>
      </c>
      <c r="C131" s="64">
        <v>1845</v>
      </c>
      <c r="D131" s="64">
        <v>99021</v>
      </c>
      <c r="E131" s="64" t="s">
        <v>27</v>
      </c>
      <c r="F131" s="178">
        <v>611845000040070</v>
      </c>
      <c r="G131" s="81">
        <v>970.45</v>
      </c>
      <c r="H131" s="64"/>
      <c r="I131" s="64"/>
    </row>
    <row r="132" spans="1:9" ht="15.75" hidden="1" customHeight="1">
      <c r="A132" s="64"/>
      <c r="B132" s="64"/>
      <c r="C132" s="64"/>
      <c r="D132" s="64"/>
      <c r="E132" s="64" t="s">
        <v>1081</v>
      </c>
      <c r="F132" s="64"/>
      <c r="G132" s="81">
        <v>0</v>
      </c>
      <c r="H132" s="64"/>
      <c r="I132" s="64"/>
    </row>
    <row r="133" spans="1:9" ht="15.75" hidden="1" customHeight="1">
      <c r="A133" s="64"/>
      <c r="B133" s="177">
        <v>45875</v>
      </c>
      <c r="C133" s="64">
        <v>2256</v>
      </c>
      <c r="D133" s="64">
        <v>99021</v>
      </c>
      <c r="E133" s="64" t="s">
        <v>27</v>
      </c>
      <c r="F133" s="178">
        <v>612256000106555</v>
      </c>
      <c r="G133" s="81">
        <v>978.71</v>
      </c>
      <c r="H133" s="64"/>
      <c r="I133" s="64"/>
    </row>
    <row r="134" spans="1:9" ht="15.75" hidden="1" customHeight="1">
      <c r="A134" s="64"/>
      <c r="B134" s="64"/>
      <c r="C134" s="64"/>
      <c r="D134" s="64"/>
      <c r="E134" s="64" t="s">
        <v>1082</v>
      </c>
      <c r="F134" s="64"/>
      <c r="G134" s="81">
        <v>0</v>
      </c>
      <c r="H134" s="64"/>
      <c r="I134" s="64"/>
    </row>
    <row r="135" spans="1:9" ht="15.75" hidden="1" customHeight="1">
      <c r="A135" s="64"/>
      <c r="B135" s="177">
        <v>45875</v>
      </c>
      <c r="C135" s="64">
        <v>0</v>
      </c>
      <c r="D135" s="64">
        <v>14397</v>
      </c>
      <c r="E135" s="64" t="s">
        <v>57</v>
      </c>
      <c r="F135" s="178">
        <v>61024308883392</v>
      </c>
      <c r="G135" s="81">
        <v>720.67</v>
      </c>
      <c r="H135" s="64"/>
      <c r="I135" s="64"/>
    </row>
    <row r="136" spans="1:9" ht="15.75" hidden="1" customHeight="1">
      <c r="A136" s="64"/>
      <c r="B136" s="64"/>
      <c r="C136" s="64"/>
      <c r="D136" s="64"/>
      <c r="E136" s="64" t="s">
        <v>1083</v>
      </c>
      <c r="F136" s="64"/>
      <c r="G136" s="81">
        <v>0</v>
      </c>
      <c r="H136" s="64"/>
      <c r="I136" s="64"/>
    </row>
    <row r="137" spans="1:9" ht="15.75" hidden="1" customHeight="1">
      <c r="A137" s="64"/>
      <c r="B137" s="177">
        <v>45875</v>
      </c>
      <c r="C137" s="64">
        <v>0</v>
      </c>
      <c r="D137" s="64">
        <v>14397</v>
      </c>
      <c r="E137" s="64" t="s">
        <v>57</v>
      </c>
      <c r="F137" s="178">
        <v>61540526791442</v>
      </c>
      <c r="G137" s="81">
        <v>262.11</v>
      </c>
      <c r="H137" s="64"/>
      <c r="I137" s="64"/>
    </row>
    <row r="138" spans="1:9" ht="15.75" hidden="1" customHeight="1">
      <c r="A138" s="64"/>
      <c r="B138" s="64"/>
      <c r="C138" s="64"/>
      <c r="D138" s="64"/>
      <c r="E138" s="64" t="s">
        <v>1084</v>
      </c>
      <c r="F138" s="64"/>
      <c r="G138" s="81">
        <v>0</v>
      </c>
      <c r="H138" s="64"/>
      <c r="I138" s="64"/>
    </row>
    <row r="139" spans="1:9" ht="15.75" hidden="1" customHeight="1">
      <c r="A139" s="64"/>
      <c r="B139" s="177">
        <v>45875</v>
      </c>
      <c r="C139" s="64">
        <v>0</v>
      </c>
      <c r="D139" s="64">
        <v>14397</v>
      </c>
      <c r="E139" s="64" t="s">
        <v>57</v>
      </c>
      <c r="F139" s="178">
        <v>61547010921971</v>
      </c>
      <c r="G139" s="81">
        <v>1000</v>
      </c>
      <c r="H139" s="64"/>
      <c r="I139" s="64"/>
    </row>
    <row r="140" spans="1:9" ht="15.75" hidden="1" customHeight="1">
      <c r="A140" s="64"/>
      <c r="B140" s="64"/>
      <c r="C140" s="64"/>
      <c r="D140" s="64"/>
      <c r="E140" s="64" t="s">
        <v>1085</v>
      </c>
      <c r="F140" s="64"/>
      <c r="G140" s="81">
        <v>0</v>
      </c>
      <c r="H140" s="64"/>
      <c r="I140" s="64"/>
    </row>
    <row r="141" spans="1:9" ht="15.75" customHeight="1">
      <c r="A141" s="179" t="s">
        <v>140</v>
      </c>
      <c r="B141" s="177">
        <v>45875</v>
      </c>
      <c r="C141" s="64">
        <v>0</v>
      </c>
      <c r="D141" s="64">
        <v>14138</v>
      </c>
      <c r="E141" s="64" t="s">
        <v>141</v>
      </c>
      <c r="F141" s="178">
        <v>202508050002301</v>
      </c>
      <c r="G141" s="81">
        <v>157.72999999999999</v>
      </c>
      <c r="H141" s="80" t="s">
        <v>1086</v>
      </c>
      <c r="I141" s="64" t="s">
        <v>419</v>
      </c>
    </row>
    <row r="142" spans="1:9" ht="15.75" hidden="1" customHeight="1">
      <c r="A142" s="64"/>
      <c r="B142" s="64"/>
      <c r="C142" s="64"/>
      <c r="D142" s="64"/>
      <c r="E142" s="64" t="s">
        <v>143</v>
      </c>
      <c r="F142" s="64"/>
      <c r="G142" s="81">
        <v>0</v>
      </c>
      <c r="H142" s="64"/>
      <c r="I142" s="64"/>
    </row>
    <row r="143" spans="1:9" ht="15.75" customHeight="1">
      <c r="A143" s="179" t="s">
        <v>140</v>
      </c>
      <c r="B143" s="177">
        <v>45875</v>
      </c>
      <c r="C143" s="64">
        <v>0</v>
      </c>
      <c r="D143" s="64">
        <v>14138</v>
      </c>
      <c r="E143" s="64" t="s">
        <v>141</v>
      </c>
      <c r="F143" s="178">
        <v>202508050002306</v>
      </c>
      <c r="G143" s="81">
        <v>609.28</v>
      </c>
      <c r="H143" s="64" t="s">
        <v>1087</v>
      </c>
      <c r="I143" s="64" t="s">
        <v>419</v>
      </c>
    </row>
    <row r="144" spans="1:9" ht="15.75" hidden="1" customHeight="1">
      <c r="A144" s="64"/>
      <c r="B144" s="64"/>
      <c r="C144" s="64"/>
      <c r="D144" s="64"/>
      <c r="E144" s="64" t="s">
        <v>143</v>
      </c>
      <c r="F144" s="64"/>
      <c r="G144" s="81">
        <v>0</v>
      </c>
      <c r="H144" s="64"/>
      <c r="I144" s="64"/>
    </row>
    <row r="145" spans="1:9" ht="15.75" customHeight="1">
      <c r="A145" s="179" t="s">
        <v>140</v>
      </c>
      <c r="B145" s="177">
        <v>45875</v>
      </c>
      <c r="C145" s="64">
        <v>0</v>
      </c>
      <c r="D145" s="64">
        <v>14138</v>
      </c>
      <c r="E145" s="64" t="s">
        <v>141</v>
      </c>
      <c r="F145" s="178">
        <v>202508050008703</v>
      </c>
      <c r="G145" s="81">
        <v>7579.05</v>
      </c>
      <c r="H145" s="80" t="s">
        <v>1088</v>
      </c>
      <c r="I145" s="64" t="s">
        <v>1089</v>
      </c>
    </row>
    <row r="146" spans="1:9" ht="15.75" hidden="1" customHeight="1">
      <c r="A146" s="64"/>
      <c r="B146" s="64"/>
      <c r="C146" s="64"/>
      <c r="D146" s="64"/>
      <c r="E146" s="64" t="s">
        <v>143</v>
      </c>
      <c r="F146" s="64"/>
      <c r="G146" s="81">
        <v>0</v>
      </c>
      <c r="H146" s="64"/>
      <c r="I146" s="64"/>
    </row>
    <row r="147" spans="1:9" ht="15.75" customHeight="1">
      <c r="A147" s="179" t="s">
        <v>140</v>
      </c>
      <c r="B147" s="177">
        <v>45875</v>
      </c>
      <c r="C147" s="64">
        <v>0</v>
      </c>
      <c r="D147" s="64">
        <v>14138</v>
      </c>
      <c r="E147" s="64" t="s">
        <v>141</v>
      </c>
      <c r="F147" s="178">
        <v>202508050008704</v>
      </c>
      <c r="G147" s="81">
        <v>5441.9</v>
      </c>
      <c r="H147" s="180">
        <v>3016</v>
      </c>
      <c r="I147" s="64" t="s">
        <v>1089</v>
      </c>
    </row>
    <row r="148" spans="1:9" ht="15.75" hidden="1" customHeight="1">
      <c r="A148" s="64"/>
      <c r="B148" s="64"/>
      <c r="C148" s="64"/>
      <c r="D148" s="64"/>
      <c r="E148" s="64" t="s">
        <v>143</v>
      </c>
      <c r="F148" s="64"/>
      <c r="G148" s="81">
        <v>0</v>
      </c>
      <c r="H148" s="64"/>
      <c r="I148" s="64"/>
    </row>
    <row r="149" spans="1:9" ht="15.75" customHeight="1">
      <c r="A149" s="179" t="s">
        <v>140</v>
      </c>
      <c r="B149" s="177">
        <v>45875</v>
      </c>
      <c r="C149" s="64">
        <v>0</v>
      </c>
      <c r="D149" s="64">
        <v>14138</v>
      </c>
      <c r="E149" s="64" t="s">
        <v>141</v>
      </c>
      <c r="F149" s="178">
        <v>202508050008705</v>
      </c>
      <c r="G149" s="81">
        <v>3627.94</v>
      </c>
      <c r="H149" s="180">
        <v>3143</v>
      </c>
      <c r="I149" s="64" t="s">
        <v>1089</v>
      </c>
    </row>
    <row r="150" spans="1:9" ht="15.75" hidden="1" customHeight="1">
      <c r="A150" s="64"/>
      <c r="B150" s="64"/>
      <c r="C150" s="64"/>
      <c r="D150" s="64"/>
      <c r="E150" s="64" t="s">
        <v>143</v>
      </c>
      <c r="F150" s="64"/>
      <c r="G150" s="81">
        <v>0</v>
      </c>
      <c r="H150" s="64"/>
      <c r="I150" s="64"/>
    </row>
    <row r="151" spans="1:9" ht="15.75" customHeight="1">
      <c r="A151" s="179" t="s">
        <v>140</v>
      </c>
      <c r="B151" s="177">
        <v>45875</v>
      </c>
      <c r="C151" s="64">
        <v>0</v>
      </c>
      <c r="D151" s="64">
        <v>14138</v>
      </c>
      <c r="E151" s="64" t="s">
        <v>141</v>
      </c>
      <c r="F151" s="178">
        <v>202508050008706</v>
      </c>
      <c r="G151" s="81">
        <v>2297.69</v>
      </c>
      <c r="H151" s="180">
        <v>3215</v>
      </c>
      <c r="I151" s="64" t="s">
        <v>1089</v>
      </c>
    </row>
    <row r="152" spans="1:9" ht="15.75" hidden="1" customHeight="1">
      <c r="A152" s="64"/>
      <c r="B152" s="64"/>
      <c r="C152" s="64"/>
      <c r="D152" s="64"/>
      <c r="E152" s="64" t="s">
        <v>143</v>
      </c>
      <c r="F152" s="64"/>
      <c r="G152" s="81">
        <v>0</v>
      </c>
      <c r="H152" s="64"/>
      <c r="I152" s="64"/>
    </row>
    <row r="153" spans="1:9" ht="15.75" customHeight="1">
      <c r="A153" s="179" t="s">
        <v>140</v>
      </c>
      <c r="B153" s="177">
        <v>45875</v>
      </c>
      <c r="C153" s="64">
        <v>0</v>
      </c>
      <c r="D153" s="64">
        <v>14138</v>
      </c>
      <c r="E153" s="64" t="s">
        <v>141</v>
      </c>
      <c r="F153" s="178">
        <v>202508050020852</v>
      </c>
      <c r="G153" s="81">
        <v>2217.0700000000002</v>
      </c>
      <c r="H153" s="64" t="s">
        <v>1090</v>
      </c>
      <c r="I153" s="64" t="s">
        <v>428</v>
      </c>
    </row>
    <row r="154" spans="1:9" ht="15.75" hidden="1" customHeight="1">
      <c r="A154" s="64"/>
      <c r="B154" s="64"/>
      <c r="C154" s="64"/>
      <c r="D154" s="64"/>
      <c r="E154" s="64" t="s">
        <v>143</v>
      </c>
      <c r="F154" s="64"/>
      <c r="G154" s="81">
        <v>0</v>
      </c>
      <c r="H154" s="64"/>
      <c r="I154" s="64"/>
    </row>
    <row r="155" spans="1:9" ht="15.75" customHeight="1">
      <c r="A155" s="179" t="s">
        <v>140</v>
      </c>
      <c r="B155" s="177">
        <v>45875</v>
      </c>
      <c r="C155" s="64">
        <v>0</v>
      </c>
      <c r="D155" s="64">
        <v>14138</v>
      </c>
      <c r="E155" s="64" t="s">
        <v>141</v>
      </c>
      <c r="F155" s="178">
        <v>202508050020854</v>
      </c>
      <c r="G155" s="81">
        <v>1668.08</v>
      </c>
      <c r="H155" s="64" t="s">
        <v>1091</v>
      </c>
      <c r="I155" s="64" t="s">
        <v>428</v>
      </c>
    </row>
    <row r="156" spans="1:9" ht="15.75" hidden="1" customHeight="1">
      <c r="A156" s="64"/>
      <c r="B156" s="64"/>
      <c r="C156" s="64"/>
      <c r="D156" s="64"/>
      <c r="E156" s="64" t="s">
        <v>143</v>
      </c>
      <c r="F156" s="64"/>
      <c r="G156" s="81">
        <v>0</v>
      </c>
      <c r="H156" s="64"/>
      <c r="I156" s="64"/>
    </row>
    <row r="157" spans="1:9" ht="15.75" hidden="1" customHeight="1">
      <c r="A157" s="64"/>
      <c r="B157" s="177">
        <v>45875</v>
      </c>
      <c r="C157" s="64">
        <v>1533</v>
      </c>
      <c r="D157" s="64">
        <v>99008</v>
      </c>
      <c r="E157" s="64" t="s">
        <v>29</v>
      </c>
      <c r="F157" s="178">
        <v>476707</v>
      </c>
      <c r="G157" s="81">
        <v>27</v>
      </c>
      <c r="H157" s="64"/>
      <c r="I157" s="64"/>
    </row>
    <row r="158" spans="1:9" ht="15.75" hidden="1" customHeight="1">
      <c r="A158" s="64"/>
      <c r="B158" s="64"/>
      <c r="C158" s="64"/>
      <c r="D158" s="64"/>
      <c r="E158" s="64" t="s">
        <v>1092</v>
      </c>
      <c r="F158" s="64"/>
      <c r="G158" s="81">
        <v>0</v>
      </c>
      <c r="H158" s="64"/>
      <c r="I158" s="64"/>
    </row>
    <row r="159" spans="1:9" ht="15.75" hidden="1" customHeight="1">
      <c r="A159" s="64"/>
      <c r="B159" s="177">
        <v>45875</v>
      </c>
      <c r="C159" s="64">
        <v>1533</v>
      </c>
      <c r="D159" s="64">
        <v>99008</v>
      </c>
      <c r="E159" s="64" t="s">
        <v>29</v>
      </c>
      <c r="F159" s="178">
        <v>843163</v>
      </c>
      <c r="G159" s="81">
        <v>195.79</v>
      </c>
      <c r="H159" s="64"/>
      <c r="I159" s="64"/>
    </row>
    <row r="160" spans="1:9" ht="15.75" hidden="1" customHeight="1">
      <c r="A160" s="64"/>
      <c r="B160" s="64"/>
      <c r="C160" s="64"/>
      <c r="D160" s="64"/>
      <c r="E160" s="64" t="s">
        <v>1093</v>
      </c>
      <c r="F160" s="64"/>
      <c r="G160" s="81">
        <v>0</v>
      </c>
      <c r="H160" s="64"/>
      <c r="I160" s="64"/>
    </row>
    <row r="161" spans="1:9" ht="15.75" hidden="1" customHeight="1">
      <c r="A161" s="64"/>
      <c r="B161" s="177">
        <v>45875</v>
      </c>
      <c r="C161" s="64">
        <v>0</v>
      </c>
      <c r="D161" s="64">
        <v>13105</v>
      </c>
      <c r="E161" s="64" t="s">
        <v>31</v>
      </c>
      <c r="F161" s="178">
        <v>80601</v>
      </c>
      <c r="G161" s="81">
        <v>329.5</v>
      </c>
      <c r="H161" s="64"/>
      <c r="I161" s="64"/>
    </row>
    <row r="162" spans="1:9" ht="15.75" hidden="1" customHeight="1">
      <c r="A162" s="64"/>
      <c r="B162" s="64"/>
      <c r="C162" s="64"/>
      <c r="D162" s="64"/>
      <c r="E162" s="64" t="s">
        <v>41</v>
      </c>
      <c r="F162" s="64"/>
      <c r="G162" s="81">
        <v>0</v>
      </c>
      <c r="H162" s="64"/>
      <c r="I162" s="64"/>
    </row>
    <row r="163" spans="1:9" ht="15.75" hidden="1" customHeight="1">
      <c r="A163" s="64"/>
      <c r="B163" s="177">
        <v>45875</v>
      </c>
      <c r="C163" s="64">
        <v>0</v>
      </c>
      <c r="D163" s="64">
        <v>13105</v>
      </c>
      <c r="E163" s="64" t="s">
        <v>31</v>
      </c>
      <c r="F163" s="178">
        <v>80602</v>
      </c>
      <c r="G163" s="81">
        <v>117.32</v>
      </c>
      <c r="H163" s="64"/>
      <c r="I163" s="64"/>
    </row>
    <row r="164" spans="1:9" ht="15.75" hidden="1" customHeight="1">
      <c r="A164" s="64"/>
      <c r="B164" s="64"/>
      <c r="C164" s="64"/>
      <c r="D164" s="64"/>
      <c r="E164" s="64" t="s">
        <v>56</v>
      </c>
      <c r="F164" s="64"/>
      <c r="G164" s="81">
        <v>0</v>
      </c>
      <c r="H164" s="64"/>
      <c r="I164" s="64"/>
    </row>
    <row r="165" spans="1:9" ht="15.75" hidden="1" customHeight="1">
      <c r="A165" s="64"/>
      <c r="B165" s="177">
        <v>45875</v>
      </c>
      <c r="C165" s="64">
        <v>0</v>
      </c>
      <c r="D165" s="64">
        <v>13105</v>
      </c>
      <c r="E165" s="64" t="s">
        <v>31</v>
      </c>
      <c r="F165" s="178">
        <v>80603</v>
      </c>
      <c r="G165" s="81">
        <v>210.36</v>
      </c>
      <c r="H165" s="64"/>
      <c r="I165" s="64"/>
    </row>
    <row r="166" spans="1:9" ht="15.75" hidden="1" customHeight="1">
      <c r="A166" s="64"/>
      <c r="B166" s="64"/>
      <c r="C166" s="64"/>
      <c r="D166" s="64"/>
      <c r="E166" s="64" t="s">
        <v>45</v>
      </c>
      <c r="F166" s="64"/>
      <c r="G166" s="81">
        <v>0</v>
      </c>
      <c r="H166" s="64"/>
      <c r="I166" s="64"/>
    </row>
    <row r="167" spans="1:9" ht="15.75" hidden="1" customHeight="1">
      <c r="A167" s="64"/>
      <c r="B167" s="177">
        <v>45875</v>
      </c>
      <c r="C167" s="64">
        <v>0</v>
      </c>
      <c r="D167" s="64">
        <v>13105</v>
      </c>
      <c r="E167" s="64" t="s">
        <v>31</v>
      </c>
      <c r="F167" s="178">
        <v>80604</v>
      </c>
      <c r="G167" s="81">
        <v>97.62</v>
      </c>
      <c r="H167" s="64"/>
      <c r="I167" s="64"/>
    </row>
    <row r="168" spans="1:9" ht="15.75" hidden="1" customHeight="1">
      <c r="A168" s="64"/>
      <c r="B168" s="64"/>
      <c r="C168" s="64"/>
      <c r="D168" s="64"/>
      <c r="E168" s="64" t="s">
        <v>46</v>
      </c>
      <c r="F168" s="64"/>
      <c r="G168" s="81">
        <v>0</v>
      </c>
      <c r="H168" s="64"/>
      <c r="I168" s="64"/>
    </row>
    <row r="169" spans="1:9" ht="15.75" hidden="1" customHeight="1">
      <c r="A169" s="64"/>
      <c r="B169" s="177">
        <v>45875</v>
      </c>
      <c r="C169" s="64">
        <v>0</v>
      </c>
      <c r="D169" s="64">
        <v>13105</v>
      </c>
      <c r="E169" s="64" t="s">
        <v>31</v>
      </c>
      <c r="F169" s="178">
        <v>80605</v>
      </c>
      <c r="G169" s="81">
        <v>270.25</v>
      </c>
      <c r="H169" s="64"/>
      <c r="I169" s="64"/>
    </row>
    <row r="170" spans="1:9" ht="15.75" hidden="1" customHeight="1">
      <c r="A170" s="64"/>
      <c r="B170" s="64"/>
      <c r="C170" s="64"/>
      <c r="D170" s="64"/>
      <c r="E170" s="64" t="s">
        <v>755</v>
      </c>
      <c r="F170" s="64"/>
      <c r="G170" s="81">
        <v>0</v>
      </c>
      <c r="H170" s="64"/>
      <c r="I170" s="64"/>
    </row>
    <row r="171" spans="1:9" ht="15.75" hidden="1" customHeight="1">
      <c r="A171" s="64"/>
      <c r="B171" s="177">
        <v>45875</v>
      </c>
      <c r="C171" s="64">
        <v>0</v>
      </c>
      <c r="D171" s="64">
        <v>13105</v>
      </c>
      <c r="E171" s="64" t="s">
        <v>31</v>
      </c>
      <c r="F171" s="178">
        <v>80606</v>
      </c>
      <c r="G171" s="81">
        <v>160.19</v>
      </c>
      <c r="H171" s="64"/>
      <c r="I171" s="64"/>
    </row>
    <row r="172" spans="1:9" ht="15.75" hidden="1" customHeight="1">
      <c r="A172" s="64"/>
      <c r="B172" s="64"/>
      <c r="C172" s="64"/>
      <c r="D172" s="64"/>
      <c r="E172" s="64" t="s">
        <v>47</v>
      </c>
      <c r="F172" s="64"/>
      <c r="G172" s="81">
        <v>0</v>
      </c>
      <c r="H172" s="64"/>
      <c r="I172" s="64"/>
    </row>
    <row r="173" spans="1:9" ht="15.75" hidden="1" customHeight="1">
      <c r="A173" s="64"/>
      <c r="B173" s="177">
        <v>45875</v>
      </c>
      <c r="C173" s="64">
        <v>0</v>
      </c>
      <c r="D173" s="64">
        <v>13105</v>
      </c>
      <c r="E173" s="64" t="s">
        <v>31</v>
      </c>
      <c r="F173" s="178">
        <v>80607</v>
      </c>
      <c r="G173" s="81">
        <v>272.61</v>
      </c>
      <c r="H173" s="64"/>
      <c r="I173" s="64"/>
    </row>
    <row r="174" spans="1:9" ht="15.75" hidden="1" customHeight="1">
      <c r="A174" s="64"/>
      <c r="B174" s="64"/>
      <c r="C174" s="64"/>
      <c r="D174" s="64"/>
      <c r="E174" s="64" t="s">
        <v>47</v>
      </c>
      <c r="F174" s="64"/>
      <c r="G174" s="81">
        <v>0</v>
      </c>
      <c r="H174" s="64"/>
      <c r="I174" s="64"/>
    </row>
    <row r="175" spans="1:9" ht="15.75" hidden="1" customHeight="1">
      <c r="A175" s="64"/>
      <c r="B175" s="177">
        <v>45875</v>
      </c>
      <c r="C175" s="64">
        <v>0</v>
      </c>
      <c r="D175" s="64">
        <v>13105</v>
      </c>
      <c r="E175" s="64" t="s">
        <v>611</v>
      </c>
      <c r="F175" s="178">
        <v>80608</v>
      </c>
      <c r="G175" s="81">
        <v>15000</v>
      </c>
      <c r="H175" s="64"/>
      <c r="I175" s="64"/>
    </row>
    <row r="176" spans="1:9" ht="15.75" hidden="1" customHeight="1">
      <c r="A176" s="64"/>
      <c r="B176" s="64"/>
      <c r="C176" s="64"/>
      <c r="D176" s="64"/>
      <c r="E176" s="64" t="s">
        <v>612</v>
      </c>
      <c r="F176" s="64"/>
      <c r="G176" s="81">
        <v>0</v>
      </c>
      <c r="H176" s="64"/>
      <c r="I176" s="64"/>
    </row>
    <row r="177" spans="1:9" ht="15.75" hidden="1" customHeight="1">
      <c r="A177" s="64"/>
      <c r="B177" s="177">
        <v>45875</v>
      </c>
      <c r="C177" s="64">
        <v>0</v>
      </c>
      <c r="D177" s="64">
        <v>13105</v>
      </c>
      <c r="E177" s="64" t="s">
        <v>31</v>
      </c>
      <c r="F177" s="178">
        <v>80609</v>
      </c>
      <c r="G177" s="81">
        <v>387.6</v>
      </c>
      <c r="H177" s="64"/>
      <c r="I177" s="64"/>
    </row>
    <row r="178" spans="1:9" ht="15.75" hidden="1" customHeight="1">
      <c r="A178" s="64"/>
      <c r="B178" s="64"/>
      <c r="C178" s="64"/>
      <c r="D178" s="64"/>
      <c r="E178" s="64" t="s">
        <v>51</v>
      </c>
      <c r="F178" s="64"/>
      <c r="G178" s="81">
        <v>0</v>
      </c>
      <c r="H178" s="64"/>
      <c r="I178" s="64"/>
    </row>
    <row r="179" spans="1:9" ht="15.75" hidden="1" customHeight="1">
      <c r="A179" s="64"/>
      <c r="B179" s="177">
        <v>45875</v>
      </c>
      <c r="C179" s="64">
        <v>0</v>
      </c>
      <c r="D179" s="64">
        <v>0</v>
      </c>
      <c r="E179" s="64" t="s">
        <v>59</v>
      </c>
      <c r="F179" s="178">
        <v>9903</v>
      </c>
      <c r="G179" s="81">
        <v>10462.44</v>
      </c>
      <c r="H179" s="64"/>
      <c r="I179" s="64"/>
    </row>
    <row r="180" spans="1:9" ht="15.75" hidden="1" customHeight="1">
      <c r="A180" s="64"/>
      <c r="B180" s="64"/>
      <c r="C180" s="64"/>
      <c r="D180" s="64"/>
      <c r="E180" s="64" t="s">
        <v>53</v>
      </c>
      <c r="F180" s="64"/>
      <c r="G180" s="81">
        <v>0</v>
      </c>
      <c r="H180" s="64"/>
      <c r="I180" s="64"/>
    </row>
    <row r="181" spans="1:9" ht="15.75" hidden="1" customHeight="1">
      <c r="A181" s="64"/>
      <c r="B181" s="177">
        <v>45876</v>
      </c>
      <c r="C181" s="64">
        <v>200</v>
      </c>
      <c r="D181" s="64">
        <v>71891</v>
      </c>
      <c r="E181" s="64" t="s">
        <v>27</v>
      </c>
      <c r="F181" s="178">
        <v>220200000049678</v>
      </c>
      <c r="G181" s="81">
        <v>479.5</v>
      </c>
      <c r="H181" s="64"/>
      <c r="I181" s="64"/>
    </row>
    <row r="182" spans="1:9" ht="15.75" hidden="1" customHeight="1">
      <c r="A182" s="64"/>
      <c r="B182" s="64"/>
      <c r="C182" s="64"/>
      <c r="D182" s="64"/>
      <c r="E182" s="64" t="s">
        <v>1094</v>
      </c>
      <c r="F182" s="64"/>
      <c r="G182" s="81">
        <v>0</v>
      </c>
      <c r="H182" s="64"/>
      <c r="I182" s="64"/>
    </row>
    <row r="183" spans="1:9" ht="15.75" hidden="1" customHeight="1">
      <c r="A183" s="64"/>
      <c r="B183" s="177">
        <v>45876</v>
      </c>
      <c r="C183" s="64">
        <v>0</v>
      </c>
      <c r="D183" s="64">
        <v>14397</v>
      </c>
      <c r="E183" s="64" t="s">
        <v>57</v>
      </c>
      <c r="F183" s="178">
        <v>71508152488672</v>
      </c>
      <c r="G183" s="81">
        <v>2076.52</v>
      </c>
      <c r="H183" s="64"/>
      <c r="I183" s="64"/>
    </row>
    <row r="184" spans="1:9" ht="15.75" hidden="1" customHeight="1">
      <c r="A184" s="64"/>
      <c r="B184" s="64"/>
      <c r="C184" s="64"/>
      <c r="D184" s="64"/>
      <c r="E184" s="64" t="s">
        <v>1095</v>
      </c>
      <c r="F184" s="64"/>
      <c r="G184" s="81">
        <v>0</v>
      </c>
      <c r="H184" s="64"/>
      <c r="I184" s="64"/>
    </row>
    <row r="185" spans="1:9" ht="15.75" customHeight="1">
      <c r="A185" s="179" t="s">
        <v>140</v>
      </c>
      <c r="B185" s="177">
        <v>45876</v>
      </c>
      <c r="C185" s="64">
        <v>0</v>
      </c>
      <c r="D185" s="64">
        <v>14138</v>
      </c>
      <c r="E185" s="64" t="s">
        <v>141</v>
      </c>
      <c r="F185" s="178">
        <v>202508060004384</v>
      </c>
      <c r="G185" s="81">
        <v>1232.8399999999999</v>
      </c>
      <c r="H185" s="79" t="s">
        <v>1096</v>
      </c>
      <c r="I185" s="64" t="s">
        <v>711</v>
      </c>
    </row>
    <row r="186" spans="1:9" ht="15.75" hidden="1" customHeight="1">
      <c r="A186" s="64"/>
      <c r="B186" s="64"/>
      <c r="C186" s="64"/>
      <c r="D186" s="64"/>
      <c r="E186" s="64" t="s">
        <v>143</v>
      </c>
      <c r="F186" s="64"/>
      <c r="G186" s="81">
        <v>0</v>
      </c>
      <c r="H186" s="64"/>
      <c r="I186" s="64"/>
    </row>
    <row r="187" spans="1:9" ht="15.75" customHeight="1">
      <c r="A187" s="179" t="s">
        <v>140</v>
      </c>
      <c r="B187" s="177">
        <v>45876</v>
      </c>
      <c r="C187" s="64">
        <v>0</v>
      </c>
      <c r="D187" s="64">
        <v>14138</v>
      </c>
      <c r="E187" s="64" t="s">
        <v>141</v>
      </c>
      <c r="F187" s="178">
        <v>202508060004388</v>
      </c>
      <c r="G187" s="81">
        <v>1232.8399999999999</v>
      </c>
      <c r="H187" s="64" t="s">
        <v>1097</v>
      </c>
      <c r="I187" s="64" t="s">
        <v>711</v>
      </c>
    </row>
    <row r="188" spans="1:9" ht="15.75" hidden="1" customHeight="1">
      <c r="A188" s="64"/>
      <c r="B188" s="64"/>
      <c r="C188" s="64"/>
      <c r="D188" s="64"/>
      <c r="E188" s="64" t="s">
        <v>143</v>
      </c>
      <c r="F188" s="64"/>
      <c r="G188" s="81">
        <v>0</v>
      </c>
      <c r="H188" s="64"/>
      <c r="I188" s="64"/>
    </row>
    <row r="189" spans="1:9" ht="15.75" customHeight="1">
      <c r="A189" s="179" t="s">
        <v>140</v>
      </c>
      <c r="B189" s="177">
        <v>45876</v>
      </c>
      <c r="C189" s="64">
        <v>0</v>
      </c>
      <c r="D189" s="64">
        <v>14138</v>
      </c>
      <c r="E189" s="64" t="s">
        <v>141</v>
      </c>
      <c r="F189" s="178">
        <v>202508060013747</v>
      </c>
      <c r="G189" s="81">
        <v>1476.65</v>
      </c>
      <c r="H189" s="64" t="s">
        <v>1098</v>
      </c>
      <c r="I189" s="64" t="s">
        <v>595</v>
      </c>
    </row>
    <row r="190" spans="1:9" ht="15.75" hidden="1" customHeight="1">
      <c r="A190" s="64"/>
      <c r="B190" s="64"/>
      <c r="C190" s="64"/>
      <c r="D190" s="64"/>
      <c r="E190" s="64" t="s">
        <v>143</v>
      </c>
      <c r="F190" s="64"/>
      <c r="G190" s="81">
        <v>0</v>
      </c>
      <c r="H190" s="64"/>
      <c r="I190" s="64"/>
    </row>
    <row r="191" spans="1:9" ht="15.75" customHeight="1">
      <c r="A191" s="179" t="s">
        <v>140</v>
      </c>
      <c r="B191" s="177">
        <v>45876</v>
      </c>
      <c r="C191" s="64">
        <v>0</v>
      </c>
      <c r="D191" s="64">
        <v>14138</v>
      </c>
      <c r="E191" s="64" t="s">
        <v>141</v>
      </c>
      <c r="F191" s="178">
        <v>202508060013748</v>
      </c>
      <c r="G191" s="81">
        <v>388.42</v>
      </c>
      <c r="H191" s="79" t="s">
        <v>1099</v>
      </c>
      <c r="I191" s="64" t="s">
        <v>595</v>
      </c>
    </row>
    <row r="192" spans="1:9" ht="15.75" hidden="1" customHeight="1">
      <c r="A192" s="64"/>
      <c r="B192" s="64"/>
      <c r="C192" s="64"/>
      <c r="D192" s="64"/>
      <c r="E192" s="64" t="s">
        <v>143</v>
      </c>
      <c r="F192" s="64"/>
      <c r="G192" s="81">
        <v>0</v>
      </c>
      <c r="H192" s="64"/>
      <c r="I192" s="64"/>
    </row>
    <row r="193" spans="1:9" ht="15.75" customHeight="1">
      <c r="A193" s="179" t="s">
        <v>140</v>
      </c>
      <c r="B193" s="177">
        <v>45876</v>
      </c>
      <c r="C193" s="64">
        <v>0</v>
      </c>
      <c r="D193" s="64">
        <v>14138</v>
      </c>
      <c r="E193" s="64" t="s">
        <v>141</v>
      </c>
      <c r="F193" s="178">
        <v>202508060013749</v>
      </c>
      <c r="G193" s="81">
        <v>388.42</v>
      </c>
      <c r="H193" s="64" t="s">
        <v>1100</v>
      </c>
      <c r="I193" s="64" t="s">
        <v>595</v>
      </c>
    </row>
    <row r="194" spans="1:9" ht="15.75" hidden="1" customHeight="1">
      <c r="A194" s="64"/>
      <c r="B194" s="64"/>
      <c r="C194" s="64"/>
      <c r="D194" s="64"/>
      <c r="E194" s="64" t="s">
        <v>143</v>
      </c>
      <c r="F194" s="64"/>
      <c r="G194" s="81">
        <v>0</v>
      </c>
      <c r="H194" s="64"/>
      <c r="I194" s="64"/>
    </row>
    <row r="195" spans="1:9" ht="15.75" customHeight="1">
      <c r="A195" s="179" t="s">
        <v>140</v>
      </c>
      <c r="B195" s="177">
        <v>45876</v>
      </c>
      <c r="C195" s="64">
        <v>0</v>
      </c>
      <c r="D195" s="64">
        <v>14138</v>
      </c>
      <c r="E195" s="64" t="s">
        <v>141</v>
      </c>
      <c r="F195" s="178">
        <v>202508060013750</v>
      </c>
      <c r="G195" s="81">
        <v>1476.65</v>
      </c>
      <c r="H195" s="64" t="s">
        <v>1101</v>
      </c>
      <c r="I195" s="64" t="s">
        <v>595</v>
      </c>
    </row>
    <row r="196" spans="1:9" ht="15.75" hidden="1" customHeight="1">
      <c r="A196" s="64"/>
      <c r="B196" s="64"/>
      <c r="C196" s="64"/>
      <c r="D196" s="64"/>
      <c r="E196" s="64" t="s">
        <v>143</v>
      </c>
      <c r="F196" s="64"/>
      <c r="G196" s="81">
        <v>0</v>
      </c>
      <c r="H196" s="64"/>
      <c r="I196" s="64"/>
    </row>
    <row r="197" spans="1:9" ht="15.75" customHeight="1">
      <c r="A197" s="179" t="s">
        <v>140</v>
      </c>
      <c r="B197" s="177">
        <v>45876</v>
      </c>
      <c r="C197" s="64">
        <v>0</v>
      </c>
      <c r="D197" s="64">
        <v>14138</v>
      </c>
      <c r="E197" s="64" t="s">
        <v>141</v>
      </c>
      <c r="F197" s="178">
        <v>202508060017317</v>
      </c>
      <c r="G197" s="81">
        <v>1476.65</v>
      </c>
      <c r="H197" s="175">
        <v>3214</v>
      </c>
      <c r="I197" s="64" t="s">
        <v>1089</v>
      </c>
    </row>
    <row r="198" spans="1:9" ht="15.75" hidden="1" customHeight="1">
      <c r="A198" s="64"/>
      <c r="B198" s="64"/>
      <c r="C198" s="64"/>
      <c r="D198" s="64"/>
      <c r="E198" s="64" t="s">
        <v>143</v>
      </c>
      <c r="F198" s="64"/>
      <c r="G198" s="81">
        <v>0</v>
      </c>
      <c r="H198" s="64"/>
      <c r="I198" s="64"/>
    </row>
    <row r="199" spans="1:9" ht="15.75" hidden="1" customHeight="1">
      <c r="A199" s="64"/>
      <c r="B199" s="177">
        <v>45876</v>
      </c>
      <c r="C199" s="64">
        <v>1533</v>
      </c>
      <c r="D199" s="64">
        <v>99008</v>
      </c>
      <c r="E199" s="64" t="s">
        <v>29</v>
      </c>
      <c r="F199" s="178">
        <v>953095</v>
      </c>
      <c r="G199" s="81">
        <v>241</v>
      </c>
      <c r="H199" s="64"/>
      <c r="I199" s="64"/>
    </row>
    <row r="200" spans="1:9" ht="15.75" hidden="1" customHeight="1">
      <c r="A200" s="64"/>
      <c r="B200" s="64"/>
      <c r="C200" s="64"/>
      <c r="D200" s="64"/>
      <c r="E200" s="64" t="s">
        <v>1102</v>
      </c>
      <c r="F200" s="64"/>
      <c r="G200" s="81">
        <v>0</v>
      </c>
      <c r="H200" s="64"/>
      <c r="I200" s="64"/>
    </row>
    <row r="201" spans="1:9" ht="15.75" hidden="1" customHeight="1">
      <c r="A201" s="64"/>
      <c r="B201" s="177">
        <v>45876</v>
      </c>
      <c r="C201" s="64">
        <v>0</v>
      </c>
      <c r="D201" s="64">
        <v>13105</v>
      </c>
      <c r="E201" s="64" t="s">
        <v>31</v>
      </c>
      <c r="F201" s="178">
        <v>80701</v>
      </c>
      <c r="G201" s="81">
        <v>3150</v>
      </c>
      <c r="H201" s="64"/>
      <c r="I201" s="64"/>
    </row>
    <row r="202" spans="1:9" ht="15.75" hidden="1" customHeight="1">
      <c r="A202" s="64"/>
      <c r="B202" s="64"/>
      <c r="C202" s="64"/>
      <c r="D202" s="64"/>
      <c r="E202" s="64" t="s">
        <v>32</v>
      </c>
      <c r="F202" s="64"/>
      <c r="G202" s="81">
        <v>0</v>
      </c>
      <c r="H202" s="64"/>
      <c r="I202" s="64"/>
    </row>
    <row r="203" spans="1:9" ht="15.75" hidden="1" customHeight="1">
      <c r="A203" s="64"/>
      <c r="B203" s="177">
        <v>45876</v>
      </c>
      <c r="C203" s="64">
        <v>0</v>
      </c>
      <c r="D203" s="64">
        <v>13105</v>
      </c>
      <c r="E203" s="64" t="s">
        <v>31</v>
      </c>
      <c r="F203" s="178">
        <v>80702</v>
      </c>
      <c r="G203" s="81">
        <v>1458.33</v>
      </c>
      <c r="H203" s="64"/>
      <c r="I203" s="64"/>
    </row>
    <row r="204" spans="1:9" ht="15.75" hidden="1" customHeight="1">
      <c r="A204" s="64"/>
      <c r="B204" s="64"/>
      <c r="C204" s="64"/>
      <c r="D204" s="64"/>
      <c r="E204" s="64" t="s">
        <v>32</v>
      </c>
      <c r="F204" s="64"/>
      <c r="G204" s="81">
        <v>0</v>
      </c>
      <c r="H204" s="64"/>
      <c r="I204" s="64"/>
    </row>
    <row r="205" spans="1:9" ht="15.75" hidden="1" customHeight="1">
      <c r="A205" s="64"/>
      <c r="B205" s="177">
        <v>45876</v>
      </c>
      <c r="C205" s="64">
        <v>0</v>
      </c>
      <c r="D205" s="64">
        <v>13105</v>
      </c>
      <c r="E205" s="64" t="s">
        <v>31</v>
      </c>
      <c r="F205" s="178">
        <v>80703</v>
      </c>
      <c r="G205" s="81">
        <v>350</v>
      </c>
      <c r="H205" s="64"/>
      <c r="I205" s="64"/>
    </row>
    <row r="206" spans="1:9" ht="15.75" hidden="1" customHeight="1">
      <c r="A206" s="64"/>
      <c r="B206" s="64"/>
      <c r="C206" s="64"/>
      <c r="D206" s="64"/>
      <c r="E206" s="64" t="s">
        <v>41</v>
      </c>
      <c r="F206" s="64"/>
      <c r="G206" s="81">
        <v>0</v>
      </c>
      <c r="H206" s="64"/>
      <c r="I206" s="64"/>
    </row>
    <row r="207" spans="1:9" ht="15.75" hidden="1" customHeight="1">
      <c r="A207" s="64"/>
      <c r="B207" s="177">
        <v>45876</v>
      </c>
      <c r="C207" s="64">
        <v>0</v>
      </c>
      <c r="D207" s="64">
        <v>13105</v>
      </c>
      <c r="E207" s="64" t="s">
        <v>31</v>
      </c>
      <c r="F207" s="178">
        <v>80704</v>
      </c>
      <c r="G207" s="81">
        <v>259.57</v>
      </c>
      <c r="H207" s="64"/>
      <c r="I207" s="64"/>
    </row>
    <row r="208" spans="1:9" ht="15.75" hidden="1" customHeight="1">
      <c r="A208" s="64"/>
      <c r="B208" s="64"/>
      <c r="C208" s="64"/>
      <c r="D208" s="64"/>
      <c r="E208" s="64" t="s">
        <v>45</v>
      </c>
      <c r="F208" s="64"/>
      <c r="G208" s="81">
        <v>0</v>
      </c>
      <c r="H208" s="64"/>
      <c r="I208" s="64"/>
    </row>
    <row r="209" spans="1:9" ht="15.75" hidden="1" customHeight="1">
      <c r="A209" s="64"/>
      <c r="B209" s="177">
        <v>45876</v>
      </c>
      <c r="C209" s="64">
        <v>0</v>
      </c>
      <c r="D209" s="64">
        <v>13105</v>
      </c>
      <c r="E209" s="64" t="s">
        <v>31</v>
      </c>
      <c r="F209" s="178">
        <v>80705</v>
      </c>
      <c r="G209" s="81">
        <v>308.70999999999998</v>
      </c>
      <c r="H209" s="64"/>
      <c r="I209" s="64"/>
    </row>
    <row r="210" spans="1:9" ht="15.75" hidden="1" customHeight="1">
      <c r="A210" s="64"/>
      <c r="B210" s="64"/>
      <c r="C210" s="64"/>
      <c r="D210" s="64"/>
      <c r="E210" s="64" t="s">
        <v>46</v>
      </c>
      <c r="F210" s="64"/>
      <c r="G210" s="81">
        <v>0</v>
      </c>
      <c r="H210" s="64"/>
      <c r="I210" s="64"/>
    </row>
    <row r="211" spans="1:9" ht="15.75" hidden="1" customHeight="1">
      <c r="A211" s="64"/>
      <c r="B211" s="177">
        <v>45876</v>
      </c>
      <c r="C211" s="64">
        <v>0</v>
      </c>
      <c r="D211" s="64">
        <v>13105</v>
      </c>
      <c r="E211" s="64" t="s">
        <v>31</v>
      </c>
      <c r="F211" s="178">
        <v>80706</v>
      </c>
      <c r="G211" s="81">
        <v>850.08</v>
      </c>
      <c r="H211" s="64"/>
      <c r="I211" s="64"/>
    </row>
    <row r="212" spans="1:9" ht="15.75" hidden="1" customHeight="1">
      <c r="A212" s="64"/>
      <c r="B212" s="64"/>
      <c r="C212" s="64"/>
      <c r="D212" s="64"/>
      <c r="E212" s="64" t="s">
        <v>46</v>
      </c>
      <c r="F212" s="64"/>
      <c r="G212" s="81">
        <v>0</v>
      </c>
      <c r="H212" s="64"/>
      <c r="I212" s="64"/>
    </row>
    <row r="213" spans="1:9" ht="15.75" hidden="1" customHeight="1">
      <c r="A213" s="64"/>
      <c r="B213" s="177">
        <v>45876</v>
      </c>
      <c r="C213" s="64">
        <v>0</v>
      </c>
      <c r="D213" s="64">
        <v>13105</v>
      </c>
      <c r="E213" s="64" t="s">
        <v>31</v>
      </c>
      <c r="F213" s="178">
        <v>80707</v>
      </c>
      <c r="G213" s="81">
        <v>237.85</v>
      </c>
      <c r="H213" s="64"/>
      <c r="I213" s="64"/>
    </row>
    <row r="214" spans="1:9" ht="15.75" hidden="1" customHeight="1">
      <c r="A214" s="64"/>
      <c r="B214" s="64"/>
      <c r="C214" s="64"/>
      <c r="D214" s="64"/>
      <c r="E214" s="64" t="s">
        <v>111</v>
      </c>
      <c r="F214" s="64"/>
      <c r="G214" s="81">
        <v>0</v>
      </c>
      <c r="H214" s="64"/>
      <c r="I214" s="64"/>
    </row>
    <row r="215" spans="1:9" ht="15.75" hidden="1" customHeight="1">
      <c r="A215" s="64"/>
      <c r="B215" s="177">
        <v>45876</v>
      </c>
      <c r="C215" s="64">
        <v>0</v>
      </c>
      <c r="D215" s="64">
        <v>13105</v>
      </c>
      <c r="E215" s="64" t="s">
        <v>31</v>
      </c>
      <c r="F215" s="178">
        <v>80708</v>
      </c>
      <c r="G215" s="81">
        <v>208.3</v>
      </c>
      <c r="H215" s="64"/>
      <c r="I215" s="64"/>
    </row>
    <row r="216" spans="1:9" ht="15.75" hidden="1" customHeight="1">
      <c r="A216" s="64"/>
      <c r="B216" s="64"/>
      <c r="C216" s="64"/>
      <c r="D216" s="64"/>
      <c r="E216" s="64" t="s">
        <v>111</v>
      </c>
      <c r="F216" s="64"/>
      <c r="G216" s="81">
        <v>0</v>
      </c>
      <c r="H216" s="64"/>
      <c r="I216" s="64"/>
    </row>
    <row r="217" spans="1:9" ht="15.75" hidden="1" customHeight="1">
      <c r="A217" s="64"/>
      <c r="B217" s="177">
        <v>45876</v>
      </c>
      <c r="C217" s="64">
        <v>0</v>
      </c>
      <c r="D217" s="64">
        <v>13105</v>
      </c>
      <c r="E217" s="64" t="s">
        <v>80</v>
      </c>
      <c r="F217" s="178">
        <v>80709</v>
      </c>
      <c r="G217" s="81">
        <v>4392.04</v>
      </c>
      <c r="H217" s="64"/>
      <c r="I217" s="64"/>
    </row>
    <row r="218" spans="1:9" ht="15.75" hidden="1" customHeight="1">
      <c r="A218" s="64"/>
      <c r="B218" s="64"/>
      <c r="C218" s="64"/>
      <c r="D218" s="64"/>
      <c r="E218" s="64" t="s">
        <v>81</v>
      </c>
      <c r="F218" s="64"/>
      <c r="G218" s="81">
        <v>0</v>
      </c>
      <c r="H218" s="64"/>
      <c r="I218" s="64"/>
    </row>
    <row r="219" spans="1:9" ht="15.75" hidden="1" customHeight="1">
      <c r="A219" s="64"/>
      <c r="B219" s="177">
        <v>45876</v>
      </c>
      <c r="C219" s="64">
        <v>0</v>
      </c>
      <c r="D219" s="64">
        <v>13105</v>
      </c>
      <c r="E219" s="64" t="s">
        <v>80</v>
      </c>
      <c r="F219" s="178">
        <v>80710</v>
      </c>
      <c r="G219" s="81">
        <v>3512.9</v>
      </c>
      <c r="H219" s="64"/>
      <c r="I219" s="64"/>
    </row>
    <row r="220" spans="1:9" ht="15.75" hidden="1" customHeight="1">
      <c r="A220" s="64"/>
      <c r="B220" s="64"/>
      <c r="C220" s="64"/>
      <c r="D220" s="64"/>
      <c r="E220" s="64" t="s">
        <v>81</v>
      </c>
      <c r="F220" s="64"/>
      <c r="G220" s="81">
        <v>0</v>
      </c>
      <c r="H220" s="64"/>
      <c r="I220" s="64"/>
    </row>
    <row r="221" spans="1:9" ht="15.75" hidden="1" customHeight="1">
      <c r="A221" s="64"/>
      <c r="B221" s="177">
        <v>45876</v>
      </c>
      <c r="C221" s="64">
        <v>0</v>
      </c>
      <c r="D221" s="64">
        <v>0</v>
      </c>
      <c r="E221" s="64" t="s">
        <v>52</v>
      </c>
      <c r="F221" s="178">
        <v>9903</v>
      </c>
      <c r="G221" s="81">
        <v>4740.29</v>
      </c>
      <c r="H221" s="64"/>
      <c r="I221" s="64"/>
    </row>
    <row r="222" spans="1:9" ht="15.75" hidden="1" customHeight="1">
      <c r="A222" s="64"/>
      <c r="B222" s="64"/>
      <c r="C222" s="64"/>
      <c r="D222" s="64"/>
      <c r="E222" s="64" t="s">
        <v>53</v>
      </c>
      <c r="F222" s="64"/>
      <c r="G222" s="81">
        <v>0</v>
      </c>
      <c r="H222" s="64"/>
      <c r="I222" s="64"/>
    </row>
    <row r="223" spans="1:9" ht="15.75" hidden="1" customHeight="1">
      <c r="A223" s="64"/>
      <c r="B223" s="177">
        <v>45877</v>
      </c>
      <c r="C223" s="64">
        <v>984</v>
      </c>
      <c r="D223" s="64">
        <v>99015</v>
      </c>
      <c r="E223" s="64" t="s">
        <v>27</v>
      </c>
      <c r="F223" s="178">
        <v>550984000024887</v>
      </c>
      <c r="G223" s="81">
        <v>2665.6</v>
      </c>
      <c r="H223" s="64"/>
      <c r="I223" s="64"/>
    </row>
    <row r="224" spans="1:9" ht="15.75" hidden="1" customHeight="1">
      <c r="A224" s="64"/>
      <c r="B224" s="64"/>
      <c r="C224" s="64"/>
      <c r="D224" s="64"/>
      <c r="E224" s="64" t="s">
        <v>1103</v>
      </c>
      <c r="F224" s="64"/>
      <c r="G224" s="81">
        <v>0</v>
      </c>
      <c r="H224" s="64"/>
      <c r="I224" s="64"/>
    </row>
    <row r="225" spans="1:9" ht="15.75" hidden="1" customHeight="1">
      <c r="A225" s="64"/>
      <c r="B225" s="177">
        <v>45877</v>
      </c>
      <c r="C225" s="64">
        <v>0</v>
      </c>
      <c r="D225" s="64">
        <v>14175</v>
      </c>
      <c r="E225" s="64" t="s">
        <v>62</v>
      </c>
      <c r="F225" s="178">
        <v>34332216</v>
      </c>
      <c r="G225" s="81">
        <v>11424</v>
      </c>
      <c r="H225" s="64"/>
      <c r="I225" s="64"/>
    </row>
    <row r="226" spans="1:9" ht="15.75" hidden="1" customHeight="1">
      <c r="A226" s="64"/>
      <c r="B226" s="64"/>
      <c r="C226" s="64"/>
      <c r="D226" s="64"/>
      <c r="E226" s="64" t="s">
        <v>301</v>
      </c>
      <c r="F226" s="64"/>
      <c r="G226" s="81">
        <v>0</v>
      </c>
      <c r="H226" s="64"/>
      <c r="I226" s="64"/>
    </row>
    <row r="227" spans="1:9" ht="15.75" hidden="1" customHeight="1">
      <c r="A227" s="64"/>
      <c r="B227" s="177">
        <v>45877</v>
      </c>
      <c r="C227" s="64">
        <v>0</v>
      </c>
      <c r="D227" s="64">
        <v>14175</v>
      </c>
      <c r="E227" s="64" t="s">
        <v>62</v>
      </c>
      <c r="F227" s="178">
        <v>390711352</v>
      </c>
      <c r="G227" s="81">
        <v>4000</v>
      </c>
      <c r="H227" s="64"/>
      <c r="I227" s="64"/>
    </row>
    <row r="228" spans="1:9" ht="15.75" hidden="1" customHeight="1">
      <c r="A228" s="64"/>
      <c r="B228" s="64"/>
      <c r="C228" s="64"/>
      <c r="D228" s="64"/>
      <c r="E228" s="64" t="s">
        <v>97</v>
      </c>
      <c r="F228" s="64"/>
      <c r="G228" s="81">
        <v>0</v>
      </c>
      <c r="H228" s="64"/>
      <c r="I228" s="64"/>
    </row>
    <row r="229" spans="1:9" ht="15.75" hidden="1" customHeight="1">
      <c r="A229" s="64"/>
      <c r="B229" s="177">
        <v>45877</v>
      </c>
      <c r="C229" s="64">
        <v>0</v>
      </c>
      <c r="D229" s="64">
        <v>14397</v>
      </c>
      <c r="E229" s="64" t="s">
        <v>57</v>
      </c>
      <c r="F229" s="178">
        <v>81024387532082</v>
      </c>
      <c r="G229" s="81">
        <v>274.31</v>
      </c>
      <c r="H229" s="64"/>
      <c r="I229" s="64"/>
    </row>
    <row r="230" spans="1:9" ht="15.75" hidden="1" customHeight="1">
      <c r="A230" s="64"/>
      <c r="B230" s="64"/>
      <c r="C230" s="64"/>
      <c r="D230" s="64"/>
      <c r="E230" s="64" t="s">
        <v>1104</v>
      </c>
      <c r="F230" s="64"/>
      <c r="G230" s="81">
        <v>0</v>
      </c>
      <c r="H230" s="64"/>
      <c r="I230" s="64"/>
    </row>
    <row r="231" spans="1:9" ht="15.75" hidden="1" customHeight="1">
      <c r="A231" s="64"/>
      <c r="B231" s="177">
        <v>45877</v>
      </c>
      <c r="C231" s="64">
        <v>0</v>
      </c>
      <c r="D231" s="64">
        <v>14397</v>
      </c>
      <c r="E231" s="64" t="s">
        <v>57</v>
      </c>
      <c r="F231" s="178">
        <v>81304559955012</v>
      </c>
      <c r="G231" s="81">
        <v>466.98</v>
      </c>
      <c r="H231" s="64"/>
      <c r="I231" s="64"/>
    </row>
    <row r="232" spans="1:9" ht="15.75" hidden="1" customHeight="1">
      <c r="A232" s="64"/>
      <c r="B232" s="64"/>
      <c r="C232" s="64"/>
      <c r="D232" s="64"/>
      <c r="E232" s="64" t="s">
        <v>1105</v>
      </c>
      <c r="F232" s="64"/>
      <c r="G232" s="81">
        <v>0</v>
      </c>
      <c r="H232" s="64"/>
      <c r="I232" s="64"/>
    </row>
    <row r="233" spans="1:9" ht="15.75" customHeight="1">
      <c r="A233" s="179" t="s">
        <v>140</v>
      </c>
      <c r="B233" s="177">
        <v>45877</v>
      </c>
      <c r="C233" s="64">
        <v>0</v>
      </c>
      <c r="D233" s="64">
        <v>14138</v>
      </c>
      <c r="E233" s="64" t="s">
        <v>141</v>
      </c>
      <c r="F233" s="178">
        <v>202508070000020</v>
      </c>
      <c r="G233" s="81">
        <v>4457.4399999999996</v>
      </c>
      <c r="H233" s="79" t="s">
        <v>1106</v>
      </c>
      <c r="I233" s="64" t="s">
        <v>428</v>
      </c>
    </row>
    <row r="234" spans="1:9" ht="15.75" hidden="1" customHeight="1">
      <c r="A234" s="64"/>
      <c r="B234" s="64"/>
      <c r="C234" s="64"/>
      <c r="D234" s="64"/>
      <c r="E234" s="64" t="s">
        <v>143</v>
      </c>
      <c r="F234" s="64"/>
      <c r="G234" s="81">
        <v>0</v>
      </c>
      <c r="H234" s="64"/>
      <c r="I234" s="64"/>
    </row>
    <row r="235" spans="1:9" ht="15.75" customHeight="1">
      <c r="A235" s="179" t="s">
        <v>140</v>
      </c>
      <c r="B235" s="177">
        <v>45877</v>
      </c>
      <c r="C235" s="64">
        <v>0</v>
      </c>
      <c r="D235" s="64">
        <v>14138</v>
      </c>
      <c r="E235" s="64" t="s">
        <v>141</v>
      </c>
      <c r="F235" s="178">
        <v>202508070026904</v>
      </c>
      <c r="G235" s="81">
        <v>2156.38</v>
      </c>
      <c r="H235" s="64" t="s">
        <v>1107</v>
      </c>
      <c r="I235" s="64" t="s">
        <v>595</v>
      </c>
    </row>
    <row r="236" spans="1:9" ht="15.75" hidden="1" customHeight="1">
      <c r="A236" s="64"/>
      <c r="B236" s="64"/>
      <c r="C236" s="64"/>
      <c r="D236" s="64"/>
      <c r="E236" s="64" t="s">
        <v>143</v>
      </c>
      <c r="F236" s="64"/>
      <c r="G236" s="81">
        <v>0</v>
      </c>
      <c r="H236" s="64"/>
      <c r="I236" s="64"/>
    </row>
    <row r="237" spans="1:9" ht="15.75" customHeight="1">
      <c r="A237" s="179" t="s">
        <v>140</v>
      </c>
      <c r="B237" s="177">
        <v>45877</v>
      </c>
      <c r="C237" s="64">
        <v>0</v>
      </c>
      <c r="D237" s="64">
        <v>14138</v>
      </c>
      <c r="E237" s="64" t="s">
        <v>141</v>
      </c>
      <c r="F237" s="178">
        <v>202508070026908</v>
      </c>
      <c r="G237" s="81">
        <v>2156.38</v>
      </c>
      <c r="H237" s="64" t="s">
        <v>1108</v>
      </c>
      <c r="I237" s="64" t="s">
        <v>595</v>
      </c>
    </row>
    <row r="238" spans="1:9" ht="15.75" hidden="1" customHeight="1">
      <c r="A238" s="64"/>
      <c r="B238" s="64"/>
      <c r="C238" s="64"/>
      <c r="D238" s="64"/>
      <c r="E238" s="64" t="s">
        <v>143</v>
      </c>
      <c r="F238" s="64"/>
      <c r="G238" s="81">
        <v>0</v>
      </c>
      <c r="H238" s="64"/>
      <c r="I238" s="64"/>
    </row>
    <row r="239" spans="1:9" ht="15.75" hidden="1" customHeight="1">
      <c r="A239" s="64"/>
      <c r="B239" s="177">
        <v>45877</v>
      </c>
      <c r="C239" s="64">
        <v>0</v>
      </c>
      <c r="D239" s="64">
        <v>13105</v>
      </c>
      <c r="E239" s="64" t="s">
        <v>80</v>
      </c>
      <c r="F239" s="178">
        <v>80801</v>
      </c>
      <c r="G239" s="81">
        <v>68.13</v>
      </c>
      <c r="H239" s="64"/>
      <c r="I239" s="64"/>
    </row>
    <row r="240" spans="1:9" ht="15.75" hidden="1" customHeight="1">
      <c r="A240" s="64"/>
      <c r="B240" s="64"/>
      <c r="C240" s="64"/>
      <c r="D240" s="64"/>
      <c r="E240" s="64" t="s">
        <v>81</v>
      </c>
      <c r="F240" s="64"/>
      <c r="G240" s="81">
        <v>0</v>
      </c>
      <c r="H240" s="64"/>
      <c r="I240" s="64"/>
    </row>
    <row r="241" spans="1:9" ht="15.75" hidden="1" customHeight="1">
      <c r="A241" s="64"/>
      <c r="B241" s="177">
        <v>45877</v>
      </c>
      <c r="C241" s="64">
        <v>0</v>
      </c>
      <c r="D241" s="64">
        <v>13105</v>
      </c>
      <c r="E241" s="64" t="s">
        <v>31</v>
      </c>
      <c r="F241" s="178">
        <v>80802</v>
      </c>
      <c r="G241" s="81">
        <v>1056</v>
      </c>
      <c r="H241" s="64"/>
      <c r="I241" s="64"/>
    </row>
    <row r="242" spans="1:9" ht="15.75" hidden="1" customHeight="1">
      <c r="A242" s="64"/>
      <c r="B242" s="64"/>
      <c r="C242" s="64"/>
      <c r="D242" s="64"/>
      <c r="E242" s="64" t="s">
        <v>769</v>
      </c>
      <c r="F242" s="64"/>
      <c r="G242" s="81">
        <v>0</v>
      </c>
      <c r="H242" s="64"/>
      <c r="I242" s="64"/>
    </row>
    <row r="243" spans="1:9" ht="15.75" hidden="1" customHeight="1">
      <c r="A243" s="64"/>
      <c r="B243" s="177">
        <v>45877</v>
      </c>
      <c r="C243" s="64">
        <v>0</v>
      </c>
      <c r="D243" s="64">
        <v>13105</v>
      </c>
      <c r="E243" s="64" t="s">
        <v>31</v>
      </c>
      <c r="F243" s="178">
        <v>80803</v>
      </c>
      <c r="G243" s="81">
        <v>851.95</v>
      </c>
      <c r="H243" s="64"/>
      <c r="I243" s="64"/>
    </row>
    <row r="244" spans="1:9" ht="15.75" hidden="1" customHeight="1">
      <c r="A244" s="64"/>
      <c r="B244" s="64"/>
      <c r="C244" s="64"/>
      <c r="D244" s="64"/>
      <c r="E244" s="64" t="s">
        <v>163</v>
      </c>
      <c r="F244" s="64"/>
      <c r="G244" s="81">
        <v>0</v>
      </c>
      <c r="H244" s="64"/>
      <c r="I244" s="64"/>
    </row>
    <row r="245" spans="1:9" ht="15.75" hidden="1" customHeight="1">
      <c r="A245" s="64"/>
      <c r="B245" s="177">
        <v>45877</v>
      </c>
      <c r="C245" s="64">
        <v>0</v>
      </c>
      <c r="D245" s="64">
        <v>13105</v>
      </c>
      <c r="E245" s="64" t="s">
        <v>31</v>
      </c>
      <c r="F245" s="178">
        <v>80804</v>
      </c>
      <c r="G245" s="81">
        <v>457.96</v>
      </c>
      <c r="H245" s="64"/>
      <c r="I245" s="64"/>
    </row>
    <row r="246" spans="1:9" ht="15.75" hidden="1" customHeight="1">
      <c r="A246" s="64"/>
      <c r="B246" s="64"/>
      <c r="C246" s="64"/>
      <c r="D246" s="64"/>
      <c r="E246" s="64" t="s">
        <v>340</v>
      </c>
      <c r="F246" s="64"/>
      <c r="G246" s="81">
        <v>0</v>
      </c>
      <c r="H246" s="64"/>
      <c r="I246" s="64"/>
    </row>
    <row r="247" spans="1:9" ht="15.75" hidden="1" customHeight="1">
      <c r="A247" s="64"/>
      <c r="B247" s="177">
        <v>45877</v>
      </c>
      <c r="C247" s="64">
        <v>0</v>
      </c>
      <c r="D247" s="64">
        <v>13105</v>
      </c>
      <c r="E247" s="64" t="s">
        <v>31</v>
      </c>
      <c r="F247" s="178">
        <v>80805</v>
      </c>
      <c r="G247" s="81">
        <v>677.93</v>
      </c>
      <c r="H247" s="64"/>
      <c r="I247" s="64"/>
    </row>
    <row r="248" spans="1:9" ht="15.75" hidden="1" customHeight="1">
      <c r="A248" s="64"/>
      <c r="B248" s="64"/>
      <c r="C248" s="64"/>
      <c r="D248" s="64"/>
      <c r="E248" s="64" t="s">
        <v>45</v>
      </c>
      <c r="F248" s="64"/>
      <c r="G248" s="81">
        <v>0</v>
      </c>
      <c r="H248" s="64"/>
      <c r="I248" s="64"/>
    </row>
    <row r="249" spans="1:9" ht="15.75" hidden="1" customHeight="1">
      <c r="A249" s="64"/>
      <c r="B249" s="177">
        <v>45877</v>
      </c>
      <c r="C249" s="64">
        <v>0</v>
      </c>
      <c r="D249" s="64">
        <v>13105</v>
      </c>
      <c r="E249" s="64" t="s">
        <v>31</v>
      </c>
      <c r="F249" s="178">
        <v>80806</v>
      </c>
      <c r="G249" s="81">
        <v>242.03</v>
      </c>
      <c r="H249" s="64"/>
      <c r="I249" s="64"/>
    </row>
    <row r="250" spans="1:9" ht="15.75" hidden="1" customHeight="1">
      <c r="A250" s="64"/>
      <c r="B250" s="64"/>
      <c r="C250" s="64"/>
      <c r="D250" s="64"/>
      <c r="E250" s="64" t="s">
        <v>45</v>
      </c>
      <c r="F250" s="64"/>
      <c r="G250" s="81">
        <v>0</v>
      </c>
      <c r="H250" s="64"/>
      <c r="I250" s="64"/>
    </row>
    <row r="251" spans="1:9" ht="15.75" hidden="1" customHeight="1">
      <c r="A251" s="64"/>
      <c r="B251" s="177">
        <v>45877</v>
      </c>
      <c r="C251" s="64">
        <v>0</v>
      </c>
      <c r="D251" s="64">
        <v>13105</v>
      </c>
      <c r="E251" s="64" t="s">
        <v>31</v>
      </c>
      <c r="F251" s="178">
        <v>80807</v>
      </c>
      <c r="G251" s="81">
        <v>459.42</v>
      </c>
      <c r="H251" s="64"/>
      <c r="I251" s="64"/>
    </row>
    <row r="252" spans="1:9" ht="15.75" hidden="1" customHeight="1">
      <c r="A252" s="64"/>
      <c r="B252" s="64"/>
      <c r="C252" s="64"/>
      <c r="D252" s="64"/>
      <c r="E252" s="64" t="s">
        <v>45</v>
      </c>
      <c r="F252" s="64"/>
      <c r="G252" s="81">
        <v>0</v>
      </c>
      <c r="H252" s="64"/>
      <c r="I252" s="64"/>
    </row>
    <row r="253" spans="1:9" ht="15.75" hidden="1" customHeight="1">
      <c r="A253" s="64"/>
      <c r="B253" s="177">
        <v>45877</v>
      </c>
      <c r="C253" s="64">
        <v>0</v>
      </c>
      <c r="D253" s="64">
        <v>13105</v>
      </c>
      <c r="E253" s="64" t="s">
        <v>31</v>
      </c>
      <c r="F253" s="178">
        <v>80808</v>
      </c>
      <c r="G253" s="81">
        <v>234.93</v>
      </c>
      <c r="H253" s="64"/>
      <c r="I253" s="64"/>
    </row>
    <row r="254" spans="1:9" ht="15.75" hidden="1" customHeight="1">
      <c r="A254" s="64"/>
      <c r="B254" s="64"/>
      <c r="C254" s="64"/>
      <c r="D254" s="64"/>
      <c r="E254" s="64" t="s">
        <v>46</v>
      </c>
      <c r="F254" s="64"/>
      <c r="G254" s="81">
        <v>0</v>
      </c>
      <c r="H254" s="64"/>
      <c r="I254" s="64"/>
    </row>
    <row r="255" spans="1:9" ht="15.75" hidden="1" customHeight="1">
      <c r="A255" s="64"/>
      <c r="B255" s="177">
        <v>45877</v>
      </c>
      <c r="C255" s="64">
        <v>0</v>
      </c>
      <c r="D255" s="64">
        <v>13105</v>
      </c>
      <c r="E255" s="64" t="s">
        <v>31</v>
      </c>
      <c r="F255" s="178">
        <v>80809</v>
      </c>
      <c r="G255" s="81">
        <v>45.16</v>
      </c>
      <c r="H255" s="64"/>
      <c r="I255" s="64"/>
    </row>
    <row r="256" spans="1:9" ht="15.75" hidden="1" customHeight="1">
      <c r="A256" s="64"/>
      <c r="B256" s="64"/>
      <c r="C256" s="64"/>
      <c r="D256" s="64"/>
      <c r="E256" s="64" t="s">
        <v>46</v>
      </c>
      <c r="F256" s="64"/>
      <c r="G256" s="81">
        <v>0</v>
      </c>
      <c r="H256" s="64"/>
      <c r="I256" s="64"/>
    </row>
    <row r="257" spans="1:9" ht="15.75" hidden="1" customHeight="1">
      <c r="A257" s="64"/>
      <c r="B257" s="177">
        <v>45877</v>
      </c>
      <c r="C257" s="64">
        <v>0</v>
      </c>
      <c r="D257" s="64">
        <v>13105</v>
      </c>
      <c r="E257" s="64" t="s">
        <v>31</v>
      </c>
      <c r="F257" s="178">
        <v>80810</v>
      </c>
      <c r="G257" s="81">
        <v>352.81</v>
      </c>
      <c r="H257" s="64"/>
      <c r="I257" s="64"/>
    </row>
    <row r="258" spans="1:9" ht="15.75" hidden="1" customHeight="1">
      <c r="A258" s="64"/>
      <c r="B258" s="64"/>
      <c r="C258" s="64"/>
      <c r="D258" s="64"/>
      <c r="E258" s="64" t="s">
        <v>231</v>
      </c>
      <c r="F258" s="64"/>
      <c r="G258" s="81">
        <v>0</v>
      </c>
      <c r="H258" s="64"/>
      <c r="I258" s="64"/>
    </row>
    <row r="259" spans="1:9" ht="15.75" hidden="1" customHeight="1">
      <c r="A259" s="64"/>
      <c r="B259" s="177">
        <v>45877</v>
      </c>
      <c r="C259" s="64">
        <v>0</v>
      </c>
      <c r="D259" s="64">
        <v>13105</v>
      </c>
      <c r="E259" s="64" t="s">
        <v>80</v>
      </c>
      <c r="F259" s="178">
        <v>80811</v>
      </c>
      <c r="G259" s="81">
        <v>680.87</v>
      </c>
      <c r="H259" s="64"/>
      <c r="I259" s="64"/>
    </row>
    <row r="260" spans="1:9" ht="15.75" hidden="1" customHeight="1">
      <c r="A260" s="64"/>
      <c r="B260" s="64"/>
      <c r="C260" s="64"/>
      <c r="D260" s="64"/>
      <c r="E260" s="64" t="s">
        <v>81</v>
      </c>
      <c r="F260" s="64"/>
      <c r="G260" s="81">
        <v>0</v>
      </c>
      <c r="H260" s="64"/>
      <c r="I260" s="64"/>
    </row>
    <row r="261" spans="1:9" ht="15.75" hidden="1" customHeight="1">
      <c r="A261" s="64"/>
      <c r="B261" s="177">
        <v>45877</v>
      </c>
      <c r="C261" s="64">
        <v>0</v>
      </c>
      <c r="D261" s="64">
        <v>13105</v>
      </c>
      <c r="E261" s="64" t="s">
        <v>80</v>
      </c>
      <c r="F261" s="178">
        <v>80812</v>
      </c>
      <c r="G261" s="81">
        <v>1258.4100000000001</v>
      </c>
      <c r="H261" s="64"/>
      <c r="I261" s="64"/>
    </row>
    <row r="262" spans="1:9" ht="15.75" hidden="1" customHeight="1">
      <c r="A262" s="64"/>
      <c r="B262" s="64"/>
      <c r="C262" s="64"/>
      <c r="D262" s="64"/>
      <c r="E262" s="64" t="s">
        <v>81</v>
      </c>
      <c r="F262" s="64"/>
      <c r="G262" s="81">
        <v>0</v>
      </c>
      <c r="H262" s="64"/>
      <c r="I262" s="64"/>
    </row>
    <row r="263" spans="1:9" ht="15.75" hidden="1" customHeight="1">
      <c r="A263" s="64"/>
      <c r="B263" s="177">
        <v>45877</v>
      </c>
      <c r="C263" s="64">
        <v>0</v>
      </c>
      <c r="D263" s="64">
        <v>13105</v>
      </c>
      <c r="E263" s="64" t="s">
        <v>31</v>
      </c>
      <c r="F263" s="178">
        <v>80813</v>
      </c>
      <c r="G263" s="81">
        <v>1980</v>
      </c>
      <c r="H263" s="64"/>
      <c r="I263" s="64"/>
    </row>
    <row r="264" spans="1:9" ht="15.75" hidden="1" customHeight="1">
      <c r="A264" s="64"/>
      <c r="B264" s="64"/>
      <c r="C264" s="64"/>
      <c r="D264" s="64"/>
      <c r="E264" s="64" t="s">
        <v>587</v>
      </c>
      <c r="F264" s="64"/>
      <c r="G264" s="81">
        <v>0</v>
      </c>
      <c r="H264" s="64"/>
      <c r="I264" s="64"/>
    </row>
    <row r="265" spans="1:9" ht="15.75" hidden="1" customHeight="1">
      <c r="A265" s="64"/>
      <c r="B265" s="177">
        <v>45877</v>
      </c>
      <c r="C265" s="64">
        <v>0</v>
      </c>
      <c r="D265" s="64">
        <v>13105</v>
      </c>
      <c r="E265" s="64" t="s">
        <v>31</v>
      </c>
      <c r="F265" s="178">
        <v>80814</v>
      </c>
      <c r="G265" s="81">
        <v>643.33000000000004</v>
      </c>
      <c r="H265" s="64"/>
      <c r="I265" s="64"/>
    </row>
    <row r="266" spans="1:9" ht="15.75" hidden="1" customHeight="1">
      <c r="A266" s="64"/>
      <c r="B266" s="64"/>
      <c r="C266" s="64"/>
      <c r="D266" s="64"/>
      <c r="E266" s="64" t="s">
        <v>32</v>
      </c>
      <c r="F266" s="64"/>
      <c r="G266" s="81">
        <v>0</v>
      </c>
      <c r="H266" s="64"/>
      <c r="I266" s="64"/>
    </row>
    <row r="267" spans="1:9" ht="15.75" hidden="1" customHeight="1">
      <c r="A267" s="64"/>
      <c r="B267" s="177">
        <v>45877</v>
      </c>
      <c r="C267" s="64">
        <v>0</v>
      </c>
      <c r="D267" s="64">
        <v>13105</v>
      </c>
      <c r="E267" s="64" t="s">
        <v>31</v>
      </c>
      <c r="F267" s="178">
        <v>80815</v>
      </c>
      <c r="G267" s="81">
        <v>170</v>
      </c>
      <c r="H267" s="64"/>
      <c r="I267" s="64"/>
    </row>
    <row r="268" spans="1:9" ht="15.75" hidden="1" customHeight="1">
      <c r="A268" s="64"/>
      <c r="B268" s="64"/>
      <c r="C268" s="64"/>
      <c r="D268" s="64"/>
      <c r="E268" s="64" t="s">
        <v>41</v>
      </c>
      <c r="F268" s="64"/>
      <c r="G268" s="81">
        <v>0</v>
      </c>
      <c r="H268" s="64"/>
      <c r="I268" s="64"/>
    </row>
    <row r="269" spans="1:9" ht="15.75" hidden="1" customHeight="1">
      <c r="A269" s="64"/>
      <c r="B269" s="177">
        <v>45877</v>
      </c>
      <c r="C269" s="64">
        <v>0</v>
      </c>
      <c r="D269" s="64">
        <v>13105</v>
      </c>
      <c r="E269" s="64" t="s">
        <v>31</v>
      </c>
      <c r="F269" s="178">
        <v>80816</v>
      </c>
      <c r="G269" s="81">
        <v>307</v>
      </c>
      <c r="H269" s="64"/>
      <c r="I269" s="64"/>
    </row>
    <row r="270" spans="1:9" ht="15.75" hidden="1" customHeight="1">
      <c r="A270" s="64"/>
      <c r="B270" s="64"/>
      <c r="C270" s="64"/>
      <c r="D270" s="64"/>
      <c r="E270" s="64" t="s">
        <v>41</v>
      </c>
      <c r="F270" s="64"/>
      <c r="G270" s="81">
        <v>0</v>
      </c>
      <c r="H270" s="64"/>
      <c r="I270" s="64"/>
    </row>
    <row r="271" spans="1:9" ht="15.75" hidden="1" customHeight="1">
      <c r="A271" s="64"/>
      <c r="B271" s="177">
        <v>45877</v>
      </c>
      <c r="C271" s="64">
        <v>0</v>
      </c>
      <c r="D271" s="64">
        <v>13105</v>
      </c>
      <c r="E271" s="64" t="s">
        <v>31</v>
      </c>
      <c r="F271" s="178">
        <v>80817</v>
      </c>
      <c r="G271" s="81">
        <v>170</v>
      </c>
      <c r="H271" s="64"/>
      <c r="I271" s="64"/>
    </row>
    <row r="272" spans="1:9" ht="15.75" hidden="1" customHeight="1">
      <c r="A272" s="64"/>
      <c r="B272" s="64"/>
      <c r="C272" s="64"/>
      <c r="D272" s="64"/>
      <c r="E272" s="64" t="s">
        <v>41</v>
      </c>
      <c r="F272" s="64"/>
      <c r="G272" s="81">
        <v>0</v>
      </c>
      <c r="H272" s="64"/>
      <c r="I272" s="64"/>
    </row>
    <row r="273" spans="1:9" ht="15.75" hidden="1" customHeight="1">
      <c r="A273" s="64"/>
      <c r="B273" s="177">
        <v>45877</v>
      </c>
      <c r="C273" s="64">
        <v>0</v>
      </c>
      <c r="D273" s="64">
        <v>13105</v>
      </c>
      <c r="E273" s="64" t="s">
        <v>31</v>
      </c>
      <c r="F273" s="178">
        <v>80818</v>
      </c>
      <c r="G273" s="81">
        <v>342</v>
      </c>
      <c r="H273" s="64"/>
      <c r="I273" s="64"/>
    </row>
    <row r="274" spans="1:9" ht="15.75" hidden="1" customHeight="1">
      <c r="A274" s="64"/>
      <c r="B274" s="64"/>
      <c r="C274" s="64"/>
      <c r="D274" s="64"/>
      <c r="E274" s="64" t="s">
        <v>41</v>
      </c>
      <c r="F274" s="64"/>
      <c r="G274" s="81">
        <v>0</v>
      </c>
      <c r="H274" s="64"/>
      <c r="I274" s="64"/>
    </row>
    <row r="275" spans="1:9" ht="15.75" hidden="1" customHeight="1">
      <c r="A275" s="64"/>
      <c r="B275" s="177">
        <v>45877</v>
      </c>
      <c r="C275" s="64">
        <v>0</v>
      </c>
      <c r="D275" s="64">
        <v>13105</v>
      </c>
      <c r="E275" s="64" t="s">
        <v>31</v>
      </c>
      <c r="F275" s="178">
        <v>80819</v>
      </c>
      <c r="G275" s="81">
        <v>602.69000000000005</v>
      </c>
      <c r="H275" s="64"/>
      <c r="I275" s="64"/>
    </row>
    <row r="276" spans="1:9" ht="15.75" hidden="1" customHeight="1">
      <c r="A276" s="64"/>
      <c r="B276" s="64"/>
      <c r="C276" s="64"/>
      <c r="D276" s="64"/>
      <c r="E276" s="64" t="s">
        <v>464</v>
      </c>
      <c r="F276" s="64"/>
      <c r="G276" s="81">
        <v>0</v>
      </c>
      <c r="H276" s="64"/>
      <c r="I276" s="64"/>
    </row>
    <row r="277" spans="1:9" ht="15.75" hidden="1" customHeight="1">
      <c r="A277" s="64"/>
      <c r="B277" s="177">
        <v>45877</v>
      </c>
      <c r="C277" s="64">
        <v>0</v>
      </c>
      <c r="D277" s="64">
        <v>13105</v>
      </c>
      <c r="E277" s="64" t="s">
        <v>31</v>
      </c>
      <c r="F277" s="178">
        <v>80820</v>
      </c>
      <c r="G277" s="81">
        <v>359.33</v>
      </c>
      <c r="H277" s="64"/>
      <c r="I277" s="64"/>
    </row>
    <row r="278" spans="1:9" ht="15.75" hidden="1" customHeight="1">
      <c r="A278" s="64"/>
      <c r="B278" s="64"/>
      <c r="C278" s="64"/>
      <c r="D278" s="64"/>
      <c r="E278" s="64" t="s">
        <v>67</v>
      </c>
      <c r="F278" s="64"/>
      <c r="G278" s="81">
        <v>0</v>
      </c>
      <c r="H278" s="64"/>
      <c r="I278" s="64"/>
    </row>
    <row r="279" spans="1:9" ht="15.75" hidden="1" customHeight="1">
      <c r="A279" s="64"/>
      <c r="B279" s="177">
        <v>45877</v>
      </c>
      <c r="C279" s="64">
        <v>0</v>
      </c>
      <c r="D279" s="64">
        <v>13105</v>
      </c>
      <c r="E279" s="64" t="s">
        <v>31</v>
      </c>
      <c r="F279" s="178">
        <v>80821</v>
      </c>
      <c r="G279" s="81">
        <v>208.5</v>
      </c>
      <c r="H279" s="64"/>
      <c r="I279" s="64"/>
    </row>
    <row r="280" spans="1:9" ht="15.75" hidden="1" customHeight="1">
      <c r="A280" s="64"/>
      <c r="B280" s="64"/>
      <c r="C280" s="64"/>
      <c r="D280" s="64"/>
      <c r="E280" s="64" t="s">
        <v>67</v>
      </c>
      <c r="F280" s="64"/>
      <c r="G280" s="81">
        <v>0</v>
      </c>
      <c r="H280" s="64"/>
      <c r="I280" s="64"/>
    </row>
    <row r="281" spans="1:9" ht="15.75" hidden="1" customHeight="1">
      <c r="A281" s="64"/>
      <c r="B281" s="177">
        <v>45877</v>
      </c>
      <c r="C281" s="64">
        <v>0</v>
      </c>
      <c r="D281" s="64">
        <v>13105</v>
      </c>
      <c r="E281" s="64" t="s">
        <v>31</v>
      </c>
      <c r="F281" s="178">
        <v>80822</v>
      </c>
      <c r="G281" s="81">
        <v>169.99</v>
      </c>
      <c r="H281" s="64"/>
      <c r="I281" s="64"/>
    </row>
    <row r="282" spans="1:9" ht="15.75" hidden="1" customHeight="1">
      <c r="A282" s="64"/>
      <c r="B282" s="64"/>
      <c r="C282" s="64"/>
      <c r="D282" s="64"/>
      <c r="E282" s="64" t="s">
        <v>126</v>
      </c>
      <c r="F282" s="64"/>
      <c r="G282" s="81">
        <v>0</v>
      </c>
      <c r="H282" s="64"/>
      <c r="I282" s="64"/>
    </row>
    <row r="283" spans="1:9" ht="15.75" hidden="1" customHeight="1">
      <c r="A283" s="64"/>
      <c r="B283" s="177">
        <v>45877</v>
      </c>
      <c r="C283" s="64">
        <v>0</v>
      </c>
      <c r="D283" s="64">
        <v>13105</v>
      </c>
      <c r="E283" s="64" t="s">
        <v>31</v>
      </c>
      <c r="F283" s="178">
        <v>80823</v>
      </c>
      <c r="G283" s="81">
        <v>2200</v>
      </c>
      <c r="H283" s="64"/>
      <c r="I283" s="64"/>
    </row>
    <row r="284" spans="1:9" ht="15.75" hidden="1" customHeight="1">
      <c r="A284" s="64"/>
      <c r="B284" s="64"/>
      <c r="C284" s="64"/>
      <c r="D284" s="64"/>
      <c r="E284" s="64" t="s">
        <v>1109</v>
      </c>
      <c r="F284" s="64"/>
      <c r="G284" s="81">
        <v>0</v>
      </c>
      <c r="H284" s="64"/>
      <c r="I284" s="64"/>
    </row>
    <row r="285" spans="1:9" ht="15.75" hidden="1" customHeight="1">
      <c r="A285" s="64"/>
      <c r="B285" s="177">
        <v>45877</v>
      </c>
      <c r="C285" s="64">
        <v>0</v>
      </c>
      <c r="D285" s="64">
        <v>13105</v>
      </c>
      <c r="E285" s="64" t="s">
        <v>31</v>
      </c>
      <c r="F285" s="178">
        <v>80824</v>
      </c>
      <c r="G285" s="81">
        <v>300</v>
      </c>
      <c r="H285" s="64"/>
      <c r="I285" s="64"/>
    </row>
    <row r="286" spans="1:9" ht="15.75" hidden="1" customHeight="1">
      <c r="A286" s="64"/>
      <c r="B286" s="64"/>
      <c r="C286" s="64"/>
      <c r="D286" s="64"/>
      <c r="E286" s="64" t="s">
        <v>86</v>
      </c>
      <c r="F286" s="64"/>
      <c r="G286" s="81">
        <v>0</v>
      </c>
      <c r="H286" s="64"/>
      <c r="I286" s="64"/>
    </row>
    <row r="287" spans="1:9" ht="15.75" hidden="1" customHeight="1">
      <c r="A287" s="64"/>
      <c r="B287" s="177">
        <v>45877</v>
      </c>
      <c r="C287" s="64">
        <v>0</v>
      </c>
      <c r="D287" s="64">
        <v>13105</v>
      </c>
      <c r="E287" s="64" t="s">
        <v>34</v>
      </c>
      <c r="F287" s="178">
        <v>80825</v>
      </c>
      <c r="G287" s="81">
        <v>1094.03</v>
      </c>
      <c r="H287" s="64"/>
      <c r="I287" s="64"/>
    </row>
    <row r="288" spans="1:9" ht="15.75" hidden="1" customHeight="1">
      <c r="A288" s="64"/>
      <c r="B288" s="64"/>
      <c r="C288" s="64"/>
      <c r="D288" s="64"/>
      <c r="E288" s="64" t="s">
        <v>207</v>
      </c>
      <c r="F288" s="64"/>
      <c r="G288" s="81">
        <v>0</v>
      </c>
      <c r="H288" s="64"/>
      <c r="I288" s="64"/>
    </row>
    <row r="289" spans="1:9" ht="15.75" hidden="1" customHeight="1">
      <c r="A289" s="64"/>
      <c r="B289" s="177">
        <v>45877</v>
      </c>
      <c r="C289" s="64">
        <v>0</v>
      </c>
      <c r="D289" s="64">
        <v>13105</v>
      </c>
      <c r="E289" s="64" t="s">
        <v>31</v>
      </c>
      <c r="F289" s="178">
        <v>80826</v>
      </c>
      <c r="G289" s="81">
        <v>50</v>
      </c>
      <c r="H289" s="64"/>
      <c r="I289" s="64"/>
    </row>
    <row r="290" spans="1:9" ht="15.75" hidden="1" customHeight="1">
      <c r="A290" s="64"/>
      <c r="B290" s="64"/>
      <c r="C290" s="64"/>
      <c r="D290" s="64"/>
      <c r="E290" s="64" t="s">
        <v>866</v>
      </c>
      <c r="F290" s="64"/>
      <c r="G290" s="81">
        <v>0</v>
      </c>
      <c r="H290" s="64"/>
      <c r="I290" s="64"/>
    </row>
    <row r="291" spans="1:9" ht="15.75" hidden="1" customHeight="1">
      <c r="A291" s="64"/>
      <c r="B291" s="177">
        <v>45877</v>
      </c>
      <c r="C291" s="64">
        <v>0</v>
      </c>
      <c r="D291" s="64">
        <v>13105</v>
      </c>
      <c r="E291" s="64" t="s">
        <v>31</v>
      </c>
      <c r="F291" s="178">
        <v>80827</v>
      </c>
      <c r="G291" s="81">
        <v>50</v>
      </c>
      <c r="H291" s="64"/>
      <c r="I291" s="64"/>
    </row>
    <row r="292" spans="1:9" ht="15.75" hidden="1" customHeight="1">
      <c r="A292" s="64"/>
      <c r="B292" s="64"/>
      <c r="C292" s="64"/>
      <c r="D292" s="64"/>
      <c r="E292" s="64" t="s">
        <v>866</v>
      </c>
      <c r="F292" s="64"/>
      <c r="G292" s="81">
        <v>0</v>
      </c>
      <c r="H292" s="64"/>
      <c r="I292" s="64"/>
    </row>
    <row r="293" spans="1:9" ht="15.75" hidden="1" customHeight="1">
      <c r="A293" s="64"/>
      <c r="B293" s="177">
        <v>45877</v>
      </c>
      <c r="C293" s="64">
        <v>0</v>
      </c>
      <c r="D293" s="64">
        <v>13105</v>
      </c>
      <c r="E293" s="64" t="s">
        <v>31</v>
      </c>
      <c r="F293" s="178">
        <v>80828</v>
      </c>
      <c r="G293" s="81">
        <v>1573.34</v>
      </c>
      <c r="H293" s="64"/>
      <c r="I293" s="64"/>
    </row>
    <row r="294" spans="1:9" ht="15.75" hidden="1" customHeight="1">
      <c r="A294" s="64"/>
      <c r="B294" s="64"/>
      <c r="C294" s="64"/>
      <c r="D294" s="64"/>
      <c r="E294" s="64" t="s">
        <v>71</v>
      </c>
      <c r="F294" s="64"/>
      <c r="G294" s="81">
        <v>0</v>
      </c>
      <c r="H294" s="64"/>
      <c r="I294" s="64"/>
    </row>
    <row r="295" spans="1:9" ht="15.75" hidden="1" customHeight="1">
      <c r="A295" s="64"/>
      <c r="B295" s="177">
        <v>45877</v>
      </c>
      <c r="C295" s="64">
        <v>0</v>
      </c>
      <c r="D295" s="64">
        <v>13105</v>
      </c>
      <c r="E295" s="64" t="s">
        <v>34</v>
      </c>
      <c r="F295" s="178">
        <v>80829</v>
      </c>
      <c r="G295" s="81">
        <v>103.5</v>
      </c>
      <c r="H295" s="64"/>
      <c r="I295" s="64"/>
    </row>
    <row r="296" spans="1:9" ht="15.75" hidden="1" customHeight="1">
      <c r="A296" s="64"/>
      <c r="B296" s="64"/>
      <c r="C296" s="64"/>
      <c r="D296" s="64"/>
      <c r="E296" s="64" t="s">
        <v>1110</v>
      </c>
      <c r="F296" s="64"/>
      <c r="G296" s="81">
        <v>0</v>
      </c>
      <c r="H296" s="64"/>
      <c r="I296" s="64"/>
    </row>
    <row r="297" spans="1:9" ht="15.75" hidden="1" customHeight="1">
      <c r="A297" s="64"/>
      <c r="B297" s="177">
        <v>45877</v>
      </c>
      <c r="C297" s="64">
        <v>0</v>
      </c>
      <c r="D297" s="64">
        <v>13105</v>
      </c>
      <c r="E297" s="64" t="s">
        <v>31</v>
      </c>
      <c r="F297" s="178">
        <v>80830</v>
      </c>
      <c r="G297" s="81">
        <v>3395.89</v>
      </c>
      <c r="H297" s="64"/>
      <c r="I297" s="64"/>
    </row>
    <row r="298" spans="1:9" ht="15.75" hidden="1" customHeight="1">
      <c r="A298" s="64"/>
      <c r="B298" s="64"/>
      <c r="C298" s="64"/>
      <c r="D298" s="64"/>
      <c r="E298" s="64" t="s">
        <v>65</v>
      </c>
      <c r="F298" s="64"/>
      <c r="G298" s="81">
        <v>0</v>
      </c>
      <c r="H298" s="64"/>
      <c r="I298" s="64"/>
    </row>
    <row r="299" spans="1:9" ht="15.75" hidden="1" customHeight="1">
      <c r="A299" s="64"/>
      <c r="B299" s="177">
        <v>45877</v>
      </c>
      <c r="C299" s="64">
        <v>0</v>
      </c>
      <c r="D299" s="64">
        <v>13105</v>
      </c>
      <c r="E299" s="64" t="s">
        <v>31</v>
      </c>
      <c r="F299" s="178">
        <v>80831</v>
      </c>
      <c r="G299" s="81">
        <v>277.20999999999998</v>
      </c>
      <c r="H299" s="64"/>
      <c r="I299" s="64"/>
    </row>
    <row r="300" spans="1:9" ht="15.75" hidden="1" customHeight="1">
      <c r="A300" s="64"/>
      <c r="B300" s="64"/>
      <c r="C300" s="64"/>
      <c r="D300" s="64"/>
      <c r="E300" s="64" t="s">
        <v>45</v>
      </c>
      <c r="F300" s="64"/>
      <c r="G300" s="81">
        <v>0</v>
      </c>
      <c r="H300" s="64"/>
      <c r="I300" s="64"/>
    </row>
    <row r="301" spans="1:9" ht="15.75" hidden="1" customHeight="1">
      <c r="A301" s="64"/>
      <c r="B301" s="177">
        <v>45877</v>
      </c>
      <c r="C301" s="64">
        <v>0</v>
      </c>
      <c r="D301" s="64">
        <v>13105</v>
      </c>
      <c r="E301" s="64" t="s">
        <v>31</v>
      </c>
      <c r="F301" s="178">
        <v>80832</v>
      </c>
      <c r="G301" s="81">
        <v>368.29</v>
      </c>
      <c r="H301" s="64"/>
      <c r="I301" s="64"/>
    </row>
    <row r="302" spans="1:9" ht="15.75" hidden="1" customHeight="1">
      <c r="A302" s="64"/>
      <c r="B302" s="64"/>
      <c r="C302" s="64"/>
      <c r="D302" s="64"/>
      <c r="E302" s="64" t="s">
        <v>45</v>
      </c>
      <c r="F302" s="64"/>
      <c r="G302" s="81">
        <v>0</v>
      </c>
      <c r="H302" s="64"/>
      <c r="I302" s="64"/>
    </row>
    <row r="303" spans="1:9" ht="15.75" hidden="1" customHeight="1">
      <c r="A303" s="64"/>
      <c r="B303" s="177">
        <v>45877</v>
      </c>
      <c r="C303" s="64">
        <v>0</v>
      </c>
      <c r="D303" s="64">
        <v>13105</v>
      </c>
      <c r="E303" s="64" t="s">
        <v>31</v>
      </c>
      <c r="F303" s="178">
        <v>80833</v>
      </c>
      <c r="G303" s="81">
        <v>51.65</v>
      </c>
      <c r="H303" s="64"/>
      <c r="I303" s="64"/>
    </row>
    <row r="304" spans="1:9" ht="15.75" hidden="1" customHeight="1">
      <c r="A304" s="64"/>
      <c r="B304" s="64"/>
      <c r="C304" s="64"/>
      <c r="D304" s="64"/>
      <c r="E304" s="64" t="s">
        <v>46</v>
      </c>
      <c r="F304" s="64"/>
      <c r="G304" s="81">
        <v>0</v>
      </c>
      <c r="H304" s="64"/>
      <c r="I304" s="64"/>
    </row>
    <row r="305" spans="1:9" ht="15.75" hidden="1" customHeight="1">
      <c r="A305" s="64"/>
      <c r="B305" s="177">
        <v>45877</v>
      </c>
      <c r="C305" s="64">
        <v>0</v>
      </c>
      <c r="D305" s="64">
        <v>13105</v>
      </c>
      <c r="E305" s="64" t="s">
        <v>31</v>
      </c>
      <c r="F305" s="178">
        <v>80834</v>
      </c>
      <c r="G305" s="81">
        <v>191.44</v>
      </c>
      <c r="H305" s="64"/>
      <c r="I305" s="64"/>
    </row>
    <row r="306" spans="1:9" ht="15.75" hidden="1" customHeight="1">
      <c r="A306" s="64"/>
      <c r="B306" s="64"/>
      <c r="C306" s="64"/>
      <c r="D306" s="64"/>
      <c r="E306" s="64" t="s">
        <v>111</v>
      </c>
      <c r="F306" s="64"/>
      <c r="G306" s="81">
        <v>0</v>
      </c>
      <c r="H306" s="64"/>
      <c r="I306" s="64"/>
    </row>
    <row r="307" spans="1:9" ht="15.75" hidden="1" customHeight="1">
      <c r="A307" s="64"/>
      <c r="B307" s="177">
        <v>45877</v>
      </c>
      <c r="C307" s="64">
        <v>0</v>
      </c>
      <c r="D307" s="64">
        <v>13105</v>
      </c>
      <c r="E307" s="64" t="s">
        <v>31</v>
      </c>
      <c r="F307" s="178">
        <v>80835</v>
      </c>
      <c r="G307" s="81">
        <v>319.16000000000003</v>
      </c>
      <c r="H307" s="64"/>
      <c r="I307" s="64"/>
    </row>
    <row r="308" spans="1:9" ht="15.75" hidden="1" customHeight="1">
      <c r="A308" s="64"/>
      <c r="B308" s="64"/>
      <c r="C308" s="64"/>
      <c r="D308" s="64"/>
      <c r="E308" s="64" t="s">
        <v>231</v>
      </c>
      <c r="F308" s="64"/>
      <c r="G308" s="81">
        <v>0</v>
      </c>
      <c r="H308" s="64"/>
      <c r="I308" s="64"/>
    </row>
    <row r="309" spans="1:9" ht="15.75" hidden="1" customHeight="1">
      <c r="A309" s="64"/>
      <c r="B309" s="177">
        <v>45877</v>
      </c>
      <c r="C309" s="64">
        <v>0</v>
      </c>
      <c r="D309" s="64">
        <v>13105</v>
      </c>
      <c r="E309" s="64" t="s">
        <v>31</v>
      </c>
      <c r="F309" s="178">
        <v>80836</v>
      </c>
      <c r="G309" s="81">
        <v>538.29999999999995</v>
      </c>
      <c r="H309" s="64"/>
      <c r="I309" s="64"/>
    </row>
    <row r="310" spans="1:9" ht="15.75" hidden="1" customHeight="1">
      <c r="A310" s="64"/>
      <c r="B310" s="64"/>
      <c r="C310" s="64"/>
      <c r="D310" s="64"/>
      <c r="E310" s="64" t="s">
        <v>231</v>
      </c>
      <c r="F310" s="64"/>
      <c r="G310" s="81">
        <v>0</v>
      </c>
      <c r="H310" s="64"/>
      <c r="I310" s="64"/>
    </row>
    <row r="311" spans="1:9" ht="15.75" hidden="1" customHeight="1">
      <c r="A311" s="64"/>
      <c r="B311" s="177">
        <v>45877</v>
      </c>
      <c r="C311" s="64">
        <v>0</v>
      </c>
      <c r="D311" s="64">
        <v>13105</v>
      </c>
      <c r="E311" s="64" t="s">
        <v>31</v>
      </c>
      <c r="F311" s="178">
        <v>80837</v>
      </c>
      <c r="G311" s="81">
        <v>353.98</v>
      </c>
      <c r="H311" s="64"/>
      <c r="I311" s="64"/>
    </row>
    <row r="312" spans="1:9" ht="15.75" hidden="1" customHeight="1">
      <c r="A312" s="64"/>
      <c r="B312" s="64"/>
      <c r="C312" s="64"/>
      <c r="D312" s="64"/>
      <c r="E312" s="64" t="s">
        <v>340</v>
      </c>
      <c r="F312" s="64"/>
      <c r="G312" s="81">
        <v>0</v>
      </c>
      <c r="H312" s="64"/>
      <c r="I312" s="64"/>
    </row>
    <row r="313" spans="1:9" ht="15.75" hidden="1" customHeight="1">
      <c r="A313" s="64"/>
      <c r="B313" s="177">
        <v>45877</v>
      </c>
      <c r="C313" s="64">
        <v>0</v>
      </c>
      <c r="D313" s="64">
        <v>13105</v>
      </c>
      <c r="E313" s="64" t="s">
        <v>31</v>
      </c>
      <c r="F313" s="178">
        <v>80838</v>
      </c>
      <c r="G313" s="81">
        <v>386.59</v>
      </c>
      <c r="H313" s="64"/>
      <c r="I313" s="64"/>
    </row>
    <row r="314" spans="1:9" ht="15.75" hidden="1" customHeight="1">
      <c r="A314" s="64"/>
      <c r="B314" s="64"/>
      <c r="C314" s="64"/>
      <c r="D314" s="64"/>
      <c r="E314" s="64" t="s">
        <v>110</v>
      </c>
      <c r="F314" s="64"/>
      <c r="G314" s="81">
        <v>0</v>
      </c>
      <c r="H314" s="64"/>
      <c r="I314" s="64"/>
    </row>
    <row r="315" spans="1:9" ht="15.75" hidden="1" customHeight="1">
      <c r="A315" s="64"/>
      <c r="B315" s="177">
        <v>45877</v>
      </c>
      <c r="C315" s="64">
        <v>0</v>
      </c>
      <c r="D315" s="64">
        <v>13105</v>
      </c>
      <c r="E315" s="64" t="s">
        <v>31</v>
      </c>
      <c r="F315" s="178">
        <v>80839</v>
      </c>
      <c r="G315" s="81">
        <v>414.1</v>
      </c>
      <c r="H315" s="64"/>
      <c r="I315" s="64"/>
    </row>
    <row r="316" spans="1:9" ht="15.75" hidden="1" customHeight="1">
      <c r="A316" s="64"/>
      <c r="B316" s="64"/>
      <c r="C316" s="64"/>
      <c r="D316" s="64"/>
      <c r="E316" s="64" t="s">
        <v>200</v>
      </c>
      <c r="F316" s="64"/>
      <c r="G316" s="81">
        <v>0</v>
      </c>
      <c r="H316" s="64"/>
      <c r="I316" s="64"/>
    </row>
    <row r="317" spans="1:9" ht="15.75" hidden="1" customHeight="1">
      <c r="A317" s="64"/>
      <c r="B317" s="177">
        <v>45877</v>
      </c>
      <c r="C317" s="64">
        <v>0</v>
      </c>
      <c r="D317" s="64">
        <v>13105</v>
      </c>
      <c r="E317" s="64" t="s">
        <v>31</v>
      </c>
      <c r="F317" s="178">
        <v>80840</v>
      </c>
      <c r="G317" s="81">
        <v>300.77</v>
      </c>
      <c r="H317" s="64"/>
      <c r="I317" s="64"/>
    </row>
    <row r="318" spans="1:9" ht="15.75" hidden="1" customHeight="1">
      <c r="A318" s="64"/>
      <c r="B318" s="64"/>
      <c r="C318" s="64"/>
      <c r="D318" s="64"/>
      <c r="E318" s="64" t="s">
        <v>762</v>
      </c>
      <c r="F318" s="64"/>
      <c r="G318" s="81">
        <v>0</v>
      </c>
      <c r="H318" s="64"/>
      <c r="I318" s="64"/>
    </row>
    <row r="319" spans="1:9" ht="15.75" hidden="1" customHeight="1">
      <c r="A319" s="64"/>
      <c r="B319" s="177">
        <v>45877</v>
      </c>
      <c r="C319" s="64">
        <v>0</v>
      </c>
      <c r="D319" s="64">
        <v>13105</v>
      </c>
      <c r="E319" s="64" t="s">
        <v>118</v>
      </c>
      <c r="F319" s="178">
        <v>80841</v>
      </c>
      <c r="G319" s="81">
        <v>8000</v>
      </c>
      <c r="H319" s="64"/>
      <c r="I319" s="64"/>
    </row>
    <row r="320" spans="1:9" ht="15.75" hidden="1" customHeight="1">
      <c r="A320" s="64"/>
      <c r="B320" s="64"/>
      <c r="C320" s="64"/>
      <c r="D320" s="64"/>
      <c r="E320" s="64" t="s">
        <v>1111</v>
      </c>
      <c r="F320" s="64"/>
      <c r="G320" s="81">
        <v>0</v>
      </c>
      <c r="H320" s="64"/>
      <c r="I320" s="64"/>
    </row>
    <row r="321" spans="1:9" ht="15.75" hidden="1" customHeight="1">
      <c r="A321" s="64"/>
      <c r="B321" s="177">
        <v>45877</v>
      </c>
      <c r="C321" s="64">
        <v>0</v>
      </c>
      <c r="D321" s="64">
        <v>0</v>
      </c>
      <c r="E321" s="64" t="s">
        <v>52</v>
      </c>
      <c r="F321" s="178">
        <v>9903</v>
      </c>
      <c r="G321" s="81">
        <v>3705.6</v>
      </c>
      <c r="H321" s="64"/>
      <c r="I321" s="64"/>
    </row>
    <row r="322" spans="1:9" ht="15.75" hidden="1" customHeight="1">
      <c r="A322" s="64"/>
      <c r="B322" s="64"/>
      <c r="C322" s="64"/>
      <c r="D322" s="64"/>
      <c r="E322" s="64" t="s">
        <v>53</v>
      </c>
      <c r="F322" s="64"/>
      <c r="G322" s="81">
        <v>0</v>
      </c>
      <c r="H322" s="64"/>
      <c r="I322" s="64"/>
    </row>
    <row r="323" spans="1:9" ht="15.75" hidden="1" customHeight="1">
      <c r="A323" s="64"/>
      <c r="B323" s="177">
        <v>45880</v>
      </c>
      <c r="C323" s="64">
        <v>0</v>
      </c>
      <c r="D323" s="64">
        <v>14175</v>
      </c>
      <c r="E323" s="64" t="s">
        <v>62</v>
      </c>
      <c r="F323" s="178">
        <v>390787966</v>
      </c>
      <c r="G323" s="81">
        <v>6500</v>
      </c>
      <c r="H323" s="64"/>
      <c r="I323" s="64"/>
    </row>
    <row r="324" spans="1:9" ht="15.75" hidden="1" customHeight="1">
      <c r="A324" s="64"/>
      <c r="B324" s="64"/>
      <c r="C324" s="64"/>
      <c r="D324" s="64"/>
      <c r="E324" s="64" t="s">
        <v>97</v>
      </c>
      <c r="F324" s="64"/>
      <c r="G324" s="81">
        <v>0</v>
      </c>
      <c r="H324" s="64"/>
      <c r="I324" s="64"/>
    </row>
    <row r="325" spans="1:9" ht="15.75" hidden="1" customHeight="1">
      <c r="A325" s="64"/>
      <c r="B325" s="177">
        <v>45880</v>
      </c>
      <c r="C325" s="64">
        <v>0</v>
      </c>
      <c r="D325" s="64">
        <v>14397</v>
      </c>
      <c r="E325" s="64" t="s">
        <v>57</v>
      </c>
      <c r="F325" s="178">
        <v>110821225996521</v>
      </c>
      <c r="G325" s="81">
        <v>568.86</v>
      </c>
      <c r="H325" s="64"/>
      <c r="I325" s="64"/>
    </row>
    <row r="326" spans="1:9" ht="15.75" hidden="1" customHeight="1">
      <c r="A326" s="64"/>
      <c r="B326" s="64"/>
      <c r="C326" s="64"/>
      <c r="D326" s="64"/>
      <c r="E326" s="64" t="s">
        <v>1112</v>
      </c>
      <c r="F326" s="64"/>
      <c r="G326" s="81">
        <v>0</v>
      </c>
      <c r="H326" s="64"/>
      <c r="I326" s="64"/>
    </row>
    <row r="327" spans="1:9" ht="15.75" hidden="1" customHeight="1">
      <c r="A327" s="64"/>
      <c r="B327" s="177">
        <v>45880</v>
      </c>
      <c r="C327" s="64">
        <v>0</v>
      </c>
      <c r="D327" s="64">
        <v>14397</v>
      </c>
      <c r="E327" s="64" t="s">
        <v>57</v>
      </c>
      <c r="F327" s="178">
        <v>110929429562321</v>
      </c>
      <c r="G327" s="81">
        <v>6500</v>
      </c>
      <c r="H327" s="64"/>
      <c r="I327" s="64"/>
    </row>
    <row r="328" spans="1:9" ht="15.75" hidden="1" customHeight="1">
      <c r="A328" s="64"/>
      <c r="B328" s="64"/>
      <c r="C328" s="64"/>
      <c r="D328" s="64"/>
      <c r="E328" s="64" t="s">
        <v>1113</v>
      </c>
      <c r="F328" s="64"/>
      <c r="G328" s="81">
        <v>0</v>
      </c>
      <c r="H328" s="64"/>
      <c r="I328" s="64"/>
    </row>
    <row r="329" spans="1:9" ht="15.75" hidden="1" customHeight="1">
      <c r="A329" s="64"/>
      <c r="B329" s="177">
        <v>45880</v>
      </c>
      <c r="C329" s="64">
        <v>0</v>
      </c>
      <c r="D329" s="64">
        <v>14397</v>
      </c>
      <c r="E329" s="64" t="s">
        <v>57</v>
      </c>
      <c r="F329" s="178">
        <v>111709502478512</v>
      </c>
      <c r="G329" s="81">
        <v>343.32</v>
      </c>
      <c r="H329" s="64"/>
      <c r="I329" s="64"/>
    </row>
    <row r="330" spans="1:9" ht="15.75" hidden="1" customHeight="1">
      <c r="A330" s="64"/>
      <c r="B330" s="64"/>
      <c r="C330" s="64"/>
      <c r="D330" s="64"/>
      <c r="E330" s="64" t="s">
        <v>1114</v>
      </c>
      <c r="F330" s="64"/>
      <c r="G330" s="81">
        <v>0</v>
      </c>
      <c r="H330" s="64"/>
      <c r="I330" s="64"/>
    </row>
    <row r="331" spans="1:9" ht="15.75" hidden="1" customHeight="1">
      <c r="A331" s="64"/>
      <c r="B331" s="177">
        <v>45880</v>
      </c>
      <c r="C331" s="64">
        <v>0</v>
      </c>
      <c r="D331" s="64">
        <v>14397</v>
      </c>
      <c r="E331" s="64" t="s">
        <v>57</v>
      </c>
      <c r="F331" s="178">
        <v>111843530336762</v>
      </c>
      <c r="G331" s="81">
        <v>1808</v>
      </c>
      <c r="H331" s="64"/>
      <c r="I331" s="64"/>
    </row>
    <row r="332" spans="1:9" ht="15.75" hidden="1" customHeight="1">
      <c r="A332" s="64"/>
      <c r="B332" s="64"/>
      <c r="C332" s="64"/>
      <c r="D332" s="64"/>
      <c r="E332" s="64" t="s">
        <v>1115</v>
      </c>
      <c r="F332" s="64"/>
      <c r="G332" s="81">
        <v>0</v>
      </c>
      <c r="H332" s="64"/>
      <c r="I332" s="64"/>
    </row>
    <row r="333" spans="1:9" ht="15.75" hidden="1" customHeight="1">
      <c r="A333" s="64"/>
      <c r="B333" s="177">
        <v>45880</v>
      </c>
      <c r="C333" s="64">
        <v>0</v>
      </c>
      <c r="D333" s="64">
        <v>14397</v>
      </c>
      <c r="E333" s="64" t="s">
        <v>57</v>
      </c>
      <c r="F333" s="178">
        <v>111931127945962</v>
      </c>
      <c r="G333" s="81">
        <v>275.11</v>
      </c>
      <c r="H333" s="64"/>
      <c r="I333" s="64"/>
    </row>
    <row r="334" spans="1:9" ht="15.75" hidden="1" customHeight="1">
      <c r="A334" s="64"/>
      <c r="B334" s="64"/>
      <c r="C334" s="64"/>
      <c r="D334" s="64"/>
      <c r="E334" s="64" t="s">
        <v>1116</v>
      </c>
      <c r="F334" s="64"/>
      <c r="G334" s="81">
        <v>0</v>
      </c>
      <c r="H334" s="64"/>
      <c r="I334" s="64"/>
    </row>
    <row r="335" spans="1:9" ht="15.75" hidden="1" customHeight="1">
      <c r="A335" s="64"/>
      <c r="B335" s="177">
        <v>45880</v>
      </c>
      <c r="C335" s="64">
        <v>1533</v>
      </c>
      <c r="D335" s="64">
        <v>99008</v>
      </c>
      <c r="E335" s="64" t="s">
        <v>29</v>
      </c>
      <c r="F335" s="178">
        <v>163910</v>
      </c>
      <c r="G335" s="81">
        <v>169.51</v>
      </c>
      <c r="H335" s="64"/>
      <c r="I335" s="64"/>
    </row>
    <row r="336" spans="1:9" ht="15.75" hidden="1" customHeight="1">
      <c r="A336" s="64"/>
      <c r="B336" s="64"/>
      <c r="C336" s="64"/>
      <c r="D336" s="64"/>
      <c r="E336" s="64" t="s">
        <v>1117</v>
      </c>
      <c r="F336" s="64"/>
      <c r="G336" s="81">
        <v>0</v>
      </c>
      <c r="H336" s="64"/>
      <c r="I336" s="64"/>
    </row>
    <row r="337" spans="1:9" ht="15.75" hidden="1" customHeight="1">
      <c r="A337" s="64"/>
      <c r="B337" s="177">
        <v>45880</v>
      </c>
      <c r="C337" s="64">
        <v>0</v>
      </c>
      <c r="D337" s="64">
        <v>13105</v>
      </c>
      <c r="E337" s="64" t="s">
        <v>31</v>
      </c>
      <c r="F337" s="178">
        <v>81101</v>
      </c>
      <c r="G337" s="81">
        <v>362.85</v>
      </c>
      <c r="H337" s="64"/>
      <c r="I337" s="64"/>
    </row>
    <row r="338" spans="1:9" ht="15.75" hidden="1" customHeight="1">
      <c r="A338" s="64"/>
      <c r="B338" s="64"/>
      <c r="C338" s="64"/>
      <c r="D338" s="64"/>
      <c r="E338" s="64" t="s">
        <v>51</v>
      </c>
      <c r="F338" s="64"/>
      <c r="G338" s="81">
        <v>0</v>
      </c>
      <c r="H338" s="64"/>
      <c r="I338" s="64"/>
    </row>
    <row r="339" spans="1:9" ht="15.75" hidden="1" customHeight="1">
      <c r="A339" s="64"/>
      <c r="B339" s="177">
        <v>45880</v>
      </c>
      <c r="C339" s="64">
        <v>0</v>
      </c>
      <c r="D339" s="64">
        <v>13105</v>
      </c>
      <c r="E339" s="64" t="s">
        <v>80</v>
      </c>
      <c r="F339" s="178">
        <v>81102</v>
      </c>
      <c r="G339" s="81">
        <v>2154.77</v>
      </c>
      <c r="H339" s="64"/>
      <c r="I339" s="64"/>
    </row>
    <row r="340" spans="1:9" ht="15.75" hidden="1" customHeight="1">
      <c r="A340" s="64"/>
      <c r="B340" s="64"/>
      <c r="C340" s="64"/>
      <c r="D340" s="64"/>
      <c r="E340" s="64" t="s">
        <v>81</v>
      </c>
      <c r="F340" s="64"/>
      <c r="G340" s="81">
        <v>0</v>
      </c>
      <c r="H340" s="64"/>
      <c r="I340" s="64"/>
    </row>
    <row r="341" spans="1:9" ht="15.75" hidden="1" customHeight="1">
      <c r="A341" s="64"/>
      <c r="B341" s="177">
        <v>45880</v>
      </c>
      <c r="C341" s="64">
        <v>0</v>
      </c>
      <c r="D341" s="64">
        <v>13105</v>
      </c>
      <c r="E341" s="64" t="s">
        <v>80</v>
      </c>
      <c r="F341" s="178">
        <v>81103</v>
      </c>
      <c r="G341" s="81">
        <v>2149.2199999999998</v>
      </c>
      <c r="H341" s="64"/>
      <c r="I341" s="64"/>
    </row>
    <row r="342" spans="1:9" ht="15.75" hidden="1" customHeight="1">
      <c r="A342" s="64"/>
      <c r="B342" s="64"/>
      <c r="C342" s="64"/>
      <c r="D342" s="64"/>
      <c r="E342" s="64" t="s">
        <v>81</v>
      </c>
      <c r="F342" s="64"/>
      <c r="G342" s="81">
        <v>0</v>
      </c>
      <c r="H342" s="64"/>
      <c r="I342" s="64"/>
    </row>
    <row r="343" spans="1:9" ht="15.75" hidden="1" customHeight="1">
      <c r="A343" s="64"/>
      <c r="B343" s="177">
        <v>45880</v>
      </c>
      <c r="C343" s="64">
        <v>0</v>
      </c>
      <c r="D343" s="64">
        <v>13105</v>
      </c>
      <c r="E343" s="64" t="s">
        <v>80</v>
      </c>
      <c r="F343" s="178">
        <v>81104</v>
      </c>
      <c r="G343" s="81">
        <v>163.34</v>
      </c>
      <c r="H343" s="64"/>
      <c r="I343" s="64"/>
    </row>
    <row r="344" spans="1:9" ht="15.75" hidden="1" customHeight="1">
      <c r="A344" s="64"/>
      <c r="B344" s="64"/>
      <c r="C344" s="64"/>
      <c r="D344" s="64"/>
      <c r="E344" s="64" t="s">
        <v>81</v>
      </c>
      <c r="F344" s="64"/>
      <c r="G344" s="81">
        <v>0</v>
      </c>
      <c r="H344" s="64"/>
      <c r="I344" s="64"/>
    </row>
    <row r="345" spans="1:9" ht="15.75" hidden="1" customHeight="1">
      <c r="A345" s="64"/>
      <c r="B345" s="177">
        <v>45880</v>
      </c>
      <c r="C345" s="64">
        <v>0</v>
      </c>
      <c r="D345" s="64">
        <v>13105</v>
      </c>
      <c r="E345" s="64" t="s">
        <v>80</v>
      </c>
      <c r="F345" s="178">
        <v>81105</v>
      </c>
      <c r="G345" s="81">
        <v>1260.3499999999999</v>
      </c>
      <c r="H345" s="64"/>
      <c r="I345" s="64"/>
    </row>
    <row r="346" spans="1:9" ht="15.75" hidden="1" customHeight="1">
      <c r="A346" s="64"/>
      <c r="B346" s="64"/>
      <c r="C346" s="64"/>
      <c r="D346" s="64"/>
      <c r="E346" s="64" t="s">
        <v>81</v>
      </c>
      <c r="F346" s="64"/>
      <c r="G346" s="81">
        <v>0</v>
      </c>
      <c r="H346" s="64"/>
      <c r="I346" s="64"/>
    </row>
    <row r="347" spans="1:9" ht="15.75" hidden="1" customHeight="1">
      <c r="A347" s="64"/>
      <c r="B347" s="177">
        <v>45880</v>
      </c>
      <c r="C347" s="64">
        <v>0</v>
      </c>
      <c r="D347" s="64">
        <v>13105</v>
      </c>
      <c r="E347" s="64" t="s">
        <v>80</v>
      </c>
      <c r="F347" s="178">
        <v>81106</v>
      </c>
      <c r="G347" s="81">
        <v>642.57000000000005</v>
      </c>
      <c r="H347" s="64"/>
      <c r="I347" s="64"/>
    </row>
    <row r="348" spans="1:9" ht="15.75" hidden="1" customHeight="1">
      <c r="A348" s="64"/>
      <c r="B348" s="64"/>
      <c r="C348" s="64"/>
      <c r="D348" s="64"/>
      <c r="E348" s="64" t="s">
        <v>81</v>
      </c>
      <c r="F348" s="64"/>
      <c r="G348" s="81">
        <v>0</v>
      </c>
      <c r="H348" s="64"/>
      <c r="I348" s="64"/>
    </row>
    <row r="349" spans="1:9" ht="15.75" hidden="1" customHeight="1">
      <c r="A349" s="64"/>
      <c r="B349" s="177">
        <v>45880</v>
      </c>
      <c r="C349" s="64">
        <v>0</v>
      </c>
      <c r="D349" s="64">
        <v>13105</v>
      </c>
      <c r="E349" s="64" t="s">
        <v>31</v>
      </c>
      <c r="F349" s="178">
        <v>81107</v>
      </c>
      <c r="G349" s="81">
        <v>5916.66</v>
      </c>
      <c r="H349" s="64"/>
      <c r="I349" s="64"/>
    </row>
    <row r="350" spans="1:9" ht="15.75" hidden="1" customHeight="1">
      <c r="A350" s="64"/>
      <c r="B350" s="64"/>
      <c r="C350" s="64"/>
      <c r="D350" s="64"/>
      <c r="E350" s="64" t="s">
        <v>32</v>
      </c>
      <c r="F350" s="64"/>
      <c r="G350" s="81">
        <v>0</v>
      </c>
      <c r="H350" s="64"/>
      <c r="I350" s="64"/>
    </row>
    <row r="351" spans="1:9" ht="15.75" hidden="1" customHeight="1">
      <c r="A351" s="64"/>
      <c r="B351" s="177">
        <v>45880</v>
      </c>
      <c r="C351" s="64">
        <v>0</v>
      </c>
      <c r="D351" s="64">
        <v>13105</v>
      </c>
      <c r="E351" s="64" t="s">
        <v>31</v>
      </c>
      <c r="F351" s="178">
        <v>81108</v>
      </c>
      <c r="G351" s="81">
        <v>4890</v>
      </c>
      <c r="H351" s="64"/>
      <c r="I351" s="64"/>
    </row>
    <row r="352" spans="1:9" ht="15.75" hidden="1" customHeight="1">
      <c r="A352" s="64"/>
      <c r="B352" s="64"/>
      <c r="C352" s="64"/>
      <c r="D352" s="64"/>
      <c r="E352" s="64" t="s">
        <v>32</v>
      </c>
      <c r="F352" s="64"/>
      <c r="G352" s="81">
        <v>0</v>
      </c>
      <c r="H352" s="64"/>
      <c r="I352" s="64"/>
    </row>
    <row r="353" spans="1:9" ht="15.75" hidden="1" customHeight="1">
      <c r="A353" s="64"/>
      <c r="B353" s="177">
        <v>45880</v>
      </c>
      <c r="C353" s="64">
        <v>0</v>
      </c>
      <c r="D353" s="64">
        <v>13013</v>
      </c>
      <c r="E353" s="64" t="s">
        <v>87</v>
      </c>
      <c r="F353" s="178">
        <v>46301</v>
      </c>
      <c r="G353" s="81">
        <v>54.12</v>
      </c>
      <c r="H353" s="64"/>
      <c r="I353" s="64"/>
    </row>
    <row r="354" spans="1:9" ht="15.75" hidden="1" customHeight="1">
      <c r="A354" s="64"/>
      <c r="B354" s="64"/>
      <c r="C354" s="64"/>
      <c r="D354" s="64"/>
      <c r="E354" s="64" t="s">
        <v>88</v>
      </c>
      <c r="F354" s="64"/>
      <c r="G354" s="81">
        <v>0</v>
      </c>
      <c r="H354" s="64"/>
      <c r="I354" s="64"/>
    </row>
    <row r="355" spans="1:9" ht="15.75" hidden="1" customHeight="1">
      <c r="A355" s="64"/>
      <c r="B355" s="177">
        <v>45880</v>
      </c>
      <c r="C355" s="64">
        <v>0</v>
      </c>
      <c r="D355" s="64">
        <v>0</v>
      </c>
      <c r="E355" s="64" t="s">
        <v>52</v>
      </c>
      <c r="F355" s="178">
        <v>9903</v>
      </c>
      <c r="G355" s="81">
        <v>1768.1</v>
      </c>
      <c r="H355" s="64"/>
      <c r="I355" s="64"/>
    </row>
    <row r="356" spans="1:9" ht="15.75" hidden="1" customHeight="1">
      <c r="A356" s="64"/>
      <c r="B356" s="64"/>
      <c r="C356" s="64"/>
      <c r="D356" s="64"/>
      <c r="E356" s="64" t="s">
        <v>53</v>
      </c>
      <c r="F356" s="64"/>
      <c r="G356" s="81">
        <v>0</v>
      </c>
      <c r="H356" s="64"/>
      <c r="I356" s="64"/>
    </row>
    <row r="357" spans="1:9" ht="15.75" hidden="1" customHeight="1">
      <c r="A357" s="64"/>
      <c r="B357" s="177">
        <v>45881</v>
      </c>
      <c r="C357" s="64">
        <v>1134</v>
      </c>
      <c r="D357" s="64">
        <v>99015</v>
      </c>
      <c r="E357" s="64" t="s">
        <v>27</v>
      </c>
      <c r="F357" s="178">
        <v>551134000008249</v>
      </c>
      <c r="G357" s="81">
        <v>1631.7</v>
      </c>
      <c r="H357" s="64"/>
      <c r="I357" s="64"/>
    </row>
    <row r="358" spans="1:9" ht="15.75" hidden="1" customHeight="1">
      <c r="A358" s="64"/>
      <c r="B358" s="64"/>
      <c r="C358" s="64"/>
      <c r="D358" s="64"/>
      <c r="E358" s="64" t="s">
        <v>1118</v>
      </c>
      <c r="F358" s="64"/>
      <c r="G358" s="81">
        <v>0</v>
      </c>
      <c r="H358" s="64"/>
      <c r="I358" s="64"/>
    </row>
    <row r="359" spans="1:9" ht="15.75" hidden="1" customHeight="1">
      <c r="A359" s="64"/>
      <c r="B359" s="177">
        <v>45881</v>
      </c>
      <c r="C359" s="64">
        <v>128</v>
      </c>
      <c r="D359" s="64">
        <v>99021</v>
      </c>
      <c r="E359" s="64" t="s">
        <v>27</v>
      </c>
      <c r="F359" s="178">
        <v>610128000064860</v>
      </c>
      <c r="G359" s="81">
        <v>10000</v>
      </c>
      <c r="H359" s="64"/>
      <c r="I359" s="64"/>
    </row>
    <row r="360" spans="1:9" ht="15.75" hidden="1" customHeight="1">
      <c r="A360" s="64"/>
      <c r="B360" s="64"/>
      <c r="C360" s="64"/>
      <c r="D360" s="64"/>
      <c r="E360" s="64" t="s">
        <v>1119</v>
      </c>
      <c r="F360" s="64"/>
      <c r="G360" s="81">
        <v>0</v>
      </c>
      <c r="H360" s="64"/>
      <c r="I360" s="64"/>
    </row>
    <row r="361" spans="1:9" ht="15.75" hidden="1" customHeight="1">
      <c r="A361" s="64"/>
      <c r="B361" s="177">
        <v>45881</v>
      </c>
      <c r="C361" s="64">
        <v>0</v>
      </c>
      <c r="D361" s="64">
        <v>14175</v>
      </c>
      <c r="E361" s="64" t="s">
        <v>62</v>
      </c>
      <c r="F361" s="178">
        <v>390911472</v>
      </c>
      <c r="G361" s="81">
        <v>1500</v>
      </c>
      <c r="H361" s="64"/>
      <c r="I361" s="64"/>
    </row>
    <row r="362" spans="1:9" ht="15.75" hidden="1" customHeight="1">
      <c r="A362" s="64"/>
      <c r="B362" s="64"/>
      <c r="C362" s="64"/>
      <c r="D362" s="64"/>
      <c r="E362" s="64" t="s">
        <v>97</v>
      </c>
      <c r="F362" s="64"/>
      <c r="G362" s="81">
        <v>0</v>
      </c>
      <c r="H362" s="64"/>
      <c r="I362" s="64"/>
    </row>
    <row r="363" spans="1:9" ht="15.75" hidden="1" customHeight="1">
      <c r="A363" s="64"/>
      <c r="B363" s="177">
        <v>45881</v>
      </c>
      <c r="C363" s="64">
        <v>0</v>
      </c>
      <c r="D363" s="64">
        <v>14397</v>
      </c>
      <c r="E363" s="64" t="s">
        <v>57</v>
      </c>
      <c r="F363" s="178">
        <v>121259492735521</v>
      </c>
      <c r="G363" s="81">
        <v>2451.73</v>
      </c>
      <c r="H363" s="64"/>
      <c r="I363" s="64"/>
    </row>
    <row r="364" spans="1:9" ht="15.75" hidden="1" customHeight="1">
      <c r="A364" s="64"/>
      <c r="B364" s="64"/>
      <c r="C364" s="64"/>
      <c r="D364" s="64"/>
      <c r="E364" s="64" t="s">
        <v>1120</v>
      </c>
      <c r="F364" s="64"/>
      <c r="G364" s="81">
        <v>0</v>
      </c>
      <c r="H364" s="64"/>
      <c r="I364" s="64"/>
    </row>
    <row r="365" spans="1:9" ht="15.75" hidden="1" customHeight="1">
      <c r="A365" s="64"/>
      <c r="B365" s="177">
        <v>45881</v>
      </c>
      <c r="C365" s="64">
        <v>0</v>
      </c>
      <c r="D365" s="64">
        <v>14397</v>
      </c>
      <c r="E365" s="64" t="s">
        <v>57</v>
      </c>
      <c r="F365" s="178">
        <v>121521258618511</v>
      </c>
      <c r="G365" s="81">
        <v>10000</v>
      </c>
      <c r="H365" s="64"/>
      <c r="I365" s="64"/>
    </row>
    <row r="366" spans="1:9" ht="15.75" hidden="1" customHeight="1">
      <c r="A366" s="64"/>
      <c r="B366" s="64"/>
      <c r="C366" s="64"/>
      <c r="D366" s="64"/>
      <c r="E366" s="64" t="s">
        <v>1121</v>
      </c>
      <c r="F366" s="64"/>
      <c r="G366" s="81">
        <v>0</v>
      </c>
      <c r="H366" s="64"/>
      <c r="I366" s="64"/>
    </row>
    <row r="367" spans="1:9" ht="15.75" customHeight="1">
      <c r="A367" s="179" t="s">
        <v>140</v>
      </c>
      <c r="B367" s="177">
        <v>45881</v>
      </c>
      <c r="C367" s="64">
        <v>0</v>
      </c>
      <c r="D367" s="64">
        <v>14138</v>
      </c>
      <c r="E367" s="64" t="s">
        <v>141</v>
      </c>
      <c r="F367" s="178">
        <v>202508110071283</v>
      </c>
      <c r="G367" s="81">
        <v>687.39</v>
      </c>
      <c r="H367" s="64" t="s">
        <v>1122</v>
      </c>
      <c r="I367" s="64" t="s">
        <v>419</v>
      </c>
    </row>
    <row r="368" spans="1:9" ht="15.75" hidden="1" customHeight="1">
      <c r="A368" s="64"/>
      <c r="B368" s="64"/>
      <c r="C368" s="64"/>
      <c r="D368" s="64"/>
      <c r="E368" s="64" t="s">
        <v>143</v>
      </c>
      <c r="F368" s="64"/>
      <c r="G368" s="81">
        <v>0</v>
      </c>
      <c r="H368" s="64"/>
      <c r="I368" s="64"/>
    </row>
    <row r="369" spans="1:9" ht="15.75" hidden="1" customHeight="1">
      <c r="A369" s="64"/>
      <c r="B369" s="177">
        <v>45881</v>
      </c>
      <c r="C369" s="64">
        <v>1533</v>
      </c>
      <c r="D369" s="64">
        <v>99008</v>
      </c>
      <c r="E369" s="64" t="s">
        <v>29</v>
      </c>
      <c r="F369" s="178">
        <v>30424</v>
      </c>
      <c r="G369" s="81">
        <v>40</v>
      </c>
      <c r="H369" s="64"/>
      <c r="I369" s="64"/>
    </row>
    <row r="370" spans="1:9" ht="15.75" hidden="1" customHeight="1">
      <c r="A370" s="64"/>
      <c r="B370" s="64"/>
      <c r="C370" s="64"/>
      <c r="D370" s="64"/>
      <c r="E370" s="64" t="s">
        <v>1123</v>
      </c>
      <c r="F370" s="64"/>
      <c r="G370" s="81">
        <v>0</v>
      </c>
      <c r="H370" s="64"/>
      <c r="I370" s="64"/>
    </row>
    <row r="371" spans="1:9" ht="15.75" hidden="1" customHeight="1">
      <c r="A371" s="64"/>
      <c r="B371" s="177">
        <v>45881</v>
      </c>
      <c r="C371" s="64">
        <v>1533</v>
      </c>
      <c r="D371" s="64">
        <v>99008</v>
      </c>
      <c r="E371" s="64" t="s">
        <v>29</v>
      </c>
      <c r="F371" s="178">
        <v>918041</v>
      </c>
      <c r="G371" s="81">
        <v>163.19999999999999</v>
      </c>
      <c r="H371" s="64"/>
      <c r="I371" s="64"/>
    </row>
    <row r="372" spans="1:9" ht="15.75" hidden="1" customHeight="1">
      <c r="A372" s="64"/>
      <c r="B372" s="64"/>
      <c r="C372" s="64"/>
      <c r="D372" s="64"/>
      <c r="E372" s="64" t="s">
        <v>1124</v>
      </c>
      <c r="F372" s="64"/>
      <c r="G372" s="81">
        <v>0</v>
      </c>
      <c r="H372" s="64"/>
      <c r="I372" s="64"/>
    </row>
    <row r="373" spans="1:9" ht="15.75" hidden="1" customHeight="1">
      <c r="A373" s="64"/>
      <c r="B373" s="177">
        <v>45881</v>
      </c>
      <c r="C373" s="64">
        <v>0</v>
      </c>
      <c r="D373" s="64">
        <v>13105</v>
      </c>
      <c r="E373" s="64" t="s">
        <v>123</v>
      </c>
      <c r="F373" s="178">
        <v>81201</v>
      </c>
      <c r="G373" s="81">
        <v>176.16</v>
      </c>
      <c r="H373" s="64"/>
      <c r="I373" s="64"/>
    </row>
    <row r="374" spans="1:9" ht="15.75" hidden="1" customHeight="1">
      <c r="A374" s="64"/>
      <c r="B374" s="64"/>
      <c r="C374" s="64"/>
      <c r="D374" s="64"/>
      <c r="E374" s="64" t="s">
        <v>124</v>
      </c>
      <c r="F374" s="64"/>
      <c r="G374" s="81">
        <v>0</v>
      </c>
      <c r="H374" s="64"/>
      <c r="I374" s="64"/>
    </row>
    <row r="375" spans="1:9" ht="15.75" hidden="1" customHeight="1">
      <c r="A375" s="64"/>
      <c r="B375" s="177">
        <v>45881</v>
      </c>
      <c r="C375" s="64">
        <v>0</v>
      </c>
      <c r="D375" s="64">
        <v>13105</v>
      </c>
      <c r="E375" s="64" t="s">
        <v>31</v>
      </c>
      <c r="F375" s="178">
        <v>81202</v>
      </c>
      <c r="G375" s="81">
        <v>1991.13</v>
      </c>
      <c r="H375" s="64"/>
      <c r="I375" s="64"/>
    </row>
    <row r="376" spans="1:9" ht="15.75" hidden="1" customHeight="1">
      <c r="A376" s="64"/>
      <c r="B376" s="64"/>
      <c r="C376" s="64"/>
      <c r="D376" s="64"/>
      <c r="E376" s="64" t="s">
        <v>65</v>
      </c>
      <c r="F376" s="64"/>
      <c r="G376" s="81">
        <v>0</v>
      </c>
      <c r="H376" s="64"/>
      <c r="I376" s="64"/>
    </row>
    <row r="377" spans="1:9" ht="15.75" hidden="1" customHeight="1">
      <c r="A377" s="64"/>
      <c r="B377" s="177">
        <v>45881</v>
      </c>
      <c r="C377" s="64">
        <v>0</v>
      </c>
      <c r="D377" s="64">
        <v>13105</v>
      </c>
      <c r="E377" s="64" t="s">
        <v>31</v>
      </c>
      <c r="F377" s="178">
        <v>81203</v>
      </c>
      <c r="G377" s="81">
        <v>480.8</v>
      </c>
      <c r="H377" s="64"/>
      <c r="I377" s="64"/>
    </row>
    <row r="378" spans="1:9" ht="15.75" hidden="1" customHeight="1">
      <c r="A378" s="64"/>
      <c r="B378" s="64"/>
      <c r="C378" s="64"/>
      <c r="D378" s="64"/>
      <c r="E378" s="64" t="s">
        <v>45</v>
      </c>
      <c r="F378" s="64"/>
      <c r="G378" s="81">
        <v>0</v>
      </c>
      <c r="H378" s="64"/>
      <c r="I378" s="64"/>
    </row>
    <row r="379" spans="1:9" ht="15.75" hidden="1" customHeight="1">
      <c r="A379" s="64"/>
      <c r="B379" s="177">
        <v>45881</v>
      </c>
      <c r="C379" s="64">
        <v>0</v>
      </c>
      <c r="D379" s="64">
        <v>13105</v>
      </c>
      <c r="E379" s="64" t="s">
        <v>31</v>
      </c>
      <c r="F379" s="178">
        <v>81204</v>
      </c>
      <c r="G379" s="81">
        <v>340.13</v>
      </c>
      <c r="H379" s="64"/>
      <c r="I379" s="64"/>
    </row>
    <row r="380" spans="1:9" ht="15.75" hidden="1" customHeight="1">
      <c r="A380" s="64"/>
      <c r="B380" s="64"/>
      <c r="C380" s="64"/>
      <c r="D380" s="64"/>
      <c r="E380" s="64" t="s">
        <v>45</v>
      </c>
      <c r="F380" s="64"/>
      <c r="G380" s="81">
        <v>0</v>
      </c>
      <c r="H380" s="64"/>
      <c r="I380" s="64"/>
    </row>
    <row r="381" spans="1:9" ht="15.75" hidden="1" customHeight="1">
      <c r="A381" s="64"/>
      <c r="B381" s="177">
        <v>45881</v>
      </c>
      <c r="C381" s="64">
        <v>0</v>
      </c>
      <c r="D381" s="64">
        <v>13105</v>
      </c>
      <c r="E381" s="64" t="s">
        <v>31</v>
      </c>
      <c r="F381" s="178">
        <v>81205</v>
      </c>
      <c r="G381" s="81">
        <v>657.36</v>
      </c>
      <c r="H381" s="64"/>
      <c r="I381" s="64"/>
    </row>
    <row r="382" spans="1:9" ht="15.75" hidden="1" customHeight="1">
      <c r="A382" s="64"/>
      <c r="B382" s="64"/>
      <c r="C382" s="64"/>
      <c r="D382" s="64"/>
      <c r="E382" s="64" t="s">
        <v>46</v>
      </c>
      <c r="F382" s="64"/>
      <c r="G382" s="81">
        <v>0</v>
      </c>
      <c r="H382" s="64"/>
      <c r="I382" s="64"/>
    </row>
    <row r="383" spans="1:9" ht="15.75" hidden="1" customHeight="1">
      <c r="A383" s="64"/>
      <c r="B383" s="177">
        <v>45881</v>
      </c>
      <c r="C383" s="64">
        <v>0</v>
      </c>
      <c r="D383" s="64">
        <v>13105</v>
      </c>
      <c r="E383" s="64" t="s">
        <v>31</v>
      </c>
      <c r="F383" s="178">
        <v>81206</v>
      </c>
      <c r="G383" s="81">
        <v>1238.27</v>
      </c>
      <c r="H383" s="64"/>
      <c r="I383" s="64"/>
    </row>
    <row r="384" spans="1:9" ht="15.75" hidden="1" customHeight="1">
      <c r="A384" s="64"/>
      <c r="B384" s="64"/>
      <c r="C384" s="64"/>
      <c r="D384" s="64"/>
      <c r="E384" s="64" t="s">
        <v>1125</v>
      </c>
      <c r="F384" s="64"/>
      <c r="G384" s="81">
        <v>0</v>
      </c>
      <c r="H384" s="64"/>
      <c r="I384" s="64"/>
    </row>
    <row r="385" spans="1:9" ht="15.75" hidden="1" customHeight="1">
      <c r="A385" s="64"/>
      <c r="B385" s="177">
        <v>45881</v>
      </c>
      <c r="C385" s="64">
        <v>0</v>
      </c>
      <c r="D385" s="64">
        <v>13105</v>
      </c>
      <c r="E385" s="64" t="s">
        <v>31</v>
      </c>
      <c r="F385" s="178">
        <v>81208</v>
      </c>
      <c r="G385" s="81">
        <v>113.24</v>
      </c>
      <c r="H385" s="64"/>
      <c r="I385" s="64"/>
    </row>
    <row r="386" spans="1:9" ht="15.75" hidden="1" customHeight="1">
      <c r="A386" s="64"/>
      <c r="B386" s="64"/>
      <c r="C386" s="64"/>
      <c r="D386" s="64"/>
      <c r="E386" s="64" t="s">
        <v>126</v>
      </c>
      <c r="F386" s="64"/>
      <c r="G386" s="81">
        <v>0</v>
      </c>
      <c r="H386" s="64"/>
      <c r="I386" s="64"/>
    </row>
    <row r="387" spans="1:9" ht="15.75" hidden="1" customHeight="1">
      <c r="A387" s="64"/>
      <c r="B387" s="177">
        <v>45881</v>
      </c>
      <c r="C387" s="64">
        <v>0</v>
      </c>
      <c r="D387" s="64">
        <v>13105</v>
      </c>
      <c r="E387" s="64" t="s">
        <v>31</v>
      </c>
      <c r="F387" s="178">
        <v>81209</v>
      </c>
      <c r="G387" s="81">
        <v>105.26</v>
      </c>
      <c r="H387" s="64"/>
      <c r="I387" s="64"/>
    </row>
    <row r="388" spans="1:9" ht="15.75" hidden="1" customHeight="1">
      <c r="A388" s="64"/>
      <c r="B388" s="64"/>
      <c r="C388" s="64"/>
      <c r="D388" s="64"/>
      <c r="E388" s="64" t="s">
        <v>126</v>
      </c>
      <c r="F388" s="64"/>
      <c r="G388" s="81">
        <v>0</v>
      </c>
      <c r="H388" s="64"/>
      <c r="I388" s="64"/>
    </row>
    <row r="389" spans="1:9" ht="15.75" hidden="1" customHeight="1">
      <c r="A389" s="64"/>
      <c r="B389" s="177">
        <v>45881</v>
      </c>
      <c r="C389" s="64">
        <v>0</v>
      </c>
      <c r="D389" s="64">
        <v>13105</v>
      </c>
      <c r="E389" s="64" t="s">
        <v>31</v>
      </c>
      <c r="F389" s="178">
        <v>81210</v>
      </c>
      <c r="G389" s="81">
        <v>234.79</v>
      </c>
      <c r="H389" s="64"/>
      <c r="I389" s="64"/>
    </row>
    <row r="390" spans="1:9" ht="15.75" hidden="1" customHeight="1">
      <c r="A390" s="64"/>
      <c r="B390" s="64"/>
      <c r="C390" s="64"/>
      <c r="D390" s="64"/>
      <c r="E390" s="64" t="s">
        <v>111</v>
      </c>
      <c r="F390" s="64"/>
      <c r="G390" s="81">
        <v>0</v>
      </c>
      <c r="H390" s="64"/>
      <c r="I390" s="64"/>
    </row>
    <row r="391" spans="1:9" ht="15.75" hidden="1" customHeight="1">
      <c r="A391" s="64"/>
      <c r="B391" s="177">
        <v>45881</v>
      </c>
      <c r="C391" s="64">
        <v>0</v>
      </c>
      <c r="D391" s="64">
        <v>13105</v>
      </c>
      <c r="E391" s="64" t="s">
        <v>31</v>
      </c>
      <c r="F391" s="178">
        <v>81211</v>
      </c>
      <c r="G391" s="81">
        <v>231.11</v>
      </c>
      <c r="H391" s="64"/>
      <c r="I391" s="64"/>
    </row>
    <row r="392" spans="1:9" ht="15.75" hidden="1" customHeight="1">
      <c r="A392" s="64"/>
      <c r="B392" s="64"/>
      <c r="C392" s="64"/>
      <c r="D392" s="64"/>
      <c r="E392" s="64" t="s">
        <v>111</v>
      </c>
      <c r="F392" s="64"/>
      <c r="G392" s="81">
        <v>0</v>
      </c>
      <c r="H392" s="64"/>
      <c r="I392" s="64"/>
    </row>
    <row r="393" spans="1:9" ht="15.75" hidden="1" customHeight="1">
      <c r="A393" s="64"/>
      <c r="B393" s="177">
        <v>45881</v>
      </c>
      <c r="C393" s="64">
        <v>0</v>
      </c>
      <c r="D393" s="64">
        <v>13105</v>
      </c>
      <c r="E393" s="64" t="s">
        <v>31</v>
      </c>
      <c r="F393" s="178">
        <v>81212</v>
      </c>
      <c r="G393" s="81">
        <v>654.16999999999996</v>
      </c>
      <c r="H393" s="64"/>
      <c r="I393" s="64"/>
    </row>
    <row r="394" spans="1:9" ht="15.75" hidden="1" customHeight="1">
      <c r="A394" s="64"/>
      <c r="B394" s="64"/>
      <c r="C394" s="64"/>
      <c r="D394" s="64"/>
      <c r="E394" s="64" t="s">
        <v>498</v>
      </c>
      <c r="F394" s="64"/>
      <c r="G394" s="81">
        <v>0</v>
      </c>
      <c r="H394" s="64"/>
      <c r="I394" s="64"/>
    </row>
    <row r="395" spans="1:9" ht="15.75" hidden="1" customHeight="1">
      <c r="A395" s="64"/>
      <c r="B395" s="177">
        <v>45881</v>
      </c>
      <c r="C395" s="64">
        <v>0</v>
      </c>
      <c r="D395" s="64">
        <v>13105</v>
      </c>
      <c r="E395" s="64" t="s">
        <v>31</v>
      </c>
      <c r="F395" s="178">
        <v>81213</v>
      </c>
      <c r="G395" s="81">
        <v>117.48</v>
      </c>
      <c r="H395" s="64"/>
      <c r="I395" s="64"/>
    </row>
    <row r="396" spans="1:9" ht="15.75" hidden="1" customHeight="1">
      <c r="A396" s="64"/>
      <c r="B396" s="64"/>
      <c r="C396" s="64"/>
      <c r="D396" s="64"/>
      <c r="E396" s="64" t="s">
        <v>51</v>
      </c>
      <c r="F396" s="64"/>
      <c r="G396" s="81">
        <v>0</v>
      </c>
      <c r="H396" s="64"/>
      <c r="I396" s="64"/>
    </row>
    <row r="397" spans="1:9" ht="15.75" hidden="1" customHeight="1">
      <c r="A397" s="64"/>
      <c r="B397" s="177">
        <v>45881</v>
      </c>
      <c r="C397" s="64">
        <v>0</v>
      </c>
      <c r="D397" s="64">
        <v>0</v>
      </c>
      <c r="E397" s="64" t="s">
        <v>59</v>
      </c>
      <c r="F397" s="178">
        <v>9903</v>
      </c>
      <c r="G397" s="81">
        <v>19727.72</v>
      </c>
      <c r="H397" s="64"/>
      <c r="I397" s="64"/>
    </row>
    <row r="398" spans="1:9" ht="15.75" hidden="1" customHeight="1">
      <c r="A398" s="64"/>
      <c r="B398" s="64"/>
      <c r="C398" s="64"/>
      <c r="D398" s="64"/>
      <c r="E398" s="64" t="s">
        <v>53</v>
      </c>
      <c r="F398" s="64"/>
      <c r="G398" s="81">
        <v>0</v>
      </c>
      <c r="H398" s="64"/>
      <c r="I398" s="64"/>
    </row>
    <row r="399" spans="1:9" ht="15.75" hidden="1" customHeight="1">
      <c r="A399" s="64"/>
      <c r="B399" s="177">
        <v>45882</v>
      </c>
      <c r="C399" s="64">
        <v>2210</v>
      </c>
      <c r="D399" s="64">
        <v>74307</v>
      </c>
      <c r="E399" s="64" t="s">
        <v>431</v>
      </c>
      <c r="F399" s="178">
        <v>221074307113145</v>
      </c>
      <c r="G399" s="81">
        <v>1950</v>
      </c>
      <c r="H399" s="64"/>
      <c r="I399" s="64"/>
    </row>
    <row r="400" spans="1:9" ht="15.75" hidden="1" customHeight="1">
      <c r="A400" s="64"/>
      <c r="B400" s="64"/>
      <c r="C400" s="64"/>
      <c r="D400" s="64"/>
      <c r="E400" s="64" t="s">
        <v>1126</v>
      </c>
      <c r="F400" s="64"/>
      <c r="G400" s="81">
        <v>0</v>
      </c>
      <c r="H400" s="64"/>
      <c r="I400" s="64"/>
    </row>
    <row r="401" spans="1:9" ht="15.75" hidden="1" customHeight="1">
      <c r="A401" s="64"/>
      <c r="B401" s="177">
        <v>45882</v>
      </c>
      <c r="C401" s="64">
        <v>2210</v>
      </c>
      <c r="D401" s="64">
        <v>74307</v>
      </c>
      <c r="E401" s="64" t="s">
        <v>431</v>
      </c>
      <c r="F401" s="178">
        <v>221074307113232</v>
      </c>
      <c r="G401" s="81">
        <v>2000</v>
      </c>
      <c r="H401" s="64"/>
      <c r="I401" s="64"/>
    </row>
    <row r="402" spans="1:9" ht="15.75" hidden="1" customHeight="1">
      <c r="A402" s="64"/>
      <c r="B402" s="64"/>
      <c r="C402" s="64"/>
      <c r="D402" s="64"/>
      <c r="E402" s="64" t="s">
        <v>1127</v>
      </c>
      <c r="F402" s="64"/>
      <c r="G402" s="81">
        <v>0</v>
      </c>
      <c r="H402" s="64"/>
      <c r="I402" s="64"/>
    </row>
    <row r="403" spans="1:9" ht="15.75" hidden="1" customHeight="1">
      <c r="A403" s="64"/>
      <c r="B403" s="177">
        <v>45882</v>
      </c>
      <c r="C403" s="64">
        <v>2210</v>
      </c>
      <c r="D403" s="64">
        <v>74307</v>
      </c>
      <c r="E403" s="64" t="s">
        <v>431</v>
      </c>
      <c r="F403" s="178">
        <v>221074307113348</v>
      </c>
      <c r="G403" s="81">
        <v>1950</v>
      </c>
      <c r="H403" s="64"/>
      <c r="I403" s="64"/>
    </row>
    <row r="404" spans="1:9" ht="15.75" hidden="1" customHeight="1">
      <c r="A404" s="64"/>
      <c r="B404" s="64"/>
      <c r="C404" s="64"/>
      <c r="D404" s="64"/>
      <c r="E404" s="64" t="s">
        <v>1128</v>
      </c>
      <c r="F404" s="64"/>
      <c r="G404" s="81">
        <v>0</v>
      </c>
      <c r="H404" s="64"/>
      <c r="I404" s="64"/>
    </row>
    <row r="405" spans="1:9" ht="15.75" hidden="1" customHeight="1">
      <c r="A405" s="64"/>
      <c r="B405" s="177">
        <v>45882</v>
      </c>
      <c r="C405" s="64">
        <v>2210</v>
      </c>
      <c r="D405" s="64">
        <v>74307</v>
      </c>
      <c r="E405" s="64" t="s">
        <v>431</v>
      </c>
      <c r="F405" s="178">
        <v>221074307113456</v>
      </c>
      <c r="G405" s="81">
        <v>1900</v>
      </c>
      <c r="H405" s="64"/>
      <c r="I405" s="64"/>
    </row>
    <row r="406" spans="1:9" ht="15.75" hidden="1" customHeight="1">
      <c r="A406" s="64"/>
      <c r="B406" s="64"/>
      <c r="C406" s="64"/>
      <c r="D406" s="64"/>
      <c r="E406" s="64" t="s">
        <v>1129</v>
      </c>
      <c r="F406" s="64"/>
      <c r="G406" s="81">
        <v>0</v>
      </c>
      <c r="H406" s="64"/>
      <c r="I406" s="64"/>
    </row>
    <row r="407" spans="1:9" ht="15.75" hidden="1" customHeight="1">
      <c r="A407" s="64"/>
      <c r="B407" s="177">
        <v>45882</v>
      </c>
      <c r="C407" s="64">
        <v>2210</v>
      </c>
      <c r="D407" s="64">
        <v>74307</v>
      </c>
      <c r="E407" s="64" t="s">
        <v>431</v>
      </c>
      <c r="F407" s="178">
        <v>221074307113541</v>
      </c>
      <c r="G407" s="81">
        <v>2000</v>
      </c>
      <c r="H407" s="64"/>
      <c r="I407" s="64"/>
    </row>
    <row r="408" spans="1:9" ht="15.75" hidden="1" customHeight="1">
      <c r="A408" s="64"/>
      <c r="B408" s="64"/>
      <c r="C408" s="64"/>
      <c r="D408" s="64"/>
      <c r="E408" s="64" t="s">
        <v>1130</v>
      </c>
      <c r="F408" s="64"/>
      <c r="G408" s="81">
        <v>0</v>
      </c>
      <c r="H408" s="64"/>
      <c r="I408" s="64"/>
    </row>
    <row r="409" spans="1:9" ht="15.75" hidden="1" customHeight="1">
      <c r="A409" s="64"/>
      <c r="B409" s="177">
        <v>45882</v>
      </c>
      <c r="C409" s="64">
        <v>2210</v>
      </c>
      <c r="D409" s="64">
        <v>74307</v>
      </c>
      <c r="E409" s="64" t="s">
        <v>431</v>
      </c>
      <c r="F409" s="178">
        <v>221074307113626</v>
      </c>
      <c r="G409" s="81">
        <v>200</v>
      </c>
      <c r="H409" s="64"/>
      <c r="I409" s="64"/>
    </row>
    <row r="410" spans="1:9" ht="15.75" hidden="1" customHeight="1">
      <c r="A410" s="64"/>
      <c r="B410" s="64"/>
      <c r="C410" s="64"/>
      <c r="D410" s="64"/>
      <c r="E410" s="64" t="s">
        <v>1131</v>
      </c>
      <c r="F410" s="64"/>
      <c r="G410" s="81">
        <v>0</v>
      </c>
      <c r="H410" s="64"/>
      <c r="I410" s="64"/>
    </row>
    <row r="411" spans="1:9" ht="15.75" customHeight="1">
      <c r="A411" s="179" t="s">
        <v>140</v>
      </c>
      <c r="B411" s="177">
        <v>45882</v>
      </c>
      <c r="C411" s="64">
        <v>0</v>
      </c>
      <c r="D411" s="64">
        <v>14138</v>
      </c>
      <c r="E411" s="64" t="s">
        <v>141</v>
      </c>
      <c r="F411" s="178">
        <v>202508120011139</v>
      </c>
      <c r="G411" s="81">
        <v>3362.94</v>
      </c>
      <c r="H411" s="79" t="s">
        <v>1132</v>
      </c>
      <c r="I411" s="64" t="s">
        <v>711</v>
      </c>
    </row>
    <row r="412" spans="1:9" ht="15.75" hidden="1" customHeight="1">
      <c r="A412" s="64"/>
      <c r="B412" s="64"/>
      <c r="C412" s="64"/>
      <c r="D412" s="64"/>
      <c r="E412" s="64" t="s">
        <v>143</v>
      </c>
      <c r="F412" s="64"/>
      <c r="G412" s="81">
        <v>0</v>
      </c>
      <c r="H412" s="64"/>
      <c r="I412" s="64"/>
    </row>
    <row r="413" spans="1:9" ht="15.75" customHeight="1">
      <c r="A413" s="179" t="s">
        <v>140</v>
      </c>
      <c r="B413" s="177">
        <v>45882</v>
      </c>
      <c r="C413" s="64">
        <v>0</v>
      </c>
      <c r="D413" s="64">
        <v>14138</v>
      </c>
      <c r="E413" s="64" t="s">
        <v>141</v>
      </c>
      <c r="F413" s="178">
        <v>202508120011141</v>
      </c>
      <c r="G413" s="81">
        <v>1232.8399999999999</v>
      </c>
      <c r="H413" s="79" t="s">
        <v>1133</v>
      </c>
      <c r="I413" s="79" t="s">
        <v>711</v>
      </c>
    </row>
    <row r="414" spans="1:9" ht="15.75" hidden="1" customHeight="1">
      <c r="A414" s="64"/>
      <c r="B414" s="64"/>
      <c r="C414" s="64"/>
      <c r="D414" s="64"/>
      <c r="E414" s="64" t="s">
        <v>143</v>
      </c>
      <c r="F414" s="64"/>
      <c r="G414" s="81">
        <v>0</v>
      </c>
      <c r="H414" s="64"/>
      <c r="I414" s="64"/>
    </row>
    <row r="415" spans="1:9" ht="15.75" hidden="1" customHeight="1">
      <c r="A415" s="64"/>
      <c r="B415" s="177">
        <v>45882</v>
      </c>
      <c r="C415" s="64">
        <v>1533</v>
      </c>
      <c r="D415" s="64">
        <v>99008</v>
      </c>
      <c r="E415" s="64" t="s">
        <v>29</v>
      </c>
      <c r="F415" s="178">
        <v>142766</v>
      </c>
      <c r="G415" s="81">
        <v>100</v>
      </c>
      <c r="H415" s="64"/>
      <c r="I415" s="64"/>
    </row>
    <row r="416" spans="1:9" ht="15.75" hidden="1" customHeight="1">
      <c r="A416" s="64"/>
      <c r="B416" s="64"/>
      <c r="C416" s="64"/>
      <c r="D416" s="64"/>
      <c r="E416" s="64" t="s">
        <v>1134</v>
      </c>
      <c r="F416" s="64"/>
      <c r="G416" s="81">
        <v>0</v>
      </c>
      <c r="H416" s="64"/>
      <c r="I416" s="64"/>
    </row>
    <row r="417" spans="1:9" ht="15.75" hidden="1" customHeight="1">
      <c r="A417" s="64"/>
      <c r="B417" s="177">
        <v>45882</v>
      </c>
      <c r="C417" s="64">
        <v>1533</v>
      </c>
      <c r="D417" s="64">
        <v>99008</v>
      </c>
      <c r="E417" s="64" t="s">
        <v>29</v>
      </c>
      <c r="F417" s="178">
        <v>386777</v>
      </c>
      <c r="G417" s="81">
        <v>26</v>
      </c>
      <c r="H417" s="64"/>
      <c r="I417" s="64"/>
    </row>
    <row r="418" spans="1:9" ht="15.75" hidden="1" customHeight="1">
      <c r="A418" s="64"/>
      <c r="B418" s="64"/>
      <c r="C418" s="64"/>
      <c r="D418" s="64"/>
      <c r="E418" s="64" t="s">
        <v>1135</v>
      </c>
      <c r="F418" s="64"/>
      <c r="G418" s="81">
        <v>0</v>
      </c>
      <c r="H418" s="64"/>
      <c r="I418" s="64"/>
    </row>
    <row r="419" spans="1:9" ht="15.75" hidden="1" customHeight="1">
      <c r="A419" s="64"/>
      <c r="B419" s="177">
        <v>45882</v>
      </c>
      <c r="C419" s="64">
        <v>1533</v>
      </c>
      <c r="D419" s="64">
        <v>99008</v>
      </c>
      <c r="E419" s="64" t="s">
        <v>29</v>
      </c>
      <c r="F419" s="178">
        <v>506116</v>
      </c>
      <c r="G419" s="81">
        <v>208.52</v>
      </c>
      <c r="H419" s="64"/>
      <c r="I419" s="64"/>
    </row>
    <row r="420" spans="1:9" ht="15.75" hidden="1" customHeight="1">
      <c r="A420" s="64"/>
      <c r="B420" s="64"/>
      <c r="C420" s="64"/>
      <c r="D420" s="64"/>
      <c r="E420" s="64" t="s">
        <v>1136</v>
      </c>
      <c r="F420" s="64"/>
      <c r="G420" s="81">
        <v>0</v>
      </c>
      <c r="H420" s="64"/>
      <c r="I420" s="64"/>
    </row>
    <row r="421" spans="1:9" ht="15.75" hidden="1" customHeight="1">
      <c r="A421" s="64"/>
      <c r="B421" s="177">
        <v>45882</v>
      </c>
      <c r="C421" s="64">
        <v>0</v>
      </c>
      <c r="D421" s="64">
        <v>13105</v>
      </c>
      <c r="E421" s="64" t="s">
        <v>31</v>
      </c>
      <c r="F421" s="178">
        <v>81301</v>
      </c>
      <c r="G421" s="81">
        <v>3204.6</v>
      </c>
      <c r="H421" s="64"/>
      <c r="I421" s="64"/>
    </row>
    <row r="422" spans="1:9" ht="15.75" hidden="1" customHeight="1">
      <c r="A422" s="64"/>
      <c r="B422" s="64"/>
      <c r="C422" s="64"/>
      <c r="D422" s="64"/>
      <c r="E422" s="64" t="s">
        <v>66</v>
      </c>
      <c r="F422" s="64"/>
      <c r="G422" s="81">
        <v>0</v>
      </c>
      <c r="H422" s="64"/>
      <c r="I422" s="64"/>
    </row>
    <row r="423" spans="1:9" ht="15.75" hidden="1" customHeight="1">
      <c r="A423" s="64"/>
      <c r="B423" s="177">
        <v>45882</v>
      </c>
      <c r="C423" s="64">
        <v>0</v>
      </c>
      <c r="D423" s="64">
        <v>13105</v>
      </c>
      <c r="E423" s="64" t="s">
        <v>80</v>
      </c>
      <c r="F423" s="178">
        <v>81302</v>
      </c>
      <c r="G423" s="81">
        <v>50.12</v>
      </c>
      <c r="H423" s="64"/>
      <c r="I423" s="64"/>
    </row>
    <row r="424" spans="1:9" ht="15.75" hidden="1" customHeight="1">
      <c r="A424" s="64"/>
      <c r="B424" s="64"/>
      <c r="C424" s="64"/>
      <c r="D424" s="64"/>
      <c r="E424" s="64" t="s">
        <v>81</v>
      </c>
      <c r="F424" s="64"/>
      <c r="G424" s="81">
        <v>0</v>
      </c>
      <c r="H424" s="64"/>
      <c r="I424" s="64"/>
    </row>
    <row r="425" spans="1:9" ht="15.75" hidden="1" customHeight="1">
      <c r="A425" s="64"/>
      <c r="B425" s="177">
        <v>45882</v>
      </c>
      <c r="C425" s="64">
        <v>0</v>
      </c>
      <c r="D425" s="64">
        <v>13105</v>
      </c>
      <c r="E425" s="64" t="s">
        <v>31</v>
      </c>
      <c r="F425" s="178">
        <v>81303</v>
      </c>
      <c r="G425" s="81">
        <v>828.86</v>
      </c>
      <c r="H425" s="64"/>
      <c r="I425" s="64"/>
    </row>
    <row r="426" spans="1:9" ht="15.75" hidden="1" customHeight="1">
      <c r="A426" s="64"/>
      <c r="B426" s="64"/>
      <c r="C426" s="64"/>
      <c r="D426" s="64"/>
      <c r="E426" s="64" t="s">
        <v>66</v>
      </c>
      <c r="F426" s="64"/>
      <c r="G426" s="81">
        <v>0</v>
      </c>
      <c r="H426" s="64"/>
      <c r="I426" s="64"/>
    </row>
    <row r="427" spans="1:9" ht="15.75" hidden="1" customHeight="1">
      <c r="A427" s="64"/>
      <c r="B427" s="177">
        <v>45882</v>
      </c>
      <c r="C427" s="64">
        <v>0</v>
      </c>
      <c r="D427" s="64">
        <v>13105</v>
      </c>
      <c r="E427" s="64" t="s">
        <v>31</v>
      </c>
      <c r="F427" s="178">
        <v>81304</v>
      </c>
      <c r="G427" s="81">
        <v>2388</v>
      </c>
      <c r="H427" s="64"/>
      <c r="I427" s="64"/>
    </row>
    <row r="428" spans="1:9" ht="15.75" hidden="1" customHeight="1">
      <c r="A428" s="64"/>
      <c r="B428" s="64"/>
      <c r="C428" s="64"/>
      <c r="D428" s="64"/>
      <c r="E428" s="64" t="s">
        <v>32</v>
      </c>
      <c r="F428" s="64"/>
      <c r="G428" s="81">
        <v>0</v>
      </c>
      <c r="H428" s="64"/>
      <c r="I428" s="64"/>
    </row>
    <row r="429" spans="1:9" ht="15.75" hidden="1" customHeight="1">
      <c r="A429" s="64"/>
      <c r="B429" s="177">
        <v>45882</v>
      </c>
      <c r="C429" s="64">
        <v>0</v>
      </c>
      <c r="D429" s="64">
        <v>13105</v>
      </c>
      <c r="E429" s="64" t="s">
        <v>31</v>
      </c>
      <c r="F429" s="178">
        <v>81305</v>
      </c>
      <c r="G429" s="81">
        <v>4001.12</v>
      </c>
      <c r="H429" s="64"/>
      <c r="I429" s="64"/>
    </row>
    <row r="430" spans="1:9" ht="15.75" hidden="1" customHeight="1">
      <c r="A430" s="64"/>
      <c r="B430" s="64"/>
      <c r="C430" s="64"/>
      <c r="D430" s="64"/>
      <c r="E430" s="64" t="s">
        <v>32</v>
      </c>
      <c r="F430" s="64"/>
      <c r="G430" s="81">
        <v>0</v>
      </c>
      <c r="H430" s="64"/>
      <c r="I430" s="64"/>
    </row>
    <row r="431" spans="1:9" ht="15.75" hidden="1" customHeight="1">
      <c r="A431" s="64"/>
      <c r="B431" s="177">
        <v>45882</v>
      </c>
      <c r="C431" s="64">
        <v>0</v>
      </c>
      <c r="D431" s="64">
        <v>13105</v>
      </c>
      <c r="E431" s="64" t="s">
        <v>31</v>
      </c>
      <c r="F431" s="178">
        <v>81306</v>
      </c>
      <c r="G431" s="81">
        <v>402.5</v>
      </c>
      <c r="H431" s="64"/>
      <c r="I431" s="64"/>
    </row>
    <row r="432" spans="1:9" ht="15.75" hidden="1" customHeight="1">
      <c r="A432" s="64"/>
      <c r="B432" s="64"/>
      <c r="C432" s="64"/>
      <c r="D432" s="64"/>
      <c r="E432" s="64" t="s">
        <v>180</v>
      </c>
      <c r="F432" s="64"/>
      <c r="G432" s="81">
        <v>0</v>
      </c>
      <c r="H432" s="64"/>
      <c r="I432" s="64"/>
    </row>
    <row r="433" spans="1:9" ht="15.75" hidden="1" customHeight="1">
      <c r="A433" s="64"/>
      <c r="B433" s="177">
        <v>45882</v>
      </c>
      <c r="C433" s="64">
        <v>0</v>
      </c>
      <c r="D433" s="64">
        <v>13105</v>
      </c>
      <c r="E433" s="64" t="s">
        <v>31</v>
      </c>
      <c r="F433" s="178">
        <v>81307</v>
      </c>
      <c r="G433" s="81">
        <v>545.09</v>
      </c>
      <c r="H433" s="64"/>
      <c r="I433" s="64"/>
    </row>
    <row r="434" spans="1:9" ht="15.75" hidden="1" customHeight="1">
      <c r="A434" s="64"/>
      <c r="B434" s="64"/>
      <c r="C434" s="64"/>
      <c r="D434" s="64"/>
      <c r="E434" s="64" t="s">
        <v>46</v>
      </c>
      <c r="F434" s="64"/>
      <c r="G434" s="81">
        <v>0</v>
      </c>
      <c r="H434" s="64"/>
      <c r="I434" s="64"/>
    </row>
    <row r="435" spans="1:9" ht="15.75" hidden="1" customHeight="1">
      <c r="A435" s="64"/>
      <c r="B435" s="177">
        <v>45882</v>
      </c>
      <c r="C435" s="64">
        <v>0</v>
      </c>
      <c r="D435" s="64">
        <v>13105</v>
      </c>
      <c r="E435" s="64" t="s">
        <v>31</v>
      </c>
      <c r="F435" s="178">
        <v>81308</v>
      </c>
      <c r="G435" s="81">
        <v>269.95999999999998</v>
      </c>
      <c r="H435" s="64"/>
      <c r="I435" s="64"/>
    </row>
    <row r="436" spans="1:9" ht="15.75" hidden="1" customHeight="1">
      <c r="A436" s="64"/>
      <c r="B436" s="64"/>
      <c r="C436" s="64"/>
      <c r="D436" s="64"/>
      <c r="E436" s="64" t="s">
        <v>45</v>
      </c>
      <c r="F436" s="64"/>
      <c r="G436" s="81">
        <v>0</v>
      </c>
      <c r="H436" s="64"/>
      <c r="I436" s="64"/>
    </row>
    <row r="437" spans="1:9" ht="15.75" hidden="1" customHeight="1">
      <c r="A437" s="64"/>
      <c r="B437" s="177">
        <v>45882</v>
      </c>
      <c r="C437" s="64">
        <v>0</v>
      </c>
      <c r="D437" s="64">
        <v>13105</v>
      </c>
      <c r="E437" s="64" t="s">
        <v>31</v>
      </c>
      <c r="F437" s="178">
        <v>81309</v>
      </c>
      <c r="G437" s="81">
        <v>178.52</v>
      </c>
      <c r="H437" s="64"/>
      <c r="I437" s="64"/>
    </row>
    <row r="438" spans="1:9" ht="15.75" hidden="1" customHeight="1">
      <c r="A438" s="64"/>
      <c r="B438" s="64"/>
      <c r="C438" s="64"/>
      <c r="D438" s="64"/>
      <c r="E438" s="64" t="s">
        <v>762</v>
      </c>
      <c r="F438" s="64"/>
      <c r="G438" s="81">
        <v>0</v>
      </c>
      <c r="H438" s="64"/>
      <c r="I438" s="64"/>
    </row>
    <row r="439" spans="1:9" ht="15.75" hidden="1" customHeight="1">
      <c r="A439" s="64"/>
      <c r="B439" s="177">
        <v>45882</v>
      </c>
      <c r="C439" s="64">
        <v>0</v>
      </c>
      <c r="D439" s="64">
        <v>13105</v>
      </c>
      <c r="E439" s="64" t="s">
        <v>80</v>
      </c>
      <c r="F439" s="178">
        <v>81310</v>
      </c>
      <c r="G439" s="81">
        <v>47.46</v>
      </c>
      <c r="H439" s="64"/>
      <c r="I439" s="64"/>
    </row>
    <row r="440" spans="1:9" ht="15.75" hidden="1" customHeight="1">
      <c r="A440" s="64"/>
      <c r="B440" s="64"/>
      <c r="C440" s="64"/>
      <c r="D440" s="64"/>
      <c r="E440" s="64" t="s">
        <v>81</v>
      </c>
      <c r="F440" s="64"/>
      <c r="G440" s="81">
        <v>0</v>
      </c>
      <c r="H440" s="64"/>
      <c r="I440" s="64"/>
    </row>
    <row r="441" spans="1:9" ht="15.75" hidden="1" customHeight="1">
      <c r="A441" s="64"/>
      <c r="B441" s="177">
        <v>45882</v>
      </c>
      <c r="C441" s="64">
        <v>0</v>
      </c>
      <c r="D441" s="64">
        <v>0</v>
      </c>
      <c r="E441" s="64" t="s">
        <v>59</v>
      </c>
      <c r="F441" s="178">
        <v>9903</v>
      </c>
      <c r="G441" s="81">
        <v>2345.0300000000002</v>
      </c>
      <c r="H441" s="64"/>
      <c r="I441" s="64"/>
    </row>
    <row r="442" spans="1:9" ht="15.75" hidden="1" customHeight="1">
      <c r="A442" s="64"/>
      <c r="B442" s="64"/>
      <c r="C442" s="64"/>
      <c r="D442" s="64"/>
      <c r="E442" s="64" t="s">
        <v>53</v>
      </c>
      <c r="F442" s="64"/>
      <c r="G442" s="81">
        <v>0</v>
      </c>
      <c r="H442" s="64"/>
      <c r="I442" s="64"/>
    </row>
    <row r="443" spans="1:9" ht="15.75" hidden="1" customHeight="1">
      <c r="A443" s="64"/>
      <c r="B443" s="177">
        <v>45883</v>
      </c>
      <c r="C443" s="64">
        <v>0</v>
      </c>
      <c r="D443" s="64">
        <v>14397</v>
      </c>
      <c r="E443" s="64" t="s">
        <v>57</v>
      </c>
      <c r="F443" s="178">
        <v>141541168454281</v>
      </c>
      <c r="G443" s="81">
        <v>510</v>
      </c>
      <c r="H443" s="64"/>
      <c r="I443" s="64"/>
    </row>
    <row r="444" spans="1:9" ht="15.75" hidden="1" customHeight="1">
      <c r="A444" s="64"/>
      <c r="B444" s="64"/>
      <c r="C444" s="64"/>
      <c r="D444" s="64"/>
      <c r="E444" s="64" t="s">
        <v>1137</v>
      </c>
      <c r="F444" s="64"/>
      <c r="G444" s="81">
        <v>0</v>
      </c>
      <c r="H444" s="64"/>
      <c r="I444" s="64"/>
    </row>
    <row r="445" spans="1:9" ht="15.75" customHeight="1">
      <c r="A445" s="179" t="s">
        <v>140</v>
      </c>
      <c r="B445" s="177">
        <v>45883</v>
      </c>
      <c r="C445" s="64">
        <v>0</v>
      </c>
      <c r="D445" s="64">
        <v>14138</v>
      </c>
      <c r="E445" s="64" t="s">
        <v>141</v>
      </c>
      <c r="F445" s="178">
        <v>202508130004572</v>
      </c>
      <c r="G445" s="81">
        <v>666.78</v>
      </c>
      <c r="H445" s="64" t="s">
        <v>1138</v>
      </c>
      <c r="I445" s="64" t="s">
        <v>419</v>
      </c>
    </row>
    <row r="446" spans="1:9" ht="15.75" hidden="1" customHeight="1">
      <c r="A446" s="64"/>
      <c r="B446" s="64"/>
      <c r="C446" s="64"/>
      <c r="D446" s="64"/>
      <c r="E446" s="64" t="s">
        <v>143</v>
      </c>
      <c r="F446" s="64"/>
      <c r="G446" s="81">
        <v>0</v>
      </c>
      <c r="H446" s="64"/>
      <c r="I446" s="64"/>
    </row>
    <row r="447" spans="1:9" ht="15.75" customHeight="1">
      <c r="A447" s="179" t="s">
        <v>140</v>
      </c>
      <c r="B447" s="177">
        <v>45883</v>
      </c>
      <c r="C447" s="64">
        <v>0</v>
      </c>
      <c r="D447" s="64">
        <v>14138</v>
      </c>
      <c r="E447" s="64" t="s">
        <v>141</v>
      </c>
      <c r="F447" s="178">
        <v>202508130004574</v>
      </c>
      <c r="G447" s="81">
        <v>609.28</v>
      </c>
      <c r="H447" s="64" t="s">
        <v>1139</v>
      </c>
      <c r="I447" s="64" t="s">
        <v>419</v>
      </c>
    </row>
    <row r="448" spans="1:9" ht="15.75" hidden="1" customHeight="1">
      <c r="A448" s="64"/>
      <c r="B448" s="64"/>
      <c r="C448" s="64"/>
      <c r="D448" s="64"/>
      <c r="E448" s="64" t="s">
        <v>143</v>
      </c>
      <c r="F448" s="64"/>
      <c r="G448" s="81">
        <v>0</v>
      </c>
      <c r="H448" s="64"/>
      <c r="I448" s="64"/>
    </row>
    <row r="449" spans="1:9" ht="15.75" hidden="1" customHeight="1">
      <c r="A449" s="64"/>
      <c r="B449" s="177">
        <v>45883</v>
      </c>
      <c r="C449" s="64">
        <v>1533</v>
      </c>
      <c r="D449" s="64">
        <v>99008</v>
      </c>
      <c r="E449" s="64" t="s">
        <v>29</v>
      </c>
      <c r="F449" s="178">
        <v>904769</v>
      </c>
      <c r="G449" s="81">
        <v>234.29</v>
      </c>
      <c r="H449" s="64"/>
      <c r="I449" s="64"/>
    </row>
    <row r="450" spans="1:9" ht="15.75" hidden="1" customHeight="1">
      <c r="A450" s="64"/>
      <c r="B450" s="64"/>
      <c r="C450" s="64"/>
      <c r="D450" s="64"/>
      <c r="E450" s="64" t="s">
        <v>1140</v>
      </c>
      <c r="F450" s="64"/>
      <c r="G450" s="81">
        <v>0</v>
      </c>
      <c r="H450" s="64"/>
      <c r="I450" s="64"/>
    </row>
    <row r="451" spans="1:9" ht="15.75" hidden="1" customHeight="1">
      <c r="A451" s="64"/>
      <c r="B451" s="177">
        <v>45883</v>
      </c>
      <c r="C451" s="64">
        <v>1533</v>
      </c>
      <c r="D451" s="64">
        <v>99008</v>
      </c>
      <c r="E451" s="64" t="s">
        <v>29</v>
      </c>
      <c r="F451" s="178">
        <v>949689</v>
      </c>
      <c r="G451" s="81">
        <v>212.29</v>
      </c>
      <c r="H451" s="64"/>
      <c r="I451" s="64"/>
    </row>
    <row r="452" spans="1:9" ht="15.75" hidden="1" customHeight="1">
      <c r="A452" s="64"/>
      <c r="B452" s="64"/>
      <c r="C452" s="64"/>
      <c r="D452" s="64"/>
      <c r="E452" s="64" t="s">
        <v>1141</v>
      </c>
      <c r="F452" s="64"/>
      <c r="G452" s="81">
        <v>0</v>
      </c>
      <c r="H452" s="64"/>
      <c r="I452" s="64"/>
    </row>
    <row r="453" spans="1:9" ht="15.75" hidden="1" customHeight="1">
      <c r="A453" s="64"/>
      <c r="B453" s="177">
        <v>45883</v>
      </c>
      <c r="C453" s="64">
        <v>0</v>
      </c>
      <c r="D453" s="64">
        <v>13105</v>
      </c>
      <c r="E453" s="64" t="s">
        <v>31</v>
      </c>
      <c r="F453" s="178">
        <v>81401</v>
      </c>
      <c r="G453" s="81">
        <v>286.51</v>
      </c>
      <c r="H453" s="64"/>
      <c r="I453" s="64"/>
    </row>
    <row r="454" spans="1:9" ht="15.75" hidden="1" customHeight="1">
      <c r="A454" s="64"/>
      <c r="B454" s="64"/>
      <c r="C454" s="64"/>
      <c r="D454" s="64"/>
      <c r="E454" s="64" t="s">
        <v>439</v>
      </c>
      <c r="F454" s="64"/>
      <c r="G454" s="81">
        <v>0</v>
      </c>
      <c r="H454" s="64"/>
      <c r="I454" s="64"/>
    </row>
    <row r="455" spans="1:9" ht="15.75" hidden="1" customHeight="1">
      <c r="A455" s="64"/>
      <c r="B455" s="177">
        <v>45883</v>
      </c>
      <c r="C455" s="64">
        <v>0</v>
      </c>
      <c r="D455" s="64">
        <v>13105</v>
      </c>
      <c r="E455" s="64" t="s">
        <v>31</v>
      </c>
      <c r="F455" s="178">
        <v>81402</v>
      </c>
      <c r="G455" s="81">
        <v>7191.26</v>
      </c>
      <c r="H455" s="64"/>
      <c r="I455" s="64"/>
    </row>
    <row r="456" spans="1:9" ht="15.75" hidden="1" customHeight="1">
      <c r="A456" s="64"/>
      <c r="B456" s="64"/>
      <c r="C456" s="64"/>
      <c r="D456" s="64"/>
      <c r="E456" s="64" t="s">
        <v>441</v>
      </c>
      <c r="F456" s="64"/>
      <c r="G456" s="81">
        <v>0</v>
      </c>
      <c r="H456" s="64"/>
      <c r="I456" s="64"/>
    </row>
    <row r="457" spans="1:9" ht="15.75" hidden="1" customHeight="1">
      <c r="A457" s="64"/>
      <c r="B457" s="177">
        <v>45883</v>
      </c>
      <c r="C457" s="64">
        <v>0</v>
      </c>
      <c r="D457" s="64">
        <v>13105</v>
      </c>
      <c r="E457" s="64" t="s">
        <v>31</v>
      </c>
      <c r="F457" s="178">
        <v>81403</v>
      </c>
      <c r="G457" s="81">
        <v>1666.67</v>
      </c>
      <c r="H457" s="64"/>
      <c r="I457" s="64"/>
    </row>
    <row r="458" spans="1:9" ht="15.75" hidden="1" customHeight="1">
      <c r="A458" s="64"/>
      <c r="B458" s="64"/>
      <c r="C458" s="64"/>
      <c r="D458" s="64"/>
      <c r="E458" s="64" t="s">
        <v>32</v>
      </c>
      <c r="F458" s="64"/>
      <c r="G458" s="81">
        <v>0</v>
      </c>
      <c r="H458" s="64"/>
      <c r="I458" s="64"/>
    </row>
    <row r="459" spans="1:9" ht="15.75" hidden="1" customHeight="1">
      <c r="A459" s="64"/>
      <c r="B459" s="177">
        <v>45883</v>
      </c>
      <c r="C459" s="64">
        <v>0</v>
      </c>
      <c r="D459" s="64">
        <v>13105</v>
      </c>
      <c r="E459" s="64" t="s">
        <v>31</v>
      </c>
      <c r="F459" s="178">
        <v>81404</v>
      </c>
      <c r="G459" s="81">
        <v>452.88</v>
      </c>
      <c r="H459" s="64"/>
      <c r="I459" s="64"/>
    </row>
    <row r="460" spans="1:9" ht="15.75" hidden="1" customHeight="1">
      <c r="A460" s="64"/>
      <c r="B460" s="64"/>
      <c r="C460" s="64"/>
      <c r="D460" s="64"/>
      <c r="E460" s="64" t="s">
        <v>41</v>
      </c>
      <c r="F460" s="64"/>
      <c r="G460" s="81">
        <v>0</v>
      </c>
      <c r="H460" s="64"/>
      <c r="I460" s="64"/>
    </row>
    <row r="461" spans="1:9" ht="15.75" hidden="1" customHeight="1">
      <c r="A461" s="64"/>
      <c r="B461" s="177">
        <v>45883</v>
      </c>
      <c r="C461" s="64">
        <v>0</v>
      </c>
      <c r="D461" s="64">
        <v>13105</v>
      </c>
      <c r="E461" s="64" t="s">
        <v>31</v>
      </c>
      <c r="F461" s="178">
        <v>81405</v>
      </c>
      <c r="G461" s="81">
        <v>690.54</v>
      </c>
      <c r="H461" s="64"/>
      <c r="I461" s="64"/>
    </row>
    <row r="462" spans="1:9" ht="15.75" hidden="1" customHeight="1">
      <c r="A462" s="64"/>
      <c r="B462" s="64"/>
      <c r="C462" s="64"/>
      <c r="D462" s="64"/>
      <c r="E462" s="64" t="s">
        <v>46</v>
      </c>
      <c r="F462" s="64"/>
      <c r="G462" s="81">
        <v>0</v>
      </c>
      <c r="H462" s="64"/>
      <c r="I462" s="64"/>
    </row>
    <row r="463" spans="1:9" ht="15.75" hidden="1" customHeight="1">
      <c r="A463" s="64"/>
      <c r="B463" s="177">
        <v>45883</v>
      </c>
      <c r="C463" s="64">
        <v>0</v>
      </c>
      <c r="D463" s="64">
        <v>13105</v>
      </c>
      <c r="E463" s="64" t="s">
        <v>31</v>
      </c>
      <c r="F463" s="178">
        <v>81406</v>
      </c>
      <c r="G463" s="81">
        <v>134.16</v>
      </c>
      <c r="H463" s="64"/>
      <c r="I463" s="64"/>
    </row>
    <row r="464" spans="1:9" ht="15.75" hidden="1" customHeight="1">
      <c r="A464" s="64"/>
      <c r="B464" s="64"/>
      <c r="C464" s="64"/>
      <c r="D464" s="64"/>
      <c r="E464" s="64" t="s">
        <v>46</v>
      </c>
      <c r="F464" s="64"/>
      <c r="G464" s="81">
        <v>0</v>
      </c>
      <c r="H464" s="64"/>
      <c r="I464" s="64"/>
    </row>
    <row r="465" spans="1:10" ht="15.75" hidden="1" customHeight="1">
      <c r="A465" s="64"/>
      <c r="B465" s="177">
        <v>45883</v>
      </c>
      <c r="C465" s="64">
        <v>0</v>
      </c>
      <c r="D465" s="64">
        <v>13105</v>
      </c>
      <c r="E465" s="64" t="s">
        <v>31</v>
      </c>
      <c r="F465" s="178">
        <v>81407</v>
      </c>
      <c r="G465" s="81">
        <v>198.21</v>
      </c>
      <c r="H465" s="64"/>
      <c r="I465" s="64"/>
    </row>
    <row r="466" spans="1:10" ht="15.75" hidden="1" customHeight="1">
      <c r="A466" s="64"/>
      <c r="B466" s="64"/>
      <c r="C466" s="64"/>
      <c r="D466" s="64"/>
      <c r="E466" s="64" t="s">
        <v>111</v>
      </c>
      <c r="F466" s="64"/>
      <c r="G466" s="81">
        <v>0</v>
      </c>
      <c r="H466" s="64"/>
      <c r="I466" s="64"/>
    </row>
    <row r="467" spans="1:10" ht="15.75" hidden="1" customHeight="1">
      <c r="A467" s="64"/>
      <c r="B467" s="177">
        <v>45883</v>
      </c>
      <c r="C467" s="64">
        <v>0</v>
      </c>
      <c r="D467" s="64">
        <v>13105</v>
      </c>
      <c r="E467" s="64" t="s">
        <v>31</v>
      </c>
      <c r="F467" s="178">
        <v>81408</v>
      </c>
      <c r="G467" s="81">
        <v>208.3</v>
      </c>
      <c r="H467" s="64"/>
      <c r="I467" s="64"/>
    </row>
    <row r="468" spans="1:10" ht="15.75" hidden="1" customHeight="1">
      <c r="A468" s="64"/>
      <c r="B468" s="64"/>
      <c r="C468" s="64"/>
      <c r="D468" s="64"/>
      <c r="E468" s="64" t="s">
        <v>111</v>
      </c>
      <c r="F468" s="64"/>
      <c r="G468" s="81">
        <v>0</v>
      </c>
      <c r="H468" s="64"/>
      <c r="I468" s="64"/>
    </row>
    <row r="469" spans="1:10" ht="15.75" hidden="1" customHeight="1">
      <c r="A469" s="64"/>
      <c r="B469" s="177">
        <v>45883</v>
      </c>
      <c r="C469" s="64">
        <v>0</v>
      </c>
      <c r="D469" s="64">
        <v>0</v>
      </c>
      <c r="E469" s="64" t="s">
        <v>52</v>
      </c>
      <c r="F469" s="178">
        <v>9903</v>
      </c>
      <c r="G469" s="81">
        <v>9489.0499999999993</v>
      </c>
      <c r="H469" s="64"/>
      <c r="I469" s="64"/>
    </row>
    <row r="470" spans="1:10" ht="15.75" hidden="1" customHeight="1">
      <c r="A470" s="64"/>
      <c r="B470" s="64"/>
      <c r="C470" s="64"/>
      <c r="D470" s="64"/>
      <c r="E470" s="64" t="s">
        <v>53</v>
      </c>
      <c r="F470" s="64"/>
      <c r="G470" s="81">
        <v>0</v>
      </c>
      <c r="H470" s="64"/>
      <c r="I470" s="64"/>
    </row>
    <row r="471" spans="1:10" ht="15.75" hidden="1" customHeight="1">
      <c r="A471" s="64"/>
      <c r="B471" s="177">
        <v>45884</v>
      </c>
      <c r="C471" s="64">
        <v>0</v>
      </c>
      <c r="D471" s="64">
        <v>14175</v>
      </c>
      <c r="E471" s="64" t="s">
        <v>62</v>
      </c>
      <c r="F471" s="178">
        <v>391272928</v>
      </c>
      <c r="G471" s="81">
        <v>7500</v>
      </c>
      <c r="H471" s="64"/>
      <c r="I471" s="64"/>
    </row>
    <row r="472" spans="1:10" ht="15.75" hidden="1" customHeight="1">
      <c r="A472" s="64"/>
      <c r="B472" s="64"/>
      <c r="C472" s="64"/>
      <c r="D472" s="64"/>
      <c r="E472" s="64" t="s">
        <v>97</v>
      </c>
      <c r="F472" s="64"/>
      <c r="G472" s="81">
        <v>0</v>
      </c>
      <c r="H472" s="64"/>
      <c r="I472" s="64"/>
    </row>
    <row r="473" spans="1:10" ht="15.75" customHeight="1">
      <c r="A473" s="179" t="s">
        <v>140</v>
      </c>
      <c r="B473" s="177">
        <v>45884</v>
      </c>
      <c r="C473" s="64">
        <v>0</v>
      </c>
      <c r="D473" s="64">
        <v>14138</v>
      </c>
      <c r="E473" s="64" t="s">
        <v>141</v>
      </c>
      <c r="F473" s="178">
        <v>202508140034017</v>
      </c>
      <c r="G473" s="81">
        <v>3030.31</v>
      </c>
      <c r="H473" s="64" t="s">
        <v>1142</v>
      </c>
      <c r="I473" s="64" t="s">
        <v>595</v>
      </c>
    </row>
    <row r="474" spans="1:10" ht="15.75" hidden="1" customHeight="1">
      <c r="A474" s="64"/>
      <c r="B474" s="64"/>
      <c r="C474" s="64"/>
      <c r="D474" s="64"/>
      <c r="E474" s="64" t="s">
        <v>143</v>
      </c>
      <c r="F474" s="64"/>
      <c r="G474" s="81">
        <v>0</v>
      </c>
      <c r="H474" s="64"/>
      <c r="I474" s="64"/>
    </row>
    <row r="475" spans="1:10" ht="15.75" customHeight="1">
      <c r="A475" s="179" t="s">
        <v>140</v>
      </c>
      <c r="B475" s="177">
        <v>45884</v>
      </c>
      <c r="C475" s="64">
        <v>0</v>
      </c>
      <c r="D475" s="64">
        <v>14138</v>
      </c>
      <c r="E475" s="64" t="s">
        <v>141</v>
      </c>
      <c r="F475" s="178">
        <v>202508140034019</v>
      </c>
      <c r="G475" s="81">
        <v>3030.31</v>
      </c>
      <c r="H475" s="64" t="s">
        <v>1143</v>
      </c>
      <c r="I475" s="64" t="s">
        <v>595</v>
      </c>
    </row>
    <row r="476" spans="1:10" ht="15.75" hidden="1" customHeight="1">
      <c r="A476" s="64"/>
      <c r="B476" s="64"/>
      <c r="C476" s="64"/>
      <c r="D476" s="64"/>
      <c r="E476" s="64" t="s">
        <v>143</v>
      </c>
      <c r="F476" s="64"/>
      <c r="G476" s="81">
        <v>0</v>
      </c>
      <c r="H476" s="64"/>
      <c r="I476" s="64"/>
    </row>
    <row r="477" spans="1:10" ht="15.75" customHeight="1">
      <c r="A477" s="179" t="s">
        <v>140</v>
      </c>
      <c r="B477" s="177">
        <v>45884</v>
      </c>
      <c r="C477" s="64">
        <v>0</v>
      </c>
      <c r="D477" s="64">
        <v>14138</v>
      </c>
      <c r="E477" s="64" t="s">
        <v>141</v>
      </c>
      <c r="F477" s="178">
        <v>202508140034022</v>
      </c>
      <c r="G477" s="81">
        <v>1476.65</v>
      </c>
      <c r="H477" s="64" t="s">
        <v>1144</v>
      </c>
      <c r="I477" s="64" t="s">
        <v>595</v>
      </c>
      <c r="J477" s="64" t="s">
        <v>1145</v>
      </c>
    </row>
    <row r="478" spans="1:10" ht="15.75" hidden="1" customHeight="1">
      <c r="A478" s="64"/>
      <c r="B478" s="64"/>
      <c r="C478" s="64"/>
      <c r="D478" s="64"/>
      <c r="E478" s="64" t="s">
        <v>143</v>
      </c>
      <c r="F478" s="64"/>
      <c r="G478" s="81">
        <v>0</v>
      </c>
      <c r="H478" s="64"/>
      <c r="I478" s="64"/>
    </row>
    <row r="479" spans="1:10" ht="15.75" customHeight="1">
      <c r="A479" s="173" t="s">
        <v>423</v>
      </c>
      <c r="B479" s="177">
        <v>45884</v>
      </c>
      <c r="C479" s="64">
        <v>0</v>
      </c>
      <c r="D479" s="64">
        <v>14138</v>
      </c>
      <c r="E479" s="64" t="s">
        <v>141</v>
      </c>
      <c r="F479" s="178">
        <v>202508140034025</v>
      </c>
      <c r="G479" s="81">
        <v>1553.66</v>
      </c>
      <c r="H479" s="64" t="s">
        <v>1146</v>
      </c>
      <c r="I479" s="64"/>
      <c r="J479" s="100" t="s">
        <v>1147</v>
      </c>
    </row>
    <row r="480" spans="1:10" ht="15.75" hidden="1" customHeight="1">
      <c r="A480" s="64"/>
      <c r="B480" s="64"/>
      <c r="C480" s="64"/>
      <c r="D480" s="64"/>
      <c r="E480" s="64" t="s">
        <v>143</v>
      </c>
      <c r="F480" s="64"/>
      <c r="G480" s="81">
        <v>0</v>
      </c>
      <c r="H480" s="64"/>
      <c r="I480" s="64"/>
    </row>
    <row r="481" spans="1:9" ht="15.75" customHeight="1">
      <c r="A481" s="179" t="s">
        <v>140</v>
      </c>
      <c r="B481" s="177">
        <v>45884</v>
      </c>
      <c r="C481" s="64">
        <v>0</v>
      </c>
      <c r="D481" s="64">
        <v>14138</v>
      </c>
      <c r="E481" s="64" t="s">
        <v>141</v>
      </c>
      <c r="F481" s="178">
        <v>202508140034028</v>
      </c>
      <c r="G481" s="81">
        <v>1553.66</v>
      </c>
      <c r="H481" s="64" t="s">
        <v>1148</v>
      </c>
      <c r="I481" s="64" t="s">
        <v>595</v>
      </c>
    </row>
    <row r="482" spans="1:9" ht="15.75" hidden="1" customHeight="1">
      <c r="A482" s="64"/>
      <c r="B482" s="64"/>
      <c r="C482" s="64"/>
      <c r="D482" s="64"/>
      <c r="E482" s="64" t="s">
        <v>143</v>
      </c>
      <c r="F482" s="64"/>
      <c r="G482" s="81">
        <v>0</v>
      </c>
      <c r="H482" s="64"/>
      <c r="I482" s="64"/>
    </row>
    <row r="483" spans="1:9" ht="15.75" customHeight="1">
      <c r="A483" s="179" t="s">
        <v>140</v>
      </c>
      <c r="B483" s="177">
        <v>45884</v>
      </c>
      <c r="C483" s="64">
        <v>0</v>
      </c>
      <c r="D483" s="64">
        <v>14138</v>
      </c>
      <c r="E483" s="64" t="s">
        <v>141</v>
      </c>
      <c r="F483" s="178">
        <v>202508140034034</v>
      </c>
      <c r="G483" s="81">
        <v>1476.65</v>
      </c>
      <c r="H483" s="79" t="s">
        <v>1149</v>
      </c>
      <c r="I483" s="64" t="s">
        <v>595</v>
      </c>
    </row>
    <row r="484" spans="1:9" ht="15.75" hidden="1" customHeight="1">
      <c r="A484" s="64"/>
      <c r="B484" s="64"/>
      <c r="C484" s="64"/>
      <c r="D484" s="64"/>
      <c r="E484" s="64" t="s">
        <v>143</v>
      </c>
      <c r="F484" s="64"/>
      <c r="G484" s="81">
        <v>0</v>
      </c>
      <c r="H484" s="64"/>
      <c r="I484" s="64"/>
    </row>
    <row r="485" spans="1:9" ht="15.75" hidden="1" customHeight="1">
      <c r="A485" s="64"/>
      <c r="B485" s="177">
        <v>45884</v>
      </c>
      <c r="C485" s="64">
        <v>0</v>
      </c>
      <c r="D485" s="64">
        <v>13105</v>
      </c>
      <c r="E485" s="64" t="s">
        <v>80</v>
      </c>
      <c r="F485" s="178">
        <v>81501</v>
      </c>
      <c r="G485" s="81">
        <v>19917.939999999999</v>
      </c>
      <c r="H485" s="64"/>
      <c r="I485" s="64"/>
    </row>
    <row r="486" spans="1:9" ht="15.75" hidden="1" customHeight="1">
      <c r="A486" s="64"/>
      <c r="B486" s="64"/>
      <c r="C486" s="64"/>
      <c r="D486" s="64"/>
      <c r="E486" s="64" t="s">
        <v>81</v>
      </c>
      <c r="F486" s="64"/>
      <c r="G486" s="81">
        <v>0</v>
      </c>
      <c r="H486" s="64"/>
      <c r="I486" s="64"/>
    </row>
    <row r="487" spans="1:9" ht="15.75" hidden="1" customHeight="1">
      <c r="A487" s="64"/>
      <c r="B487" s="177">
        <v>45884</v>
      </c>
      <c r="C487" s="64">
        <v>0</v>
      </c>
      <c r="D487" s="64">
        <v>13105</v>
      </c>
      <c r="E487" s="64" t="s">
        <v>31</v>
      </c>
      <c r="F487" s="178">
        <v>81502</v>
      </c>
      <c r="G487" s="81">
        <v>4279.3599999999997</v>
      </c>
      <c r="H487" s="64"/>
      <c r="I487" s="64"/>
    </row>
    <row r="488" spans="1:9" ht="15.75" hidden="1" customHeight="1">
      <c r="A488" s="64"/>
      <c r="B488" s="64"/>
      <c r="C488" s="64"/>
      <c r="D488" s="64"/>
      <c r="E488" s="64" t="s">
        <v>440</v>
      </c>
      <c r="F488" s="64"/>
      <c r="G488" s="81">
        <v>0</v>
      </c>
      <c r="H488" s="64"/>
      <c r="I488" s="64"/>
    </row>
    <row r="489" spans="1:9" ht="15.75" hidden="1" customHeight="1">
      <c r="A489" s="64"/>
      <c r="B489" s="177">
        <v>45884</v>
      </c>
      <c r="C489" s="64">
        <v>0</v>
      </c>
      <c r="D489" s="64">
        <v>13105</v>
      </c>
      <c r="E489" s="64" t="s">
        <v>31</v>
      </c>
      <c r="F489" s="178">
        <v>81503</v>
      </c>
      <c r="G489" s="81">
        <v>3850</v>
      </c>
      <c r="H489" s="64"/>
      <c r="I489" s="64"/>
    </row>
    <row r="490" spans="1:9" ht="15.75" hidden="1" customHeight="1">
      <c r="A490" s="64"/>
      <c r="B490" s="64"/>
      <c r="C490" s="64"/>
      <c r="D490" s="64"/>
      <c r="E490" s="64" t="s">
        <v>1109</v>
      </c>
      <c r="F490" s="64"/>
      <c r="G490" s="81">
        <v>0</v>
      </c>
      <c r="H490" s="64"/>
      <c r="I490" s="64"/>
    </row>
    <row r="491" spans="1:9" ht="15.75" hidden="1" customHeight="1">
      <c r="A491" s="64"/>
      <c r="B491" s="177">
        <v>45884</v>
      </c>
      <c r="C491" s="64">
        <v>0</v>
      </c>
      <c r="D491" s="64">
        <v>13105</v>
      </c>
      <c r="E491" s="64" t="s">
        <v>31</v>
      </c>
      <c r="F491" s="178">
        <v>81504</v>
      </c>
      <c r="G491" s="81">
        <v>371.1</v>
      </c>
      <c r="H491" s="64"/>
      <c r="I491" s="64"/>
    </row>
    <row r="492" spans="1:9" ht="15.75" hidden="1" customHeight="1">
      <c r="A492" s="64"/>
      <c r="B492" s="64"/>
      <c r="C492" s="64"/>
      <c r="D492" s="64"/>
      <c r="E492" s="64" t="s">
        <v>183</v>
      </c>
      <c r="F492" s="64"/>
      <c r="G492" s="81">
        <v>0</v>
      </c>
      <c r="H492" s="64"/>
      <c r="I492" s="64"/>
    </row>
    <row r="493" spans="1:9" ht="15.75" hidden="1" customHeight="1">
      <c r="A493" s="64"/>
      <c r="B493" s="177">
        <v>45884</v>
      </c>
      <c r="C493" s="64">
        <v>0</v>
      </c>
      <c r="D493" s="64">
        <v>13105</v>
      </c>
      <c r="E493" s="64" t="s">
        <v>31</v>
      </c>
      <c r="F493" s="178">
        <v>81505</v>
      </c>
      <c r="G493" s="81">
        <v>199.9</v>
      </c>
      <c r="H493" s="64"/>
      <c r="I493" s="64"/>
    </row>
    <row r="494" spans="1:9" ht="15.75" hidden="1" customHeight="1">
      <c r="A494" s="64"/>
      <c r="B494" s="64"/>
      <c r="C494" s="64"/>
      <c r="D494" s="64"/>
      <c r="E494" s="64" t="s">
        <v>266</v>
      </c>
      <c r="F494" s="64"/>
      <c r="G494" s="81">
        <v>0</v>
      </c>
      <c r="H494" s="64"/>
      <c r="I494" s="64"/>
    </row>
    <row r="495" spans="1:9" ht="15.75" hidden="1" customHeight="1">
      <c r="A495" s="64"/>
      <c r="B495" s="177">
        <v>45884</v>
      </c>
      <c r="C495" s="64">
        <v>0</v>
      </c>
      <c r="D495" s="64">
        <v>13105</v>
      </c>
      <c r="E495" s="64" t="s">
        <v>80</v>
      </c>
      <c r="F495" s="178">
        <v>81506</v>
      </c>
      <c r="G495" s="81">
        <v>1881.35</v>
      </c>
      <c r="H495" s="64"/>
      <c r="I495" s="64"/>
    </row>
    <row r="496" spans="1:9" ht="15.75" hidden="1" customHeight="1">
      <c r="A496" s="64"/>
      <c r="B496" s="64"/>
      <c r="C496" s="64"/>
      <c r="D496" s="64"/>
      <c r="E496" s="64" t="s">
        <v>81</v>
      </c>
      <c r="F496" s="64"/>
      <c r="G496" s="81">
        <v>0</v>
      </c>
      <c r="H496" s="64"/>
      <c r="I496" s="64"/>
    </row>
    <row r="497" spans="1:9" ht="15.75" hidden="1" customHeight="1">
      <c r="A497" s="64"/>
      <c r="B497" s="177">
        <v>45884</v>
      </c>
      <c r="C497" s="64">
        <v>0</v>
      </c>
      <c r="D497" s="64">
        <v>13105</v>
      </c>
      <c r="E497" s="64" t="s">
        <v>80</v>
      </c>
      <c r="F497" s="178">
        <v>81507</v>
      </c>
      <c r="G497" s="81">
        <v>2498.61</v>
      </c>
      <c r="H497" s="64"/>
      <c r="I497" s="64"/>
    </row>
    <row r="498" spans="1:9" ht="15.75" hidden="1" customHeight="1">
      <c r="A498" s="64"/>
      <c r="B498" s="64"/>
      <c r="C498" s="64"/>
      <c r="D498" s="64"/>
      <c r="E498" s="64" t="s">
        <v>81</v>
      </c>
      <c r="F498" s="64"/>
      <c r="G498" s="81">
        <v>0</v>
      </c>
      <c r="H498" s="64"/>
      <c r="I498" s="64"/>
    </row>
    <row r="499" spans="1:9" ht="15.75" hidden="1" customHeight="1">
      <c r="A499" s="64"/>
      <c r="B499" s="177">
        <v>45884</v>
      </c>
      <c r="C499" s="64">
        <v>0</v>
      </c>
      <c r="D499" s="64">
        <v>13105</v>
      </c>
      <c r="E499" s="64" t="s">
        <v>31</v>
      </c>
      <c r="F499" s="178">
        <v>81508</v>
      </c>
      <c r="G499" s="81">
        <v>232.44</v>
      </c>
      <c r="H499" s="64"/>
      <c r="I499" s="64"/>
    </row>
    <row r="500" spans="1:9" ht="15.75" hidden="1" customHeight="1">
      <c r="A500" s="64"/>
      <c r="B500" s="64"/>
      <c r="C500" s="64"/>
      <c r="D500" s="64"/>
      <c r="E500" s="64" t="s">
        <v>340</v>
      </c>
      <c r="F500" s="64"/>
      <c r="G500" s="81">
        <v>0</v>
      </c>
      <c r="H500" s="64"/>
      <c r="I500" s="64"/>
    </row>
    <row r="501" spans="1:9" ht="15.75" hidden="1" customHeight="1">
      <c r="A501" s="64"/>
      <c r="B501" s="177">
        <v>45884</v>
      </c>
      <c r="C501" s="64">
        <v>0</v>
      </c>
      <c r="D501" s="64">
        <v>13105</v>
      </c>
      <c r="E501" s="64" t="s">
        <v>31</v>
      </c>
      <c r="F501" s="178">
        <v>81509</v>
      </c>
      <c r="G501" s="81">
        <v>219.99</v>
      </c>
      <c r="H501" s="64"/>
      <c r="I501" s="64"/>
    </row>
    <row r="502" spans="1:9" ht="15.75" hidden="1" customHeight="1">
      <c r="A502" s="64"/>
      <c r="B502" s="64"/>
      <c r="C502" s="64"/>
      <c r="D502" s="64"/>
      <c r="E502" s="64" t="s">
        <v>111</v>
      </c>
      <c r="F502" s="64"/>
      <c r="G502" s="81">
        <v>0</v>
      </c>
      <c r="H502" s="64"/>
      <c r="I502" s="64"/>
    </row>
    <row r="503" spans="1:9" ht="15.75" hidden="1" customHeight="1">
      <c r="A503" s="64"/>
      <c r="B503" s="177">
        <v>45884</v>
      </c>
      <c r="C503" s="64">
        <v>0</v>
      </c>
      <c r="D503" s="64">
        <v>13105</v>
      </c>
      <c r="E503" s="64" t="s">
        <v>31</v>
      </c>
      <c r="F503" s="178">
        <v>81510</v>
      </c>
      <c r="G503" s="81">
        <v>153.83000000000001</v>
      </c>
      <c r="H503" s="64"/>
      <c r="I503" s="64"/>
    </row>
    <row r="504" spans="1:9" ht="15.75" hidden="1" customHeight="1">
      <c r="A504" s="64"/>
      <c r="B504" s="64"/>
      <c r="C504" s="64"/>
      <c r="D504" s="64"/>
      <c r="E504" s="64" t="s">
        <v>46</v>
      </c>
      <c r="F504" s="64"/>
      <c r="G504" s="81">
        <v>0</v>
      </c>
      <c r="H504" s="64"/>
      <c r="I504" s="64"/>
    </row>
    <row r="505" spans="1:9" ht="15.75" hidden="1" customHeight="1">
      <c r="A505" s="64"/>
      <c r="B505" s="177">
        <v>45884</v>
      </c>
      <c r="C505" s="64">
        <v>0</v>
      </c>
      <c r="D505" s="64">
        <v>13105</v>
      </c>
      <c r="E505" s="64" t="s">
        <v>31</v>
      </c>
      <c r="F505" s="178">
        <v>81511</v>
      </c>
      <c r="G505" s="81">
        <v>505.99</v>
      </c>
      <c r="H505" s="64"/>
      <c r="I505" s="64"/>
    </row>
    <row r="506" spans="1:9" ht="15.75" hidden="1" customHeight="1">
      <c r="A506" s="64"/>
      <c r="B506" s="64"/>
      <c r="C506" s="64"/>
      <c r="D506" s="64"/>
      <c r="E506" s="64" t="s">
        <v>45</v>
      </c>
      <c r="F506" s="64"/>
      <c r="G506" s="81">
        <v>0</v>
      </c>
      <c r="H506" s="64"/>
      <c r="I506" s="64"/>
    </row>
    <row r="507" spans="1:9" ht="15.75" hidden="1" customHeight="1">
      <c r="A507" s="64"/>
      <c r="B507" s="177">
        <v>45884</v>
      </c>
      <c r="C507" s="64">
        <v>0</v>
      </c>
      <c r="D507" s="64">
        <v>13105</v>
      </c>
      <c r="E507" s="64" t="s">
        <v>31</v>
      </c>
      <c r="F507" s="178">
        <v>81512</v>
      </c>
      <c r="G507" s="81">
        <v>217.13</v>
      </c>
      <c r="H507" s="64"/>
      <c r="I507" s="64"/>
    </row>
    <row r="508" spans="1:9" ht="15.75" hidden="1" customHeight="1">
      <c r="A508" s="64"/>
      <c r="B508" s="64"/>
      <c r="C508" s="64"/>
      <c r="D508" s="64"/>
      <c r="E508" s="64" t="s">
        <v>45</v>
      </c>
      <c r="F508" s="64"/>
      <c r="G508" s="81">
        <v>0</v>
      </c>
      <c r="H508" s="64"/>
      <c r="I508" s="64"/>
    </row>
    <row r="509" spans="1:9" ht="15.75" hidden="1" customHeight="1">
      <c r="A509" s="64"/>
      <c r="B509" s="177">
        <v>45884</v>
      </c>
      <c r="C509" s="64">
        <v>0</v>
      </c>
      <c r="D509" s="64">
        <v>13105</v>
      </c>
      <c r="E509" s="64" t="s">
        <v>31</v>
      </c>
      <c r="F509" s="178">
        <v>81513</v>
      </c>
      <c r="G509" s="81">
        <v>677.93</v>
      </c>
      <c r="H509" s="64"/>
      <c r="I509" s="64"/>
    </row>
    <row r="510" spans="1:9" ht="15.75" hidden="1" customHeight="1">
      <c r="A510" s="64"/>
      <c r="B510" s="64"/>
      <c r="C510" s="64"/>
      <c r="D510" s="64"/>
      <c r="E510" s="64" t="s">
        <v>45</v>
      </c>
      <c r="F510" s="64"/>
      <c r="G510" s="81">
        <v>0</v>
      </c>
      <c r="H510" s="64"/>
      <c r="I510" s="64"/>
    </row>
    <row r="511" spans="1:9" ht="15.75" hidden="1" customHeight="1">
      <c r="A511" s="64"/>
      <c r="B511" s="177">
        <v>45884</v>
      </c>
      <c r="C511" s="64">
        <v>0</v>
      </c>
      <c r="D511" s="64">
        <v>13105</v>
      </c>
      <c r="E511" s="64" t="s">
        <v>31</v>
      </c>
      <c r="F511" s="178">
        <v>81514</v>
      </c>
      <c r="G511" s="81">
        <v>459.42</v>
      </c>
      <c r="H511" s="64"/>
      <c r="I511" s="64"/>
    </row>
    <row r="512" spans="1:9" ht="15.75" hidden="1" customHeight="1">
      <c r="A512" s="64"/>
      <c r="B512" s="64"/>
      <c r="C512" s="64"/>
      <c r="D512" s="64"/>
      <c r="E512" s="64" t="s">
        <v>45</v>
      </c>
      <c r="F512" s="64"/>
      <c r="G512" s="81">
        <v>0</v>
      </c>
      <c r="H512" s="64"/>
      <c r="I512" s="64"/>
    </row>
    <row r="513" spans="1:9" ht="15.75" hidden="1" customHeight="1">
      <c r="A513" s="64"/>
      <c r="B513" s="177">
        <v>45884</v>
      </c>
      <c r="C513" s="64">
        <v>0</v>
      </c>
      <c r="D513" s="64">
        <v>13105</v>
      </c>
      <c r="E513" s="64" t="s">
        <v>123</v>
      </c>
      <c r="F513" s="178">
        <v>81515</v>
      </c>
      <c r="G513" s="81">
        <v>134.44999999999999</v>
      </c>
      <c r="H513" s="64"/>
      <c r="I513" s="64"/>
    </row>
    <row r="514" spans="1:9" ht="15.75" hidden="1" customHeight="1">
      <c r="A514" s="64"/>
      <c r="B514" s="64"/>
      <c r="C514" s="64"/>
      <c r="D514" s="64"/>
      <c r="E514" s="64" t="s">
        <v>124</v>
      </c>
      <c r="F514" s="64"/>
      <c r="G514" s="81">
        <v>0</v>
      </c>
      <c r="H514" s="64"/>
      <c r="I514" s="64"/>
    </row>
    <row r="515" spans="1:9" ht="15.75" hidden="1" customHeight="1">
      <c r="A515" s="64"/>
      <c r="B515" s="177">
        <v>45884</v>
      </c>
      <c r="C515" s="64">
        <v>0</v>
      </c>
      <c r="D515" s="64">
        <v>0</v>
      </c>
      <c r="E515" s="64" t="s">
        <v>52</v>
      </c>
      <c r="F515" s="178">
        <v>9903</v>
      </c>
      <c r="G515" s="81">
        <v>15978.2</v>
      </c>
      <c r="H515" s="64"/>
      <c r="I515" s="64"/>
    </row>
    <row r="516" spans="1:9" ht="15.75" hidden="1" customHeight="1">
      <c r="A516" s="64"/>
      <c r="B516" s="64"/>
      <c r="C516" s="64"/>
      <c r="D516" s="64"/>
      <c r="E516" s="64" t="s">
        <v>53</v>
      </c>
      <c r="F516" s="64"/>
      <c r="G516" s="81">
        <v>0</v>
      </c>
      <c r="H516" s="64"/>
      <c r="I516" s="64"/>
    </row>
    <row r="517" spans="1:9" ht="15.75" hidden="1" customHeight="1">
      <c r="A517" s="64"/>
      <c r="B517" s="177">
        <v>45887</v>
      </c>
      <c r="C517" s="64">
        <v>2256</v>
      </c>
      <c r="D517" s="64">
        <v>99021</v>
      </c>
      <c r="E517" s="64" t="s">
        <v>27</v>
      </c>
      <c r="F517" s="178">
        <v>612256000106555</v>
      </c>
      <c r="G517" s="81">
        <v>1635.95</v>
      </c>
      <c r="H517" s="64"/>
      <c r="I517" s="64"/>
    </row>
    <row r="518" spans="1:9" ht="15.75" hidden="1" customHeight="1">
      <c r="A518" s="64"/>
      <c r="B518" s="64"/>
      <c r="C518" s="64"/>
      <c r="D518" s="64"/>
      <c r="E518" s="64" t="s">
        <v>1150</v>
      </c>
      <c r="F518" s="64"/>
      <c r="G518" s="81">
        <v>0</v>
      </c>
      <c r="H518" s="64"/>
      <c r="I518" s="64"/>
    </row>
    <row r="519" spans="1:9" ht="15.75" hidden="1" customHeight="1">
      <c r="A519" s="64"/>
      <c r="B519" s="177">
        <v>45887</v>
      </c>
      <c r="C519" s="64">
        <v>0</v>
      </c>
      <c r="D519" s="64">
        <v>14175</v>
      </c>
      <c r="E519" s="64" t="s">
        <v>62</v>
      </c>
      <c r="F519" s="178">
        <v>391382947</v>
      </c>
      <c r="G519" s="81">
        <v>10000</v>
      </c>
      <c r="H519" s="64"/>
      <c r="I519" s="64"/>
    </row>
    <row r="520" spans="1:9" ht="15.75" hidden="1" customHeight="1">
      <c r="A520" s="64"/>
      <c r="B520" s="64"/>
      <c r="C520" s="64"/>
      <c r="D520" s="64"/>
      <c r="E520" s="64" t="s">
        <v>97</v>
      </c>
      <c r="F520" s="64"/>
      <c r="G520" s="81">
        <v>0</v>
      </c>
      <c r="H520" s="64"/>
      <c r="I520" s="64"/>
    </row>
    <row r="521" spans="1:9" ht="15.75" hidden="1" customHeight="1">
      <c r="A521" s="64"/>
      <c r="B521" s="177">
        <v>45887</v>
      </c>
      <c r="C521" s="64">
        <v>0</v>
      </c>
      <c r="D521" s="64">
        <v>14397</v>
      </c>
      <c r="E521" s="64" t="s">
        <v>57</v>
      </c>
      <c r="F521" s="178">
        <v>180715379712892</v>
      </c>
      <c r="G521" s="81">
        <v>136.22999999999999</v>
      </c>
      <c r="H521" s="64"/>
      <c r="I521" s="64"/>
    </row>
    <row r="522" spans="1:9" ht="15.75" hidden="1" customHeight="1">
      <c r="A522" s="64"/>
      <c r="B522" s="64"/>
      <c r="C522" s="64"/>
      <c r="D522" s="64"/>
      <c r="E522" s="64" t="s">
        <v>1151</v>
      </c>
      <c r="F522" s="64"/>
      <c r="G522" s="81">
        <v>0</v>
      </c>
      <c r="H522" s="64"/>
      <c r="I522" s="64"/>
    </row>
    <row r="523" spans="1:9" ht="15.75" hidden="1" customHeight="1">
      <c r="A523" s="64"/>
      <c r="B523" s="177">
        <v>45887</v>
      </c>
      <c r="C523" s="64">
        <v>0</v>
      </c>
      <c r="D523" s="64">
        <v>14397</v>
      </c>
      <c r="E523" s="64" t="s">
        <v>57</v>
      </c>
      <c r="F523" s="178">
        <v>181310155037211</v>
      </c>
      <c r="G523" s="81">
        <v>376.46</v>
      </c>
      <c r="H523" s="64"/>
      <c r="I523" s="64"/>
    </row>
    <row r="524" spans="1:9" ht="15.75" hidden="1" customHeight="1">
      <c r="A524" s="64"/>
      <c r="B524" s="64"/>
      <c r="C524" s="64"/>
      <c r="D524" s="64"/>
      <c r="E524" s="64" t="s">
        <v>1152</v>
      </c>
      <c r="F524" s="64"/>
      <c r="G524" s="81">
        <v>0</v>
      </c>
      <c r="H524" s="64"/>
      <c r="I524" s="64"/>
    </row>
    <row r="525" spans="1:9" ht="15.75" hidden="1" customHeight="1">
      <c r="A525" s="64"/>
      <c r="B525" s="177">
        <v>45887</v>
      </c>
      <c r="C525" s="64">
        <v>0</v>
      </c>
      <c r="D525" s="64">
        <v>14397</v>
      </c>
      <c r="E525" s="64" t="s">
        <v>57</v>
      </c>
      <c r="F525" s="178">
        <v>181623497486581</v>
      </c>
      <c r="G525" s="81">
        <v>463.33</v>
      </c>
      <c r="H525" s="64"/>
      <c r="I525" s="64"/>
    </row>
    <row r="526" spans="1:9" ht="15.75" hidden="1" customHeight="1">
      <c r="A526" s="64"/>
      <c r="B526" s="64"/>
      <c r="C526" s="64"/>
      <c r="D526" s="64"/>
      <c r="E526" s="64" t="s">
        <v>1153</v>
      </c>
      <c r="F526" s="64"/>
      <c r="G526" s="81">
        <v>0</v>
      </c>
      <c r="H526" s="64"/>
      <c r="I526" s="64"/>
    </row>
    <row r="527" spans="1:9" ht="15.75" hidden="1" customHeight="1">
      <c r="A527" s="64"/>
      <c r="B527" s="177">
        <v>45887</v>
      </c>
      <c r="C527" s="64">
        <v>0</v>
      </c>
      <c r="D527" s="64">
        <v>14397</v>
      </c>
      <c r="E527" s="64" t="s">
        <v>57</v>
      </c>
      <c r="F527" s="178">
        <v>181625325338731</v>
      </c>
      <c r="G527" s="81">
        <v>463.33</v>
      </c>
      <c r="H527" s="64"/>
      <c r="I527" s="64"/>
    </row>
    <row r="528" spans="1:9" ht="15.75" hidden="1" customHeight="1">
      <c r="A528" s="64"/>
      <c r="B528" s="64"/>
      <c r="C528" s="64"/>
      <c r="D528" s="64"/>
      <c r="E528" s="64" t="s">
        <v>1154</v>
      </c>
      <c r="F528" s="64"/>
      <c r="G528" s="81">
        <v>0</v>
      </c>
      <c r="H528" s="64"/>
      <c r="I528" s="64"/>
    </row>
    <row r="529" spans="1:10" ht="15.75" customHeight="1">
      <c r="A529" s="179" t="s">
        <v>140</v>
      </c>
      <c r="B529" s="177">
        <v>45887</v>
      </c>
      <c r="C529" s="64">
        <v>0</v>
      </c>
      <c r="D529" s="64">
        <v>14138</v>
      </c>
      <c r="E529" s="64" t="s">
        <v>141</v>
      </c>
      <c r="F529" s="178">
        <v>202508150021251</v>
      </c>
      <c r="G529" s="81">
        <v>2059.27</v>
      </c>
      <c r="H529" s="64" t="s">
        <v>1155</v>
      </c>
      <c r="I529" s="64" t="s">
        <v>595</v>
      </c>
    </row>
    <row r="530" spans="1:10" ht="15.75" hidden="1" customHeight="1">
      <c r="A530" s="64"/>
      <c r="B530" s="64"/>
      <c r="C530" s="64"/>
      <c r="D530" s="64"/>
      <c r="E530" s="64" t="s">
        <v>143</v>
      </c>
      <c r="F530" s="64"/>
      <c r="G530" s="81">
        <v>0</v>
      </c>
      <c r="H530" s="64"/>
      <c r="I530" s="64"/>
    </row>
    <row r="531" spans="1:10" ht="15.75" customHeight="1">
      <c r="A531" s="179" t="s">
        <v>140</v>
      </c>
      <c r="B531" s="177">
        <v>45887</v>
      </c>
      <c r="C531" s="64">
        <v>0</v>
      </c>
      <c r="D531" s="64">
        <v>14138</v>
      </c>
      <c r="E531" s="64" t="s">
        <v>141</v>
      </c>
      <c r="F531" s="178">
        <v>202508150021253</v>
      </c>
      <c r="G531" s="81">
        <v>2059.27</v>
      </c>
      <c r="H531" s="64" t="s">
        <v>1156</v>
      </c>
      <c r="I531" s="64" t="s">
        <v>595</v>
      </c>
    </row>
    <row r="532" spans="1:10" ht="15.75" hidden="1" customHeight="1">
      <c r="A532" s="64"/>
      <c r="B532" s="64"/>
      <c r="C532" s="64"/>
      <c r="D532" s="64"/>
      <c r="E532" s="64" t="s">
        <v>143</v>
      </c>
      <c r="F532" s="64"/>
      <c r="G532" s="81">
        <v>0</v>
      </c>
      <c r="H532" s="64"/>
      <c r="I532" s="64"/>
    </row>
    <row r="533" spans="1:10" ht="15.75" customHeight="1">
      <c r="A533" s="179" t="s">
        <v>140</v>
      </c>
      <c r="B533" s="177">
        <v>45887</v>
      </c>
      <c r="C533" s="64">
        <v>0</v>
      </c>
      <c r="D533" s="64">
        <v>14138</v>
      </c>
      <c r="E533" s="64" t="s">
        <v>141</v>
      </c>
      <c r="F533" s="178">
        <v>202508150021258</v>
      </c>
      <c r="G533" s="81">
        <v>1543.57</v>
      </c>
      <c r="H533" s="64" t="s">
        <v>1157</v>
      </c>
      <c r="I533" s="64" t="s">
        <v>428</v>
      </c>
    </row>
    <row r="534" spans="1:10" ht="15.75" hidden="1" customHeight="1">
      <c r="A534" s="64"/>
      <c r="B534" s="64"/>
      <c r="C534" s="64"/>
      <c r="D534" s="64"/>
      <c r="E534" s="64" t="s">
        <v>143</v>
      </c>
      <c r="F534" s="64"/>
      <c r="G534" s="81">
        <v>0</v>
      </c>
      <c r="H534" s="64"/>
      <c r="I534" s="64"/>
    </row>
    <row r="535" spans="1:10" ht="15.75" customHeight="1">
      <c r="A535" s="179" t="s">
        <v>140</v>
      </c>
      <c r="B535" s="177">
        <v>45887</v>
      </c>
      <c r="C535" s="64">
        <v>0</v>
      </c>
      <c r="D535" s="64">
        <v>14138</v>
      </c>
      <c r="E535" s="64" t="s">
        <v>141</v>
      </c>
      <c r="F535" s="178">
        <v>202508150021262</v>
      </c>
      <c r="G535" s="81">
        <v>1668.08</v>
      </c>
      <c r="H535" s="64" t="s">
        <v>1158</v>
      </c>
      <c r="I535" s="64" t="s">
        <v>428</v>
      </c>
    </row>
    <row r="536" spans="1:10" ht="15.75" hidden="1" customHeight="1">
      <c r="A536" s="64"/>
      <c r="B536" s="64"/>
      <c r="C536" s="64"/>
      <c r="D536" s="64"/>
      <c r="E536" s="64" t="s">
        <v>143</v>
      </c>
      <c r="F536" s="64"/>
      <c r="G536" s="81">
        <v>0</v>
      </c>
      <c r="H536" s="64"/>
      <c r="I536" s="64"/>
    </row>
    <row r="537" spans="1:10" ht="15.75" customHeight="1">
      <c r="A537" s="179" t="s">
        <v>140</v>
      </c>
      <c r="B537" s="177">
        <v>45887</v>
      </c>
      <c r="C537" s="64">
        <v>0</v>
      </c>
      <c r="D537" s="64">
        <v>14138</v>
      </c>
      <c r="E537" s="64" t="s">
        <v>141</v>
      </c>
      <c r="F537" s="178">
        <v>202508150021278</v>
      </c>
      <c r="G537" s="81">
        <v>2580.3000000000002</v>
      </c>
      <c r="H537" s="64" t="s">
        <v>1159</v>
      </c>
      <c r="I537" s="64" t="s">
        <v>428</v>
      </c>
    </row>
    <row r="538" spans="1:10" ht="15.75" hidden="1" customHeight="1">
      <c r="A538" s="64"/>
      <c r="B538" s="64"/>
      <c r="C538" s="64"/>
      <c r="D538" s="64"/>
      <c r="E538" s="64" t="s">
        <v>143</v>
      </c>
      <c r="F538" s="64"/>
      <c r="G538" s="81">
        <v>0</v>
      </c>
      <c r="H538" s="64"/>
      <c r="I538" s="64"/>
    </row>
    <row r="539" spans="1:10" ht="15.75" customHeight="1">
      <c r="A539" s="179" t="s">
        <v>140</v>
      </c>
      <c r="B539" s="177">
        <v>45887</v>
      </c>
      <c r="C539" s="64">
        <v>0</v>
      </c>
      <c r="D539" s="64">
        <v>14138</v>
      </c>
      <c r="E539" s="64" t="s">
        <v>141</v>
      </c>
      <c r="F539" s="178">
        <v>202508150021280</v>
      </c>
      <c r="G539" s="81">
        <v>1232.8399999999999</v>
      </c>
      <c r="H539" s="64" t="s">
        <v>1160</v>
      </c>
      <c r="I539" s="64" t="s">
        <v>428</v>
      </c>
    </row>
    <row r="540" spans="1:10" ht="15.75" hidden="1" customHeight="1">
      <c r="A540" s="64"/>
      <c r="B540" s="64"/>
      <c r="C540" s="64"/>
      <c r="D540" s="64"/>
      <c r="E540" s="64" t="s">
        <v>143</v>
      </c>
      <c r="F540" s="64"/>
      <c r="G540" s="81">
        <v>0</v>
      </c>
      <c r="H540" s="64"/>
      <c r="I540" s="64"/>
    </row>
    <row r="541" spans="1:10" ht="15.75" customHeight="1">
      <c r="A541" s="173" t="s">
        <v>423</v>
      </c>
      <c r="B541" s="177">
        <v>45887</v>
      </c>
      <c r="C541" s="64">
        <v>0</v>
      </c>
      <c r="D541" s="64">
        <v>14138</v>
      </c>
      <c r="E541" s="64" t="s">
        <v>141</v>
      </c>
      <c r="F541" s="178">
        <v>202508150021301</v>
      </c>
      <c r="G541" s="81">
        <v>710.99</v>
      </c>
      <c r="H541" s="64" t="s">
        <v>1161</v>
      </c>
      <c r="I541" s="64"/>
      <c r="J541" s="64" t="s">
        <v>1162</v>
      </c>
    </row>
    <row r="542" spans="1:10" ht="15.75" hidden="1" customHeight="1">
      <c r="A542" s="64"/>
      <c r="B542" s="64"/>
      <c r="C542" s="64"/>
      <c r="D542" s="64"/>
      <c r="E542" s="64" t="s">
        <v>143</v>
      </c>
      <c r="F542" s="64"/>
      <c r="G542" s="81">
        <v>0</v>
      </c>
      <c r="H542" s="64"/>
      <c r="I542" s="64"/>
    </row>
    <row r="543" spans="1:10" ht="15.75" hidden="1" customHeight="1">
      <c r="A543" s="64"/>
      <c r="B543" s="177">
        <v>45887</v>
      </c>
      <c r="C543" s="64">
        <v>1533</v>
      </c>
      <c r="D543" s="64">
        <v>99008</v>
      </c>
      <c r="E543" s="64" t="s">
        <v>29</v>
      </c>
      <c r="F543" s="178">
        <v>488635</v>
      </c>
      <c r="G543" s="81">
        <v>267.26</v>
      </c>
      <c r="H543" s="64"/>
      <c r="I543" s="64"/>
    </row>
    <row r="544" spans="1:10" ht="15.75" hidden="1" customHeight="1">
      <c r="A544" s="64"/>
      <c r="B544" s="64"/>
      <c r="C544" s="64"/>
      <c r="D544" s="64"/>
      <c r="E544" s="64" t="s">
        <v>1163</v>
      </c>
      <c r="F544" s="64"/>
      <c r="G544" s="81">
        <v>0</v>
      </c>
      <c r="H544" s="64"/>
      <c r="I544" s="64"/>
    </row>
    <row r="545" spans="1:9" ht="15.75" hidden="1" customHeight="1">
      <c r="A545" s="64"/>
      <c r="B545" s="177">
        <v>45887</v>
      </c>
      <c r="C545" s="64">
        <v>0</v>
      </c>
      <c r="D545" s="64">
        <v>13105</v>
      </c>
      <c r="E545" s="64" t="s">
        <v>31</v>
      </c>
      <c r="F545" s="178">
        <v>81803</v>
      </c>
      <c r="G545" s="81">
        <v>2361.61</v>
      </c>
      <c r="H545" s="64"/>
      <c r="I545" s="64"/>
    </row>
    <row r="546" spans="1:9" ht="15.75" hidden="1" customHeight="1">
      <c r="A546" s="64"/>
      <c r="B546" s="64"/>
      <c r="C546" s="64"/>
      <c r="D546" s="64"/>
      <c r="E546" s="64" t="s">
        <v>65</v>
      </c>
      <c r="F546" s="64"/>
      <c r="G546" s="81">
        <v>0</v>
      </c>
      <c r="H546" s="64"/>
      <c r="I546" s="64"/>
    </row>
    <row r="547" spans="1:9" ht="15.75" hidden="1" customHeight="1">
      <c r="A547" s="64"/>
      <c r="B547" s="177">
        <v>45887</v>
      </c>
      <c r="C547" s="64">
        <v>0</v>
      </c>
      <c r="D547" s="64">
        <v>13105</v>
      </c>
      <c r="E547" s="64" t="s">
        <v>31</v>
      </c>
      <c r="F547" s="178">
        <v>81804</v>
      </c>
      <c r="G547" s="81">
        <v>2077.33</v>
      </c>
      <c r="H547" s="64"/>
      <c r="I547" s="64"/>
    </row>
    <row r="548" spans="1:9" ht="15.75" hidden="1" customHeight="1">
      <c r="A548" s="64"/>
      <c r="B548" s="64"/>
      <c r="C548" s="64"/>
      <c r="D548" s="64"/>
      <c r="E548" s="64" t="s">
        <v>32</v>
      </c>
      <c r="F548" s="64"/>
      <c r="G548" s="81">
        <v>0</v>
      </c>
      <c r="H548" s="64"/>
      <c r="I548" s="64"/>
    </row>
    <row r="549" spans="1:9" ht="15.75" hidden="1" customHeight="1">
      <c r="A549" s="64"/>
      <c r="B549" s="177">
        <v>45887</v>
      </c>
      <c r="C549" s="64">
        <v>0</v>
      </c>
      <c r="D549" s="64">
        <v>13105</v>
      </c>
      <c r="E549" s="64" t="s">
        <v>31</v>
      </c>
      <c r="F549" s="178">
        <v>81805</v>
      </c>
      <c r="G549" s="81">
        <v>4890</v>
      </c>
      <c r="H549" s="64"/>
      <c r="I549" s="64"/>
    </row>
    <row r="550" spans="1:9" ht="15.75" hidden="1" customHeight="1">
      <c r="A550" s="64"/>
      <c r="B550" s="64"/>
      <c r="C550" s="64"/>
      <c r="D550" s="64"/>
      <c r="E550" s="64" t="s">
        <v>32</v>
      </c>
      <c r="F550" s="64"/>
      <c r="G550" s="81">
        <v>0</v>
      </c>
      <c r="H550" s="64"/>
      <c r="I550" s="64"/>
    </row>
    <row r="551" spans="1:9" ht="15.75" hidden="1" customHeight="1">
      <c r="A551" s="64"/>
      <c r="B551" s="177">
        <v>45887</v>
      </c>
      <c r="C551" s="64">
        <v>0</v>
      </c>
      <c r="D551" s="64">
        <v>13105</v>
      </c>
      <c r="E551" s="64" t="s">
        <v>31</v>
      </c>
      <c r="F551" s="178">
        <v>81806</v>
      </c>
      <c r="G551" s="81">
        <v>2393.33</v>
      </c>
      <c r="H551" s="64"/>
      <c r="I551" s="64"/>
    </row>
    <row r="552" spans="1:9" ht="15.75" hidden="1" customHeight="1">
      <c r="A552" s="64"/>
      <c r="B552" s="64"/>
      <c r="C552" s="64"/>
      <c r="D552" s="64"/>
      <c r="E552" s="64" t="s">
        <v>32</v>
      </c>
      <c r="F552" s="64"/>
      <c r="G552" s="81">
        <v>0</v>
      </c>
      <c r="H552" s="64"/>
      <c r="I552" s="64"/>
    </row>
    <row r="553" spans="1:9" ht="15.75" hidden="1" customHeight="1">
      <c r="A553" s="64"/>
      <c r="B553" s="177">
        <v>45887</v>
      </c>
      <c r="C553" s="64">
        <v>0</v>
      </c>
      <c r="D553" s="64">
        <v>13105</v>
      </c>
      <c r="E553" s="64" t="s">
        <v>31</v>
      </c>
      <c r="F553" s="178">
        <v>81807</v>
      </c>
      <c r="G553" s="81">
        <v>4001.11</v>
      </c>
      <c r="H553" s="64"/>
      <c r="I553" s="64"/>
    </row>
    <row r="554" spans="1:9" ht="15.75" hidden="1" customHeight="1">
      <c r="A554" s="64"/>
      <c r="B554" s="64"/>
      <c r="C554" s="64"/>
      <c r="D554" s="64"/>
      <c r="E554" s="64" t="s">
        <v>32</v>
      </c>
      <c r="F554" s="64"/>
      <c r="G554" s="81">
        <v>0</v>
      </c>
      <c r="H554" s="64"/>
      <c r="I554" s="64"/>
    </row>
    <row r="555" spans="1:9" ht="15.75" hidden="1" customHeight="1">
      <c r="A555" s="64"/>
      <c r="B555" s="177">
        <v>45887</v>
      </c>
      <c r="C555" s="64">
        <v>0</v>
      </c>
      <c r="D555" s="64">
        <v>13105</v>
      </c>
      <c r="E555" s="64" t="s">
        <v>31</v>
      </c>
      <c r="F555" s="178">
        <v>81808</v>
      </c>
      <c r="G555" s="81">
        <v>307</v>
      </c>
      <c r="H555" s="64"/>
      <c r="I555" s="64"/>
    </row>
    <row r="556" spans="1:9" ht="15.75" hidden="1" customHeight="1">
      <c r="A556" s="64"/>
      <c r="B556" s="64"/>
      <c r="C556" s="64"/>
      <c r="D556" s="64"/>
      <c r="E556" s="64" t="s">
        <v>41</v>
      </c>
      <c r="F556" s="64"/>
      <c r="G556" s="81">
        <v>0</v>
      </c>
      <c r="H556" s="64"/>
      <c r="I556" s="64"/>
    </row>
    <row r="557" spans="1:9" ht="15.75" hidden="1" customHeight="1">
      <c r="A557" s="64"/>
      <c r="B557" s="177">
        <v>45887</v>
      </c>
      <c r="C557" s="64">
        <v>0</v>
      </c>
      <c r="D557" s="64">
        <v>13105</v>
      </c>
      <c r="E557" s="64" t="s">
        <v>31</v>
      </c>
      <c r="F557" s="178">
        <v>81809</v>
      </c>
      <c r="G557" s="81">
        <v>333.4</v>
      </c>
      <c r="H557" s="64"/>
      <c r="I557" s="64"/>
    </row>
    <row r="558" spans="1:9" ht="15.75" hidden="1" customHeight="1">
      <c r="A558" s="64"/>
      <c r="B558" s="64"/>
      <c r="C558" s="64"/>
      <c r="D558" s="64"/>
      <c r="E558" s="64" t="s">
        <v>41</v>
      </c>
      <c r="F558" s="64"/>
      <c r="G558" s="81">
        <v>0</v>
      </c>
      <c r="H558" s="64"/>
      <c r="I558" s="64"/>
    </row>
    <row r="559" spans="1:9" ht="15.75" hidden="1" customHeight="1">
      <c r="A559" s="64"/>
      <c r="B559" s="177">
        <v>45887</v>
      </c>
      <c r="C559" s="64">
        <v>0</v>
      </c>
      <c r="D559" s="64">
        <v>13105</v>
      </c>
      <c r="E559" s="64" t="s">
        <v>80</v>
      </c>
      <c r="F559" s="178">
        <v>81810</v>
      </c>
      <c r="G559" s="81">
        <v>126</v>
      </c>
      <c r="H559" s="64"/>
      <c r="I559" s="64"/>
    </row>
    <row r="560" spans="1:9" ht="15.75" hidden="1" customHeight="1">
      <c r="A560" s="64"/>
      <c r="B560" s="64"/>
      <c r="C560" s="64"/>
      <c r="D560" s="64"/>
      <c r="E560" s="64" t="s">
        <v>81</v>
      </c>
      <c r="F560" s="64"/>
      <c r="G560" s="81">
        <v>0</v>
      </c>
      <c r="H560" s="64"/>
      <c r="I560" s="64"/>
    </row>
    <row r="561" spans="1:9" ht="15.75" hidden="1" customHeight="1">
      <c r="A561" s="64"/>
      <c r="B561" s="177">
        <v>45887</v>
      </c>
      <c r="C561" s="64">
        <v>0</v>
      </c>
      <c r="D561" s="64">
        <v>13105</v>
      </c>
      <c r="E561" s="64" t="s">
        <v>31</v>
      </c>
      <c r="F561" s="178">
        <v>81811</v>
      </c>
      <c r="G561" s="81">
        <v>1571.28</v>
      </c>
      <c r="H561" s="64"/>
      <c r="I561" s="64"/>
    </row>
    <row r="562" spans="1:9" ht="15.75" hidden="1" customHeight="1">
      <c r="A562" s="64"/>
      <c r="B562" s="64"/>
      <c r="C562" s="64"/>
      <c r="D562" s="64"/>
      <c r="E562" s="64" t="s">
        <v>46</v>
      </c>
      <c r="F562" s="64"/>
      <c r="G562" s="81">
        <v>0</v>
      </c>
      <c r="H562" s="64"/>
      <c r="I562" s="64"/>
    </row>
    <row r="563" spans="1:9" ht="15.75" hidden="1" customHeight="1">
      <c r="A563" s="64"/>
      <c r="B563" s="177">
        <v>45887</v>
      </c>
      <c r="C563" s="64">
        <v>0</v>
      </c>
      <c r="D563" s="64">
        <v>13105</v>
      </c>
      <c r="E563" s="64" t="s">
        <v>31</v>
      </c>
      <c r="F563" s="178">
        <v>81812</v>
      </c>
      <c r="G563" s="81">
        <v>956.4</v>
      </c>
      <c r="H563" s="64"/>
      <c r="I563" s="64"/>
    </row>
    <row r="564" spans="1:9" ht="15.75" hidden="1" customHeight="1">
      <c r="A564" s="64"/>
      <c r="B564" s="64"/>
      <c r="C564" s="64"/>
      <c r="D564" s="64"/>
      <c r="E564" s="64" t="s">
        <v>46</v>
      </c>
      <c r="F564" s="64"/>
      <c r="G564" s="81">
        <v>0</v>
      </c>
      <c r="H564" s="64"/>
      <c r="I564" s="64"/>
    </row>
    <row r="565" spans="1:9" ht="15.75" hidden="1" customHeight="1">
      <c r="A565" s="64"/>
      <c r="B565" s="177">
        <v>45887</v>
      </c>
      <c r="C565" s="64">
        <v>0</v>
      </c>
      <c r="D565" s="64">
        <v>13105</v>
      </c>
      <c r="E565" s="64" t="s">
        <v>31</v>
      </c>
      <c r="F565" s="178">
        <v>81813</v>
      </c>
      <c r="G565" s="81">
        <v>1135.8800000000001</v>
      </c>
      <c r="H565" s="64"/>
      <c r="I565" s="64"/>
    </row>
    <row r="566" spans="1:9" ht="15.75" hidden="1" customHeight="1">
      <c r="A566" s="64"/>
      <c r="B566" s="64"/>
      <c r="C566" s="64"/>
      <c r="D566" s="64"/>
      <c r="E566" s="64" t="s">
        <v>379</v>
      </c>
      <c r="F566" s="64"/>
      <c r="G566" s="81">
        <v>0</v>
      </c>
      <c r="H566" s="64"/>
      <c r="I566" s="64"/>
    </row>
    <row r="567" spans="1:9" ht="15.75" hidden="1" customHeight="1">
      <c r="A567" s="64"/>
      <c r="B567" s="177">
        <v>45887</v>
      </c>
      <c r="C567" s="64">
        <v>0</v>
      </c>
      <c r="D567" s="64">
        <v>13105</v>
      </c>
      <c r="E567" s="64" t="s">
        <v>31</v>
      </c>
      <c r="F567" s="178">
        <v>81814</v>
      </c>
      <c r="G567" s="81">
        <v>438.24</v>
      </c>
      <c r="H567" s="64"/>
      <c r="I567" s="64"/>
    </row>
    <row r="568" spans="1:9" ht="15.75" hidden="1" customHeight="1">
      <c r="A568" s="64"/>
      <c r="B568" s="64"/>
      <c r="C568" s="64"/>
      <c r="D568" s="64"/>
      <c r="E568" s="64" t="s">
        <v>165</v>
      </c>
      <c r="F568" s="64"/>
      <c r="G568" s="81">
        <v>0</v>
      </c>
      <c r="H568" s="64"/>
      <c r="I568" s="64"/>
    </row>
    <row r="569" spans="1:9" ht="15.75" hidden="1" customHeight="1">
      <c r="A569" s="64"/>
      <c r="B569" s="177">
        <v>45887</v>
      </c>
      <c r="C569" s="64">
        <v>0</v>
      </c>
      <c r="D569" s="64">
        <v>13105</v>
      </c>
      <c r="E569" s="64" t="s">
        <v>31</v>
      </c>
      <c r="F569" s="178">
        <v>81815</v>
      </c>
      <c r="G569" s="81">
        <v>474.12</v>
      </c>
      <c r="H569" s="64"/>
      <c r="I569" s="64"/>
    </row>
    <row r="570" spans="1:9" ht="15.75" hidden="1" customHeight="1">
      <c r="A570" s="64"/>
      <c r="B570" s="64"/>
      <c r="C570" s="64"/>
      <c r="D570" s="64"/>
      <c r="E570" s="64" t="s">
        <v>165</v>
      </c>
      <c r="F570" s="64"/>
      <c r="G570" s="81">
        <v>0</v>
      </c>
      <c r="H570" s="64"/>
      <c r="I570" s="64"/>
    </row>
    <row r="571" spans="1:9" ht="15.75" hidden="1" customHeight="1">
      <c r="A571" s="64"/>
      <c r="B571" s="177">
        <v>45887</v>
      </c>
      <c r="C571" s="64">
        <v>0</v>
      </c>
      <c r="D571" s="64">
        <v>13105</v>
      </c>
      <c r="E571" s="64" t="s">
        <v>31</v>
      </c>
      <c r="F571" s="178">
        <v>81816</v>
      </c>
      <c r="G571" s="81">
        <v>390.8</v>
      </c>
      <c r="H571" s="64"/>
      <c r="I571" s="64"/>
    </row>
    <row r="572" spans="1:9" ht="15.75" hidden="1" customHeight="1">
      <c r="A572" s="64"/>
      <c r="B572" s="64"/>
      <c r="C572" s="64"/>
      <c r="D572" s="64"/>
      <c r="E572" s="64" t="s">
        <v>340</v>
      </c>
      <c r="F572" s="64"/>
      <c r="G572" s="81">
        <v>0</v>
      </c>
      <c r="H572" s="64"/>
      <c r="I572" s="64"/>
    </row>
    <row r="573" spans="1:9" ht="15.75" hidden="1" customHeight="1">
      <c r="A573" s="64"/>
      <c r="B573" s="177">
        <v>45887</v>
      </c>
      <c r="C573" s="64">
        <v>0</v>
      </c>
      <c r="D573" s="64">
        <v>13105</v>
      </c>
      <c r="E573" s="64" t="s">
        <v>31</v>
      </c>
      <c r="F573" s="178">
        <v>81817</v>
      </c>
      <c r="G573" s="81">
        <v>421.45</v>
      </c>
      <c r="H573" s="64"/>
      <c r="I573" s="64"/>
    </row>
    <row r="574" spans="1:9" ht="15.75" hidden="1" customHeight="1">
      <c r="A574" s="64"/>
      <c r="B574" s="64"/>
      <c r="C574" s="64"/>
      <c r="D574" s="64"/>
      <c r="E574" s="64" t="s">
        <v>78</v>
      </c>
      <c r="F574" s="64"/>
      <c r="G574" s="81">
        <v>0</v>
      </c>
      <c r="H574" s="64"/>
      <c r="I574" s="64"/>
    </row>
    <row r="575" spans="1:9" ht="15.75" hidden="1" customHeight="1">
      <c r="A575" s="64"/>
      <c r="B575" s="177">
        <v>45887</v>
      </c>
      <c r="C575" s="64">
        <v>0</v>
      </c>
      <c r="D575" s="64">
        <v>13105</v>
      </c>
      <c r="E575" s="64" t="s">
        <v>31</v>
      </c>
      <c r="F575" s="178">
        <v>81818</v>
      </c>
      <c r="G575" s="81">
        <v>191.44</v>
      </c>
      <c r="H575" s="64"/>
      <c r="I575" s="64"/>
    </row>
    <row r="576" spans="1:9" ht="15.75" hidden="1" customHeight="1">
      <c r="A576" s="64"/>
      <c r="B576" s="64"/>
      <c r="C576" s="64"/>
      <c r="D576" s="64"/>
      <c r="E576" s="64" t="s">
        <v>111</v>
      </c>
      <c r="F576" s="64"/>
      <c r="G576" s="81">
        <v>0</v>
      </c>
      <c r="H576" s="64"/>
      <c r="I576" s="64"/>
    </row>
    <row r="577" spans="1:9" ht="15.75" hidden="1" customHeight="1">
      <c r="A577" s="64"/>
      <c r="B577" s="177">
        <v>45887</v>
      </c>
      <c r="C577" s="64">
        <v>0</v>
      </c>
      <c r="D577" s="64">
        <v>13105</v>
      </c>
      <c r="E577" s="64" t="s">
        <v>31</v>
      </c>
      <c r="F577" s="178">
        <v>81819</v>
      </c>
      <c r="G577" s="81">
        <v>183.53</v>
      </c>
      <c r="H577" s="64"/>
      <c r="I577" s="64"/>
    </row>
    <row r="578" spans="1:9" ht="15.75" hidden="1" customHeight="1">
      <c r="A578" s="64"/>
      <c r="B578" s="64"/>
      <c r="C578" s="64"/>
      <c r="D578" s="64"/>
      <c r="E578" s="64" t="s">
        <v>111</v>
      </c>
      <c r="F578" s="64"/>
      <c r="G578" s="81">
        <v>0</v>
      </c>
      <c r="H578" s="64"/>
      <c r="I578" s="64"/>
    </row>
    <row r="579" spans="1:9" ht="15.75" hidden="1" customHeight="1">
      <c r="A579" s="64"/>
      <c r="B579" s="177">
        <v>45887</v>
      </c>
      <c r="C579" s="64">
        <v>0</v>
      </c>
      <c r="D579" s="64">
        <v>13105</v>
      </c>
      <c r="E579" s="64" t="s">
        <v>31</v>
      </c>
      <c r="F579" s="178">
        <v>81820</v>
      </c>
      <c r="G579" s="81">
        <v>259.23</v>
      </c>
      <c r="H579" s="64"/>
      <c r="I579" s="64"/>
    </row>
    <row r="580" spans="1:9" ht="15.75" hidden="1" customHeight="1">
      <c r="A580" s="64"/>
      <c r="B580" s="64"/>
      <c r="C580" s="64"/>
      <c r="D580" s="64"/>
      <c r="E580" s="64" t="s">
        <v>51</v>
      </c>
      <c r="F580" s="64"/>
      <c r="G580" s="81">
        <v>0</v>
      </c>
      <c r="H580" s="64"/>
      <c r="I580" s="64"/>
    </row>
    <row r="581" spans="1:9" ht="15.75" hidden="1" customHeight="1">
      <c r="A581" s="64"/>
      <c r="B581" s="177">
        <v>45887</v>
      </c>
      <c r="C581" s="64">
        <v>0</v>
      </c>
      <c r="D581" s="64">
        <v>0</v>
      </c>
      <c r="E581" s="64" t="s">
        <v>59</v>
      </c>
      <c r="F581" s="178">
        <v>9903</v>
      </c>
      <c r="G581" s="81">
        <v>2150.21</v>
      </c>
      <c r="H581" s="64"/>
      <c r="I581" s="64"/>
    </row>
    <row r="582" spans="1:9" ht="15.75" hidden="1" customHeight="1">
      <c r="A582" s="64"/>
      <c r="B582" s="64"/>
      <c r="C582" s="64"/>
      <c r="D582" s="64"/>
      <c r="E582" s="64" t="s">
        <v>53</v>
      </c>
      <c r="F582" s="64"/>
      <c r="G582" s="81">
        <v>0</v>
      </c>
      <c r="H582" s="64"/>
      <c r="I582" s="64"/>
    </row>
    <row r="583" spans="1:9" ht="15.75" hidden="1" customHeight="1">
      <c r="A583" s="64"/>
      <c r="B583" s="177">
        <v>45888</v>
      </c>
      <c r="C583" s="64">
        <v>0</v>
      </c>
      <c r="D583" s="64">
        <v>14397</v>
      </c>
      <c r="E583" s="64" t="s">
        <v>57</v>
      </c>
      <c r="F583" s="178">
        <v>191329128592752</v>
      </c>
      <c r="G583" s="81">
        <v>1132.48</v>
      </c>
      <c r="H583" s="64"/>
      <c r="I583" s="64"/>
    </row>
    <row r="584" spans="1:9" ht="15.75" hidden="1" customHeight="1">
      <c r="A584" s="64"/>
      <c r="B584" s="64"/>
      <c r="C584" s="64"/>
      <c r="D584" s="64"/>
      <c r="E584" s="64" t="s">
        <v>1164</v>
      </c>
      <c r="F584" s="64"/>
      <c r="G584" s="81">
        <v>0</v>
      </c>
      <c r="H584" s="64"/>
      <c r="I584" s="64"/>
    </row>
    <row r="585" spans="1:9" ht="15.75" hidden="1" customHeight="1">
      <c r="A585" s="64"/>
      <c r="B585" s="177">
        <v>45888</v>
      </c>
      <c r="C585" s="64">
        <v>0</v>
      </c>
      <c r="D585" s="64">
        <v>14397</v>
      </c>
      <c r="E585" s="64" t="s">
        <v>57</v>
      </c>
      <c r="F585" s="178">
        <v>192351186370921</v>
      </c>
      <c r="G585" s="81">
        <v>964.13</v>
      </c>
      <c r="H585" s="64"/>
      <c r="I585" s="64"/>
    </row>
    <row r="586" spans="1:9" ht="15.75" hidden="1" customHeight="1">
      <c r="A586" s="64"/>
      <c r="B586" s="64"/>
      <c r="C586" s="64"/>
      <c r="D586" s="64"/>
      <c r="E586" s="64" t="s">
        <v>1165</v>
      </c>
      <c r="F586" s="64"/>
      <c r="G586" s="81">
        <v>0</v>
      </c>
      <c r="H586" s="64"/>
      <c r="I586" s="64"/>
    </row>
    <row r="587" spans="1:9" ht="15.75" customHeight="1">
      <c r="A587" s="173" t="s">
        <v>423</v>
      </c>
      <c r="B587" s="177">
        <v>45888</v>
      </c>
      <c r="C587" s="64">
        <v>0</v>
      </c>
      <c r="D587" s="64">
        <v>14138</v>
      </c>
      <c r="E587" s="64" t="s">
        <v>141</v>
      </c>
      <c r="F587" s="178">
        <v>202508180001476</v>
      </c>
      <c r="G587" s="81">
        <v>616.41999999999996</v>
      </c>
      <c r="H587" s="79" t="s">
        <v>1166</v>
      </c>
      <c r="I587" s="64" t="s">
        <v>711</v>
      </c>
    </row>
    <row r="588" spans="1:9" ht="15.75" hidden="1" customHeight="1">
      <c r="A588" s="64"/>
      <c r="B588" s="64"/>
      <c r="C588" s="64"/>
      <c r="D588" s="64"/>
      <c r="E588" s="64" t="s">
        <v>143</v>
      </c>
      <c r="F588" s="64"/>
      <c r="G588" s="81">
        <v>0</v>
      </c>
      <c r="H588" s="64"/>
      <c r="I588" s="64"/>
    </row>
    <row r="589" spans="1:9" ht="15.75" customHeight="1">
      <c r="A589" s="179" t="s">
        <v>140</v>
      </c>
      <c r="B589" s="177">
        <v>45888</v>
      </c>
      <c r="C589" s="64">
        <v>0</v>
      </c>
      <c r="D589" s="64">
        <v>14138</v>
      </c>
      <c r="E589" s="64" t="s">
        <v>141</v>
      </c>
      <c r="F589" s="178">
        <v>202508180001481</v>
      </c>
      <c r="G589" s="81">
        <v>3362.94</v>
      </c>
      <c r="H589" s="64" t="s">
        <v>1167</v>
      </c>
      <c r="I589" s="79" t="s">
        <v>711</v>
      </c>
    </row>
    <row r="590" spans="1:9" ht="15.75" hidden="1" customHeight="1">
      <c r="A590" s="64"/>
      <c r="B590" s="64"/>
      <c r="C590" s="64"/>
      <c r="D590" s="64"/>
      <c r="E590" s="64" t="s">
        <v>143</v>
      </c>
      <c r="F590" s="64"/>
      <c r="G590" s="81">
        <v>0</v>
      </c>
      <c r="H590" s="64"/>
      <c r="I590" s="64"/>
    </row>
    <row r="591" spans="1:9" ht="15.75" customHeight="1">
      <c r="A591" s="179" t="s">
        <v>140</v>
      </c>
      <c r="B591" s="177">
        <v>45888</v>
      </c>
      <c r="C591" s="64">
        <v>0</v>
      </c>
      <c r="D591" s="64">
        <v>14138</v>
      </c>
      <c r="E591" s="64" t="s">
        <v>141</v>
      </c>
      <c r="F591" s="178">
        <v>202508180001484</v>
      </c>
      <c r="G591" s="81">
        <v>3362.94</v>
      </c>
      <c r="H591" s="64" t="s">
        <v>1168</v>
      </c>
      <c r="I591" s="115" t="s">
        <v>711</v>
      </c>
    </row>
    <row r="592" spans="1:9" ht="15.75" hidden="1" customHeight="1">
      <c r="A592" s="64"/>
      <c r="B592" s="64"/>
      <c r="C592" s="64"/>
      <c r="D592" s="64"/>
      <c r="E592" s="64" t="s">
        <v>143</v>
      </c>
      <c r="F592" s="64"/>
      <c r="G592" s="81">
        <v>0</v>
      </c>
      <c r="H592" s="64"/>
      <c r="I592" s="64"/>
    </row>
    <row r="593" spans="1:9" ht="15.75" customHeight="1">
      <c r="A593" s="179" t="s">
        <v>140</v>
      </c>
      <c r="B593" s="177">
        <v>45888</v>
      </c>
      <c r="C593" s="64">
        <v>0</v>
      </c>
      <c r="D593" s="64">
        <v>14138</v>
      </c>
      <c r="E593" s="64" t="s">
        <v>141</v>
      </c>
      <c r="F593" s="178">
        <v>202508180001486</v>
      </c>
      <c r="G593" s="81">
        <v>1232.8399999999999</v>
      </c>
      <c r="H593" s="79" t="s">
        <v>1169</v>
      </c>
      <c r="I593" s="64" t="s">
        <v>711</v>
      </c>
    </row>
    <row r="594" spans="1:9" ht="15.75" hidden="1" customHeight="1">
      <c r="A594" s="64"/>
      <c r="B594" s="64"/>
      <c r="C594" s="64"/>
      <c r="D594" s="64"/>
      <c r="E594" s="64" t="s">
        <v>143</v>
      </c>
      <c r="F594" s="64"/>
      <c r="G594" s="81">
        <v>0</v>
      </c>
      <c r="H594" s="64"/>
      <c r="I594" s="64"/>
    </row>
    <row r="595" spans="1:9" ht="15.75" customHeight="1">
      <c r="A595" s="173" t="s">
        <v>423</v>
      </c>
      <c r="B595" s="177">
        <v>45888</v>
      </c>
      <c r="C595" s="64">
        <v>0</v>
      </c>
      <c r="D595" s="64">
        <v>14138</v>
      </c>
      <c r="E595" s="64" t="s">
        <v>141</v>
      </c>
      <c r="F595" s="178">
        <v>202508180001509</v>
      </c>
      <c r="G595" s="81">
        <v>211.53</v>
      </c>
      <c r="H595" s="64" t="s">
        <v>1170</v>
      </c>
      <c r="I595" s="64" t="s">
        <v>711</v>
      </c>
    </row>
    <row r="596" spans="1:9" ht="15.75" hidden="1" customHeight="1">
      <c r="A596" s="64"/>
      <c r="B596" s="64"/>
      <c r="C596" s="64"/>
      <c r="D596" s="64"/>
      <c r="E596" s="64" t="s">
        <v>143</v>
      </c>
      <c r="F596" s="64"/>
      <c r="G596" s="81">
        <v>0</v>
      </c>
      <c r="H596" s="64"/>
      <c r="I596" s="64"/>
    </row>
    <row r="597" spans="1:9" ht="15.75" customHeight="1">
      <c r="A597" s="179" t="s">
        <v>140</v>
      </c>
      <c r="B597" s="177">
        <v>45888</v>
      </c>
      <c r="C597" s="64">
        <v>0</v>
      </c>
      <c r="D597" s="64">
        <v>14138</v>
      </c>
      <c r="E597" s="64" t="s">
        <v>141</v>
      </c>
      <c r="F597" s="178">
        <v>202508180001511</v>
      </c>
      <c r="G597" s="81">
        <v>3362.94</v>
      </c>
      <c r="H597" s="64" t="s">
        <v>1171</v>
      </c>
      <c r="I597" s="64" t="s">
        <v>711</v>
      </c>
    </row>
    <row r="598" spans="1:9" ht="15.75" hidden="1" customHeight="1">
      <c r="A598" s="64"/>
      <c r="B598" s="64"/>
      <c r="C598" s="64"/>
      <c r="D598" s="64"/>
      <c r="E598" s="64" t="s">
        <v>143</v>
      </c>
      <c r="F598" s="64"/>
      <c r="G598" s="81">
        <v>0</v>
      </c>
      <c r="H598" s="64"/>
      <c r="I598" s="64"/>
    </row>
    <row r="599" spans="1:9" ht="15.75" customHeight="1">
      <c r="A599" s="179" t="s">
        <v>140</v>
      </c>
      <c r="B599" s="177">
        <v>45888</v>
      </c>
      <c r="C599" s="64">
        <v>0</v>
      </c>
      <c r="D599" s="64">
        <v>14138</v>
      </c>
      <c r="E599" s="64" t="s">
        <v>141</v>
      </c>
      <c r="F599" s="178">
        <v>202508180001572</v>
      </c>
      <c r="G599" s="81">
        <v>1647.59</v>
      </c>
      <c r="H599" s="64" t="s">
        <v>1170</v>
      </c>
      <c r="I599" s="64" t="s">
        <v>1172</v>
      </c>
    </row>
    <row r="600" spans="1:9" ht="15.75" hidden="1" customHeight="1">
      <c r="A600" s="64"/>
      <c r="B600" s="64"/>
      <c r="C600" s="64"/>
      <c r="D600" s="64"/>
      <c r="E600" s="64" t="s">
        <v>143</v>
      </c>
      <c r="F600" s="64"/>
      <c r="G600" s="81">
        <v>0</v>
      </c>
      <c r="H600" s="64"/>
      <c r="I600" s="64"/>
    </row>
    <row r="601" spans="1:9" ht="15.75" customHeight="1">
      <c r="A601" s="179" t="s">
        <v>140</v>
      </c>
      <c r="B601" s="177">
        <v>45888</v>
      </c>
      <c r="C601" s="64">
        <v>0</v>
      </c>
      <c r="D601" s="64">
        <v>14138</v>
      </c>
      <c r="E601" s="64" t="s">
        <v>141</v>
      </c>
      <c r="F601" s="178">
        <v>202508180073079</v>
      </c>
      <c r="G601" s="81">
        <v>7213.11</v>
      </c>
      <c r="H601" s="64" t="s">
        <v>1173</v>
      </c>
      <c r="I601" s="64" t="s">
        <v>1174</v>
      </c>
    </row>
    <row r="602" spans="1:9" ht="15.75" hidden="1" customHeight="1">
      <c r="A602" s="64"/>
      <c r="B602" s="64"/>
      <c r="C602" s="64"/>
      <c r="D602" s="64"/>
      <c r="E602" s="64" t="s">
        <v>143</v>
      </c>
      <c r="F602" s="64"/>
      <c r="G602" s="81">
        <v>0</v>
      </c>
      <c r="H602" s="64"/>
      <c r="I602" s="64"/>
    </row>
    <row r="603" spans="1:9" ht="15.75" customHeight="1">
      <c r="A603" s="179" t="s">
        <v>140</v>
      </c>
      <c r="B603" s="177">
        <v>45888</v>
      </c>
      <c r="C603" s="64">
        <v>0</v>
      </c>
      <c r="D603" s="64">
        <v>14138</v>
      </c>
      <c r="E603" s="64" t="s">
        <v>141</v>
      </c>
      <c r="F603" s="178">
        <v>202508180073086</v>
      </c>
      <c r="G603" s="81">
        <v>1668.08</v>
      </c>
      <c r="H603" s="64" t="s">
        <v>1175</v>
      </c>
      <c r="I603" s="64" t="s">
        <v>1174</v>
      </c>
    </row>
    <row r="604" spans="1:9" ht="15.75" hidden="1" customHeight="1">
      <c r="A604" s="64"/>
      <c r="B604" s="64"/>
      <c r="C604" s="64"/>
      <c r="D604" s="64"/>
      <c r="E604" s="64" t="s">
        <v>143</v>
      </c>
      <c r="F604" s="64"/>
      <c r="G604" s="81">
        <v>0</v>
      </c>
      <c r="H604" s="64"/>
      <c r="I604" s="64"/>
    </row>
    <row r="605" spans="1:9" ht="15.75" customHeight="1">
      <c r="A605" s="179" t="s">
        <v>140</v>
      </c>
      <c r="B605" s="177">
        <v>45888</v>
      </c>
      <c r="C605" s="64">
        <v>0</v>
      </c>
      <c r="D605" s="64">
        <v>14138</v>
      </c>
      <c r="E605" s="64" t="s">
        <v>141</v>
      </c>
      <c r="F605" s="178">
        <v>202508180073101</v>
      </c>
      <c r="G605" s="81">
        <v>2150.9499999999998</v>
      </c>
      <c r="H605" s="79" t="s">
        <v>1176</v>
      </c>
      <c r="I605" s="64" t="s">
        <v>428</v>
      </c>
    </row>
    <row r="606" spans="1:9" ht="15.75" hidden="1" customHeight="1">
      <c r="A606" s="64"/>
      <c r="B606" s="64"/>
      <c r="C606" s="64"/>
      <c r="D606" s="64"/>
      <c r="E606" s="64" t="s">
        <v>143</v>
      </c>
      <c r="F606" s="64"/>
      <c r="G606" s="81">
        <v>0</v>
      </c>
      <c r="H606" s="64"/>
      <c r="I606" s="64"/>
    </row>
    <row r="607" spans="1:9" ht="15.75" customHeight="1">
      <c r="A607" s="179" t="s">
        <v>140</v>
      </c>
      <c r="B607" s="177">
        <v>45888</v>
      </c>
      <c r="C607" s="64">
        <v>0</v>
      </c>
      <c r="D607" s="64">
        <v>14138</v>
      </c>
      <c r="E607" s="64" t="s">
        <v>141</v>
      </c>
      <c r="F607" s="178">
        <v>202508180073103</v>
      </c>
      <c r="G607" s="81">
        <v>1668.08</v>
      </c>
      <c r="H607" s="64" t="s">
        <v>1177</v>
      </c>
      <c r="I607" s="64" t="s">
        <v>428</v>
      </c>
    </row>
    <row r="608" spans="1:9" ht="15.75" hidden="1" customHeight="1">
      <c r="A608" s="64"/>
      <c r="B608" s="64"/>
      <c r="C608" s="64"/>
      <c r="D608" s="64"/>
      <c r="E608" s="64" t="s">
        <v>143</v>
      </c>
      <c r="F608" s="64"/>
      <c r="G608" s="81">
        <v>0</v>
      </c>
      <c r="H608" s="64"/>
      <c r="I608" s="64"/>
    </row>
    <row r="609" spans="1:10" ht="15.75" customHeight="1">
      <c r="A609" s="179" t="s">
        <v>140</v>
      </c>
      <c r="B609" s="177">
        <v>45888</v>
      </c>
      <c r="C609" s="64">
        <v>0</v>
      </c>
      <c r="D609" s="64">
        <v>14138</v>
      </c>
      <c r="E609" s="64" t="s">
        <v>141</v>
      </c>
      <c r="F609" s="178">
        <v>202508180073123</v>
      </c>
      <c r="G609" s="81">
        <v>1704.84</v>
      </c>
      <c r="H609" s="64" t="s">
        <v>1178</v>
      </c>
      <c r="I609" s="64" t="s">
        <v>428</v>
      </c>
      <c r="J609" s="64" t="s">
        <v>1179</v>
      </c>
    </row>
    <row r="610" spans="1:10" ht="15.75" hidden="1" customHeight="1">
      <c r="A610" s="64"/>
      <c r="B610" s="64"/>
      <c r="C610" s="64"/>
      <c r="D610" s="64"/>
      <c r="E610" s="64" t="s">
        <v>143</v>
      </c>
      <c r="F610" s="64"/>
      <c r="G610" s="81">
        <v>0</v>
      </c>
      <c r="H610" s="64"/>
      <c r="I610" s="64"/>
    </row>
    <row r="611" spans="1:10" ht="15.75" customHeight="1">
      <c r="A611" s="173" t="s">
        <v>423</v>
      </c>
      <c r="B611" s="177">
        <v>45888</v>
      </c>
      <c r="C611" s="64">
        <v>0</v>
      </c>
      <c r="D611" s="64">
        <v>14138</v>
      </c>
      <c r="E611" s="64" t="s">
        <v>141</v>
      </c>
      <c r="F611" s="178">
        <v>202508180073125</v>
      </c>
      <c r="G611" s="81">
        <v>1668.08</v>
      </c>
      <c r="H611" s="64" t="s">
        <v>1178</v>
      </c>
      <c r="I611" s="64"/>
      <c r="J611" s="100" t="s">
        <v>1180</v>
      </c>
    </row>
    <row r="612" spans="1:10" ht="15.75" hidden="1" customHeight="1">
      <c r="A612" s="64"/>
      <c r="B612" s="64"/>
      <c r="C612" s="64"/>
      <c r="D612" s="64"/>
      <c r="E612" s="64" t="s">
        <v>143</v>
      </c>
      <c r="F612" s="64"/>
      <c r="G612" s="81">
        <v>0</v>
      </c>
      <c r="H612" s="64"/>
      <c r="I612" s="64"/>
    </row>
    <row r="613" spans="1:10" ht="15.75" hidden="1" customHeight="1">
      <c r="A613" s="64"/>
      <c r="B613" s="177">
        <v>45888</v>
      </c>
      <c r="C613" s="64">
        <v>1533</v>
      </c>
      <c r="D613" s="64">
        <v>99008</v>
      </c>
      <c r="E613" s="64" t="s">
        <v>29</v>
      </c>
      <c r="F613" s="178">
        <v>495757</v>
      </c>
      <c r="G613" s="81">
        <v>282.57</v>
      </c>
      <c r="H613" s="64"/>
      <c r="I613" s="64"/>
    </row>
    <row r="614" spans="1:10" ht="15.75" hidden="1" customHeight="1">
      <c r="A614" s="64"/>
      <c r="B614" s="64"/>
      <c r="C614" s="64"/>
      <c r="D614" s="64"/>
      <c r="E614" s="64" t="s">
        <v>1181</v>
      </c>
      <c r="F614" s="64"/>
      <c r="G614" s="81">
        <v>0</v>
      </c>
      <c r="H614" s="64"/>
      <c r="I614" s="64"/>
    </row>
    <row r="615" spans="1:10" ht="15.75" hidden="1" customHeight="1">
      <c r="A615" s="64"/>
      <c r="B615" s="177">
        <v>45888</v>
      </c>
      <c r="C615" s="64">
        <v>0</v>
      </c>
      <c r="D615" s="64">
        <v>13105</v>
      </c>
      <c r="E615" s="64" t="s">
        <v>31</v>
      </c>
      <c r="F615" s="178">
        <v>81901</v>
      </c>
      <c r="G615" s="81">
        <v>282.58</v>
      </c>
      <c r="H615" s="64"/>
      <c r="I615" s="64"/>
    </row>
    <row r="616" spans="1:10" ht="15.75" hidden="1" customHeight="1">
      <c r="A616" s="64"/>
      <c r="B616" s="64"/>
      <c r="C616" s="64"/>
      <c r="D616" s="64"/>
      <c r="E616" s="64" t="s">
        <v>41</v>
      </c>
      <c r="F616" s="64"/>
      <c r="G616" s="81">
        <v>0</v>
      </c>
      <c r="H616" s="64"/>
      <c r="I616" s="64"/>
    </row>
    <row r="617" spans="1:10" ht="15.75" hidden="1" customHeight="1">
      <c r="A617" s="64"/>
      <c r="B617" s="177">
        <v>45888</v>
      </c>
      <c r="C617" s="64">
        <v>0</v>
      </c>
      <c r="D617" s="64">
        <v>13105</v>
      </c>
      <c r="E617" s="64" t="s">
        <v>80</v>
      </c>
      <c r="F617" s="178">
        <v>81902</v>
      </c>
      <c r="G617" s="81">
        <v>262.37</v>
      </c>
      <c r="H617" s="64"/>
      <c r="I617" s="64"/>
    </row>
    <row r="618" spans="1:10" ht="15.75" hidden="1" customHeight="1">
      <c r="A618" s="64"/>
      <c r="B618" s="64"/>
      <c r="C618" s="64"/>
      <c r="D618" s="64"/>
      <c r="E618" s="64" t="s">
        <v>81</v>
      </c>
      <c r="F618" s="64"/>
      <c r="G618" s="81">
        <v>0</v>
      </c>
      <c r="H618" s="64"/>
      <c r="I618" s="64"/>
    </row>
    <row r="619" spans="1:10" ht="15.75" hidden="1" customHeight="1">
      <c r="A619" s="64"/>
      <c r="B619" s="177">
        <v>45888</v>
      </c>
      <c r="C619" s="64">
        <v>0</v>
      </c>
      <c r="D619" s="64">
        <v>13105</v>
      </c>
      <c r="E619" s="64" t="s">
        <v>31</v>
      </c>
      <c r="F619" s="178">
        <v>81903</v>
      </c>
      <c r="G619" s="81">
        <v>480.8</v>
      </c>
      <c r="H619" s="64"/>
      <c r="I619" s="64"/>
    </row>
    <row r="620" spans="1:10" ht="15.75" hidden="1" customHeight="1">
      <c r="A620" s="64"/>
      <c r="B620" s="64"/>
      <c r="C620" s="64"/>
      <c r="D620" s="64"/>
      <c r="E620" s="64" t="s">
        <v>45</v>
      </c>
      <c r="F620" s="64"/>
      <c r="G620" s="81">
        <v>0</v>
      </c>
      <c r="H620" s="64"/>
      <c r="I620" s="64"/>
    </row>
    <row r="621" spans="1:10" ht="15.75" hidden="1" customHeight="1">
      <c r="A621" s="64"/>
      <c r="B621" s="177">
        <v>45888</v>
      </c>
      <c r="C621" s="64">
        <v>0</v>
      </c>
      <c r="D621" s="64">
        <v>13105</v>
      </c>
      <c r="E621" s="64" t="s">
        <v>31</v>
      </c>
      <c r="F621" s="178">
        <v>81904</v>
      </c>
      <c r="G621" s="81">
        <v>340.13</v>
      </c>
      <c r="H621" s="64"/>
      <c r="I621" s="64"/>
    </row>
    <row r="622" spans="1:10" ht="15.75" hidden="1" customHeight="1">
      <c r="A622" s="64"/>
      <c r="B622" s="64"/>
      <c r="C622" s="64"/>
      <c r="D622" s="64"/>
      <c r="E622" s="64" t="s">
        <v>45</v>
      </c>
      <c r="F622" s="64"/>
      <c r="G622" s="81">
        <v>0</v>
      </c>
      <c r="H622" s="64"/>
      <c r="I622" s="64"/>
    </row>
    <row r="623" spans="1:10" ht="15.75" hidden="1" customHeight="1">
      <c r="A623" s="64"/>
      <c r="B623" s="177">
        <v>45888</v>
      </c>
      <c r="C623" s="64">
        <v>0</v>
      </c>
      <c r="D623" s="64">
        <v>13105</v>
      </c>
      <c r="E623" s="64" t="s">
        <v>31</v>
      </c>
      <c r="F623" s="178">
        <v>81905</v>
      </c>
      <c r="G623" s="81">
        <v>616.07000000000005</v>
      </c>
      <c r="H623" s="64"/>
      <c r="I623" s="64"/>
    </row>
    <row r="624" spans="1:10" ht="15.75" hidden="1" customHeight="1">
      <c r="A624" s="64"/>
      <c r="B624" s="64"/>
      <c r="C624" s="64"/>
      <c r="D624" s="64"/>
      <c r="E624" s="64" t="s">
        <v>46</v>
      </c>
      <c r="F624" s="64"/>
      <c r="G624" s="81">
        <v>0</v>
      </c>
      <c r="H624" s="64"/>
      <c r="I624" s="64"/>
    </row>
    <row r="625" spans="1:9" ht="15.75" hidden="1" customHeight="1">
      <c r="A625" s="64"/>
      <c r="B625" s="177">
        <v>45888</v>
      </c>
      <c r="C625" s="64">
        <v>0</v>
      </c>
      <c r="D625" s="64">
        <v>13105</v>
      </c>
      <c r="E625" s="64" t="s">
        <v>31</v>
      </c>
      <c r="F625" s="178">
        <v>81906</v>
      </c>
      <c r="G625" s="81">
        <v>457.96</v>
      </c>
      <c r="H625" s="64"/>
      <c r="I625" s="64"/>
    </row>
    <row r="626" spans="1:9" ht="15.75" hidden="1" customHeight="1">
      <c r="A626" s="64"/>
      <c r="B626" s="64"/>
      <c r="C626" s="64"/>
      <c r="D626" s="64"/>
      <c r="E626" s="64" t="s">
        <v>340</v>
      </c>
      <c r="F626" s="64"/>
      <c r="G626" s="81">
        <v>0</v>
      </c>
      <c r="H626" s="64"/>
      <c r="I626" s="64"/>
    </row>
    <row r="627" spans="1:9" ht="15.75" hidden="1" customHeight="1">
      <c r="A627" s="64"/>
      <c r="B627" s="177">
        <v>45888</v>
      </c>
      <c r="C627" s="64">
        <v>0</v>
      </c>
      <c r="D627" s="64">
        <v>13105</v>
      </c>
      <c r="E627" s="64" t="s">
        <v>31</v>
      </c>
      <c r="F627" s="178">
        <v>81907</v>
      </c>
      <c r="G627" s="81">
        <v>1441.4</v>
      </c>
      <c r="H627" s="64"/>
      <c r="I627" s="64"/>
    </row>
    <row r="628" spans="1:9" ht="15.75" hidden="1" customHeight="1">
      <c r="A628" s="64"/>
      <c r="B628" s="64"/>
      <c r="C628" s="64"/>
      <c r="D628" s="64"/>
      <c r="E628" s="64" t="s">
        <v>50</v>
      </c>
      <c r="F628" s="64"/>
      <c r="G628" s="81">
        <v>0</v>
      </c>
      <c r="H628" s="64"/>
      <c r="I628" s="64"/>
    </row>
    <row r="629" spans="1:9" ht="15.75" hidden="1" customHeight="1">
      <c r="A629" s="64"/>
      <c r="B629" s="177">
        <v>45888</v>
      </c>
      <c r="C629" s="64">
        <v>0</v>
      </c>
      <c r="D629" s="64">
        <v>0</v>
      </c>
      <c r="E629" s="64" t="s">
        <v>59</v>
      </c>
      <c r="F629" s="178">
        <v>9903</v>
      </c>
      <c r="G629" s="81">
        <v>27803.07</v>
      </c>
      <c r="H629" s="64"/>
      <c r="I629" s="64"/>
    </row>
    <row r="630" spans="1:9" ht="15.75" hidden="1" customHeight="1">
      <c r="A630" s="64"/>
      <c r="B630" s="64"/>
      <c r="C630" s="64"/>
      <c r="D630" s="64"/>
      <c r="E630" s="64" t="s">
        <v>53</v>
      </c>
      <c r="F630" s="64"/>
      <c r="G630" s="81">
        <v>0</v>
      </c>
      <c r="H630" s="64"/>
      <c r="I630" s="64"/>
    </row>
    <row r="631" spans="1:9" ht="15.75" hidden="1" customHeight="1">
      <c r="A631" s="64"/>
      <c r="B631" s="177">
        <v>45889</v>
      </c>
      <c r="C631" s="64">
        <v>0</v>
      </c>
      <c r="D631" s="64">
        <v>14397</v>
      </c>
      <c r="E631" s="64" t="s">
        <v>57</v>
      </c>
      <c r="F631" s="178">
        <v>201148172943231</v>
      </c>
      <c r="G631" s="81">
        <v>75000</v>
      </c>
      <c r="H631" s="64"/>
      <c r="I631" s="64"/>
    </row>
    <row r="632" spans="1:9" ht="15.75" hidden="1" customHeight="1">
      <c r="A632" s="64"/>
      <c r="B632" s="64"/>
      <c r="C632" s="64"/>
      <c r="D632" s="64"/>
      <c r="E632" s="64" t="s">
        <v>1182</v>
      </c>
      <c r="F632" s="64"/>
      <c r="G632" s="81">
        <v>0</v>
      </c>
      <c r="H632" s="64"/>
      <c r="I632" s="64"/>
    </row>
    <row r="633" spans="1:9" ht="15.75" hidden="1" customHeight="1">
      <c r="A633" s="64"/>
      <c r="B633" s="177">
        <v>45889</v>
      </c>
      <c r="C633" s="64">
        <v>0</v>
      </c>
      <c r="D633" s="64">
        <v>14397</v>
      </c>
      <c r="E633" s="64" t="s">
        <v>57</v>
      </c>
      <c r="F633" s="178">
        <v>201158217627751</v>
      </c>
      <c r="G633" s="81">
        <v>76.37</v>
      </c>
      <c r="H633" s="64"/>
      <c r="I633" s="64"/>
    </row>
    <row r="634" spans="1:9" ht="15.75" hidden="1" customHeight="1">
      <c r="A634" s="64"/>
      <c r="B634" s="64"/>
      <c r="C634" s="64"/>
      <c r="D634" s="64"/>
      <c r="E634" s="64" t="s">
        <v>1183</v>
      </c>
      <c r="F634" s="64"/>
      <c r="G634" s="81">
        <v>0</v>
      </c>
      <c r="H634" s="64"/>
      <c r="I634" s="64"/>
    </row>
    <row r="635" spans="1:9" ht="15.75" hidden="1" customHeight="1">
      <c r="A635" s="64"/>
      <c r="B635" s="177">
        <v>45889</v>
      </c>
      <c r="C635" s="64">
        <v>0</v>
      </c>
      <c r="D635" s="64">
        <v>14397</v>
      </c>
      <c r="E635" s="64" t="s">
        <v>57</v>
      </c>
      <c r="F635" s="178">
        <v>201649302433151</v>
      </c>
      <c r="G635" s="81">
        <v>2.6</v>
      </c>
      <c r="H635" s="64"/>
      <c r="I635" s="64"/>
    </row>
    <row r="636" spans="1:9" ht="15.75" hidden="1" customHeight="1">
      <c r="A636" s="64"/>
      <c r="B636" s="64"/>
      <c r="C636" s="64"/>
      <c r="D636" s="64"/>
      <c r="E636" s="64" t="s">
        <v>1184</v>
      </c>
      <c r="F636" s="64"/>
      <c r="G636" s="81">
        <v>0</v>
      </c>
      <c r="H636" s="64"/>
      <c r="I636" s="64"/>
    </row>
    <row r="637" spans="1:9" ht="15.75" customHeight="1">
      <c r="A637" s="179" t="s">
        <v>140</v>
      </c>
      <c r="B637" s="177">
        <v>45889</v>
      </c>
      <c r="C637" s="64">
        <v>0</v>
      </c>
      <c r="D637" s="64">
        <v>14138</v>
      </c>
      <c r="E637" s="64" t="s">
        <v>141</v>
      </c>
      <c r="F637" s="178">
        <v>202508190017182</v>
      </c>
      <c r="G637" s="81">
        <v>609.28</v>
      </c>
      <c r="H637" s="64" t="s">
        <v>1185</v>
      </c>
      <c r="I637" s="64" t="s">
        <v>419</v>
      </c>
    </row>
    <row r="638" spans="1:9" ht="15.75" hidden="1" customHeight="1">
      <c r="A638" s="64"/>
      <c r="B638" s="64"/>
      <c r="C638" s="64"/>
      <c r="D638" s="64"/>
      <c r="E638" s="64" t="s">
        <v>143</v>
      </c>
      <c r="F638" s="64"/>
      <c r="G638" s="81">
        <v>0</v>
      </c>
      <c r="H638" s="64"/>
      <c r="I638" s="64"/>
    </row>
    <row r="639" spans="1:9" ht="15.75" customHeight="1">
      <c r="A639" s="179" t="s">
        <v>140</v>
      </c>
      <c r="B639" s="177">
        <v>45889</v>
      </c>
      <c r="C639" s="64">
        <v>0</v>
      </c>
      <c r="D639" s="64">
        <v>14138</v>
      </c>
      <c r="E639" s="64" t="s">
        <v>141</v>
      </c>
      <c r="F639" s="178">
        <v>202508190017183</v>
      </c>
      <c r="G639" s="81">
        <v>608.26</v>
      </c>
      <c r="H639" s="64" t="s">
        <v>1186</v>
      </c>
      <c r="I639" s="64" t="s">
        <v>419</v>
      </c>
    </row>
    <row r="640" spans="1:9" ht="15.75" hidden="1" customHeight="1">
      <c r="A640" s="64"/>
      <c r="B640" s="64"/>
      <c r="C640" s="64"/>
      <c r="D640" s="64"/>
      <c r="E640" s="64" t="s">
        <v>143</v>
      </c>
      <c r="F640" s="64"/>
      <c r="G640" s="81">
        <v>0</v>
      </c>
      <c r="H640" s="64"/>
      <c r="I640" s="64"/>
    </row>
    <row r="641" spans="1:9" ht="15.75" customHeight="1">
      <c r="A641" s="179" t="s">
        <v>140</v>
      </c>
      <c r="B641" s="177">
        <v>45889</v>
      </c>
      <c r="C641" s="64">
        <v>0</v>
      </c>
      <c r="D641" s="64">
        <v>14138</v>
      </c>
      <c r="E641" s="64" t="s">
        <v>141</v>
      </c>
      <c r="F641" s="178">
        <v>202508190017194</v>
      </c>
      <c r="G641" s="81">
        <v>609.28</v>
      </c>
      <c r="H641" s="64" t="s">
        <v>1187</v>
      </c>
      <c r="I641" s="64" t="s">
        <v>419</v>
      </c>
    </row>
    <row r="642" spans="1:9" ht="15.75" hidden="1" customHeight="1">
      <c r="A642" s="64"/>
      <c r="B642" s="64"/>
      <c r="C642" s="64"/>
      <c r="D642" s="64"/>
      <c r="E642" s="64" t="s">
        <v>143</v>
      </c>
      <c r="F642" s="64"/>
      <c r="G642" s="81">
        <v>0</v>
      </c>
      <c r="H642" s="64"/>
      <c r="I642" s="64"/>
    </row>
    <row r="643" spans="1:9" ht="15.75" hidden="1" customHeight="1">
      <c r="A643" s="64"/>
      <c r="B643" s="177">
        <v>45889</v>
      </c>
      <c r="C643" s="64">
        <v>1533</v>
      </c>
      <c r="D643" s="64">
        <v>99015</v>
      </c>
      <c r="E643" s="64" t="s">
        <v>195</v>
      </c>
      <c r="F643" s="178">
        <v>552035000108588</v>
      </c>
      <c r="G643" s="81">
        <v>30000</v>
      </c>
      <c r="H643" s="64"/>
      <c r="I643" s="64"/>
    </row>
    <row r="644" spans="1:9" ht="15.75" hidden="1" customHeight="1">
      <c r="A644" s="64"/>
      <c r="B644" s="64"/>
      <c r="C644" s="64"/>
      <c r="D644" s="64"/>
      <c r="E644" s="64" t="s">
        <v>1188</v>
      </c>
      <c r="F644" s="64"/>
      <c r="G644" s="81">
        <v>0</v>
      </c>
      <c r="H644" s="64"/>
      <c r="I644" s="64"/>
    </row>
    <row r="645" spans="1:9" ht="15.75" hidden="1" customHeight="1">
      <c r="A645" s="64"/>
      <c r="B645" s="177">
        <v>45889</v>
      </c>
      <c r="C645" s="64">
        <v>0</v>
      </c>
      <c r="D645" s="64">
        <v>13105</v>
      </c>
      <c r="E645" s="64" t="s">
        <v>118</v>
      </c>
      <c r="F645" s="178">
        <v>82001</v>
      </c>
      <c r="G645" s="81">
        <v>1750.96</v>
      </c>
      <c r="H645" s="64"/>
      <c r="I645" s="64"/>
    </row>
    <row r="646" spans="1:9" ht="15.75" hidden="1" customHeight="1">
      <c r="A646" s="64"/>
      <c r="B646" s="64"/>
      <c r="C646" s="64"/>
      <c r="D646" s="64"/>
      <c r="E646" s="64" t="s">
        <v>1189</v>
      </c>
      <c r="F646" s="64"/>
      <c r="G646" s="81">
        <v>0</v>
      </c>
      <c r="H646" s="64"/>
      <c r="I646" s="64"/>
    </row>
    <row r="647" spans="1:9" ht="15.75" hidden="1" customHeight="1">
      <c r="A647" s="64"/>
      <c r="B647" s="177">
        <v>45889</v>
      </c>
      <c r="C647" s="64">
        <v>0</v>
      </c>
      <c r="D647" s="64">
        <v>13105</v>
      </c>
      <c r="E647" s="64" t="s">
        <v>80</v>
      </c>
      <c r="F647" s="178">
        <v>82002</v>
      </c>
      <c r="G647" s="81">
        <v>519.99</v>
      </c>
      <c r="H647" s="64"/>
      <c r="I647" s="64"/>
    </row>
    <row r="648" spans="1:9" ht="15.75" hidden="1" customHeight="1">
      <c r="A648" s="64"/>
      <c r="B648" s="64"/>
      <c r="C648" s="64"/>
      <c r="D648" s="64"/>
      <c r="E648" s="64" t="s">
        <v>81</v>
      </c>
      <c r="F648" s="64"/>
      <c r="G648" s="81">
        <v>0</v>
      </c>
      <c r="H648" s="64"/>
      <c r="I648" s="64"/>
    </row>
    <row r="649" spans="1:9" ht="15.75" hidden="1" customHeight="1">
      <c r="A649" s="64"/>
      <c r="B649" s="177">
        <v>45889</v>
      </c>
      <c r="C649" s="64">
        <v>0</v>
      </c>
      <c r="D649" s="64">
        <v>13105</v>
      </c>
      <c r="E649" s="64" t="s">
        <v>80</v>
      </c>
      <c r="F649" s="178">
        <v>82003</v>
      </c>
      <c r="G649" s="81">
        <v>9317.11</v>
      </c>
      <c r="H649" s="64"/>
      <c r="I649" s="64"/>
    </row>
    <row r="650" spans="1:9" ht="15.75" hidden="1" customHeight="1">
      <c r="A650" s="64"/>
      <c r="B650" s="64"/>
      <c r="C650" s="64"/>
      <c r="D650" s="64"/>
      <c r="E650" s="64" t="s">
        <v>154</v>
      </c>
      <c r="F650" s="64"/>
      <c r="G650" s="81">
        <v>0</v>
      </c>
      <c r="H650" s="64"/>
      <c r="I650" s="64"/>
    </row>
    <row r="651" spans="1:9" ht="15.75" hidden="1" customHeight="1">
      <c r="A651" s="64"/>
      <c r="B651" s="177">
        <v>45889</v>
      </c>
      <c r="C651" s="64">
        <v>0</v>
      </c>
      <c r="D651" s="64">
        <v>13105</v>
      </c>
      <c r="E651" s="64" t="s">
        <v>31</v>
      </c>
      <c r="F651" s="178">
        <v>82004</v>
      </c>
      <c r="G651" s="81">
        <v>383.8</v>
      </c>
      <c r="H651" s="64"/>
      <c r="I651" s="64"/>
    </row>
    <row r="652" spans="1:9" ht="15.75" hidden="1" customHeight="1">
      <c r="A652" s="64"/>
      <c r="B652" s="64"/>
      <c r="C652" s="64"/>
      <c r="D652" s="64"/>
      <c r="E652" s="64" t="s">
        <v>636</v>
      </c>
      <c r="F652" s="64"/>
      <c r="G652" s="81">
        <v>0</v>
      </c>
      <c r="H652" s="64"/>
      <c r="I652" s="64"/>
    </row>
    <row r="653" spans="1:9" ht="15.75" hidden="1" customHeight="1">
      <c r="A653" s="64"/>
      <c r="B653" s="177">
        <v>45889</v>
      </c>
      <c r="C653" s="64">
        <v>0</v>
      </c>
      <c r="D653" s="64">
        <v>13105</v>
      </c>
      <c r="E653" s="64" t="s">
        <v>31</v>
      </c>
      <c r="F653" s="178">
        <v>82005</v>
      </c>
      <c r="G653" s="81">
        <v>2470</v>
      </c>
      <c r="H653" s="64"/>
      <c r="I653" s="64"/>
    </row>
    <row r="654" spans="1:9" ht="15.75" hidden="1" customHeight="1">
      <c r="A654" s="64"/>
      <c r="B654" s="64"/>
      <c r="C654" s="64"/>
      <c r="D654" s="64"/>
      <c r="E654" s="64" t="s">
        <v>32</v>
      </c>
      <c r="F654" s="64"/>
      <c r="G654" s="81">
        <v>0</v>
      </c>
      <c r="H654" s="64"/>
      <c r="I654" s="64"/>
    </row>
    <row r="655" spans="1:9" ht="15.75" hidden="1" customHeight="1">
      <c r="A655" s="64"/>
      <c r="B655" s="177">
        <v>45889</v>
      </c>
      <c r="C655" s="64">
        <v>0</v>
      </c>
      <c r="D655" s="64">
        <v>13105</v>
      </c>
      <c r="E655" s="64" t="s">
        <v>31</v>
      </c>
      <c r="F655" s="178">
        <v>82006</v>
      </c>
      <c r="G655" s="81">
        <v>1733.83</v>
      </c>
      <c r="H655" s="64"/>
      <c r="I655" s="64"/>
    </row>
    <row r="656" spans="1:9" ht="15.75" hidden="1" customHeight="1">
      <c r="A656" s="64"/>
      <c r="B656" s="64"/>
      <c r="C656" s="64"/>
      <c r="D656" s="64"/>
      <c r="E656" s="64" t="s">
        <v>122</v>
      </c>
      <c r="F656" s="64"/>
      <c r="G656" s="81">
        <v>0</v>
      </c>
      <c r="H656" s="64"/>
      <c r="I656" s="64"/>
    </row>
    <row r="657" spans="1:9" ht="15.75" hidden="1" customHeight="1">
      <c r="A657" s="64"/>
      <c r="B657" s="177">
        <v>45889</v>
      </c>
      <c r="C657" s="64">
        <v>0</v>
      </c>
      <c r="D657" s="64">
        <v>13105</v>
      </c>
      <c r="E657" s="64" t="s">
        <v>31</v>
      </c>
      <c r="F657" s="178">
        <v>82007</v>
      </c>
      <c r="G657" s="81">
        <v>121.67</v>
      </c>
      <c r="H657" s="64"/>
      <c r="I657" s="64"/>
    </row>
    <row r="658" spans="1:9" ht="15.75" hidden="1" customHeight="1">
      <c r="A658" s="64"/>
      <c r="B658" s="64"/>
      <c r="C658" s="64"/>
      <c r="D658" s="64"/>
      <c r="E658" s="64" t="s">
        <v>46</v>
      </c>
      <c r="F658" s="64"/>
      <c r="G658" s="81">
        <v>0</v>
      </c>
      <c r="H658" s="64"/>
      <c r="I658" s="64"/>
    </row>
    <row r="659" spans="1:9" ht="15.75" hidden="1" customHeight="1">
      <c r="A659" s="64"/>
      <c r="B659" s="177">
        <v>45889</v>
      </c>
      <c r="C659" s="64">
        <v>0</v>
      </c>
      <c r="D659" s="64">
        <v>13105</v>
      </c>
      <c r="E659" s="64" t="s">
        <v>31</v>
      </c>
      <c r="F659" s="178">
        <v>82008</v>
      </c>
      <c r="G659" s="81">
        <v>258.29000000000002</v>
      </c>
      <c r="H659" s="64"/>
      <c r="I659" s="64"/>
    </row>
    <row r="660" spans="1:9" ht="15.75" hidden="1" customHeight="1">
      <c r="A660" s="64"/>
      <c r="B660" s="64"/>
      <c r="C660" s="64"/>
      <c r="D660" s="64"/>
      <c r="E660" s="64" t="s">
        <v>46</v>
      </c>
      <c r="F660" s="64"/>
      <c r="G660" s="81">
        <v>0</v>
      </c>
      <c r="H660" s="64"/>
      <c r="I660" s="64"/>
    </row>
    <row r="661" spans="1:9" ht="15.75" hidden="1" customHeight="1">
      <c r="A661" s="64"/>
      <c r="B661" s="177">
        <v>45889</v>
      </c>
      <c r="C661" s="64">
        <v>0</v>
      </c>
      <c r="D661" s="64">
        <v>13105</v>
      </c>
      <c r="E661" s="64" t="s">
        <v>31</v>
      </c>
      <c r="F661" s="178">
        <v>82009</v>
      </c>
      <c r="G661" s="81">
        <v>117.87</v>
      </c>
      <c r="H661" s="64"/>
      <c r="I661" s="64"/>
    </row>
    <row r="662" spans="1:9" ht="15.75" hidden="1" customHeight="1">
      <c r="A662" s="64"/>
      <c r="B662" s="64"/>
      <c r="C662" s="64"/>
      <c r="D662" s="64"/>
      <c r="E662" s="64" t="s">
        <v>247</v>
      </c>
      <c r="F662" s="64"/>
      <c r="G662" s="81">
        <v>0</v>
      </c>
      <c r="H662" s="64"/>
      <c r="I662" s="64"/>
    </row>
    <row r="663" spans="1:9" ht="15.75" hidden="1" customHeight="1">
      <c r="A663" s="64"/>
      <c r="B663" s="177">
        <v>45889</v>
      </c>
      <c r="C663" s="64">
        <v>0</v>
      </c>
      <c r="D663" s="64">
        <v>13105</v>
      </c>
      <c r="E663" s="64" t="s">
        <v>31</v>
      </c>
      <c r="F663" s="178">
        <v>82010</v>
      </c>
      <c r="G663" s="81">
        <v>317</v>
      </c>
      <c r="H663" s="64"/>
      <c r="I663" s="64"/>
    </row>
    <row r="664" spans="1:9" ht="15.75" hidden="1" customHeight="1">
      <c r="A664" s="64"/>
      <c r="B664" s="64"/>
      <c r="C664" s="64"/>
      <c r="D664" s="64"/>
      <c r="E664" s="64" t="s">
        <v>1190</v>
      </c>
      <c r="F664" s="64"/>
      <c r="G664" s="81">
        <v>0</v>
      </c>
      <c r="H664" s="64"/>
      <c r="I664" s="64"/>
    </row>
    <row r="665" spans="1:9" ht="15.75" hidden="1" customHeight="1">
      <c r="A665" s="64"/>
      <c r="B665" s="177">
        <v>45889</v>
      </c>
      <c r="C665" s="64">
        <v>0</v>
      </c>
      <c r="D665" s="64">
        <v>13105</v>
      </c>
      <c r="E665" s="64" t="s">
        <v>31</v>
      </c>
      <c r="F665" s="178">
        <v>82011</v>
      </c>
      <c r="G665" s="81">
        <v>293.8</v>
      </c>
      <c r="H665" s="64"/>
      <c r="I665" s="64"/>
    </row>
    <row r="666" spans="1:9" ht="15.75" hidden="1" customHeight="1">
      <c r="A666" s="64"/>
      <c r="B666" s="64"/>
      <c r="C666" s="64"/>
      <c r="D666" s="64"/>
      <c r="E666" s="64" t="s">
        <v>110</v>
      </c>
      <c r="F666" s="64"/>
      <c r="G666" s="81">
        <v>0</v>
      </c>
      <c r="H666" s="64"/>
      <c r="I666" s="64"/>
    </row>
    <row r="667" spans="1:9" ht="15.75" hidden="1" customHeight="1">
      <c r="A667" s="64"/>
      <c r="B667" s="177">
        <v>45889</v>
      </c>
      <c r="C667" s="64">
        <v>0</v>
      </c>
      <c r="D667" s="64">
        <v>13105</v>
      </c>
      <c r="E667" s="64" t="s">
        <v>31</v>
      </c>
      <c r="F667" s="178">
        <v>82012</v>
      </c>
      <c r="G667" s="81">
        <v>356.77</v>
      </c>
      <c r="H667" s="64"/>
      <c r="I667" s="64"/>
    </row>
    <row r="668" spans="1:9" ht="15.75" hidden="1" customHeight="1">
      <c r="A668" s="64"/>
      <c r="B668" s="64"/>
      <c r="C668" s="64"/>
      <c r="D668" s="64"/>
      <c r="E668" s="64" t="s">
        <v>110</v>
      </c>
      <c r="F668" s="64"/>
      <c r="G668" s="81">
        <v>0</v>
      </c>
      <c r="H668" s="64"/>
      <c r="I668" s="64"/>
    </row>
    <row r="669" spans="1:9" ht="15.75" hidden="1" customHeight="1">
      <c r="A669" s="64"/>
      <c r="B669" s="177">
        <v>45889</v>
      </c>
      <c r="C669" s="64">
        <v>0</v>
      </c>
      <c r="D669" s="64">
        <v>13105</v>
      </c>
      <c r="E669" s="64" t="s">
        <v>31</v>
      </c>
      <c r="F669" s="178">
        <v>82013</v>
      </c>
      <c r="G669" s="81">
        <v>79.900000000000006</v>
      </c>
      <c r="H669" s="64"/>
      <c r="I669" s="64"/>
    </row>
    <row r="670" spans="1:9" ht="15.75" hidden="1" customHeight="1">
      <c r="A670" s="64"/>
      <c r="B670" s="64"/>
      <c r="C670" s="64"/>
      <c r="D670" s="64"/>
      <c r="E670" s="64" t="s">
        <v>185</v>
      </c>
      <c r="F670" s="64"/>
      <c r="G670" s="81">
        <v>0</v>
      </c>
      <c r="H670" s="64"/>
      <c r="I670" s="64"/>
    </row>
    <row r="671" spans="1:9" ht="15.75" hidden="1" customHeight="1">
      <c r="A671" s="64"/>
      <c r="B671" s="177">
        <v>45889</v>
      </c>
      <c r="C671" s="64">
        <v>0</v>
      </c>
      <c r="D671" s="64">
        <v>13105</v>
      </c>
      <c r="E671" s="64" t="s">
        <v>31</v>
      </c>
      <c r="F671" s="178">
        <v>82014</v>
      </c>
      <c r="G671" s="81">
        <v>117.58</v>
      </c>
      <c r="H671" s="64"/>
      <c r="I671" s="64"/>
    </row>
    <row r="672" spans="1:9" ht="15.75" hidden="1" customHeight="1">
      <c r="A672" s="64"/>
      <c r="B672" s="64"/>
      <c r="C672" s="64"/>
      <c r="D672" s="64"/>
      <c r="E672" s="64" t="s">
        <v>50</v>
      </c>
      <c r="F672" s="64"/>
      <c r="G672" s="81">
        <v>0</v>
      </c>
      <c r="H672" s="64"/>
      <c r="I672" s="64"/>
    </row>
    <row r="673" spans="1:9" ht="15.75" hidden="1" customHeight="1">
      <c r="A673" s="64"/>
      <c r="B673" s="177">
        <v>45889</v>
      </c>
      <c r="C673" s="64">
        <v>0</v>
      </c>
      <c r="D673" s="64">
        <v>13105</v>
      </c>
      <c r="E673" s="64" t="s">
        <v>31</v>
      </c>
      <c r="F673" s="178">
        <v>82015</v>
      </c>
      <c r="G673" s="81">
        <v>858.14</v>
      </c>
      <c r="H673" s="64"/>
      <c r="I673" s="64"/>
    </row>
    <row r="674" spans="1:9" ht="15.75" hidden="1" customHeight="1">
      <c r="A674" s="64"/>
      <c r="B674" s="64"/>
      <c r="C674" s="64"/>
      <c r="D674" s="64"/>
      <c r="E674" s="64" t="s">
        <v>50</v>
      </c>
      <c r="F674" s="64"/>
      <c r="G674" s="81">
        <v>0</v>
      </c>
      <c r="H674" s="64"/>
      <c r="I674" s="64"/>
    </row>
    <row r="675" spans="1:9" ht="15.75" hidden="1" customHeight="1">
      <c r="A675" s="64"/>
      <c r="B675" s="177">
        <v>45889</v>
      </c>
      <c r="C675" s="64">
        <v>0</v>
      </c>
      <c r="D675" s="64">
        <v>13105</v>
      </c>
      <c r="E675" s="64" t="s">
        <v>118</v>
      </c>
      <c r="F675" s="178">
        <v>82016</v>
      </c>
      <c r="G675" s="81">
        <v>45000</v>
      </c>
      <c r="H675" s="64"/>
      <c r="I675" s="64"/>
    </row>
    <row r="676" spans="1:9" ht="15.75" hidden="1" customHeight="1">
      <c r="A676" s="64"/>
      <c r="B676" s="64"/>
      <c r="C676" s="64"/>
      <c r="D676" s="64"/>
      <c r="E676" s="64" t="s">
        <v>1191</v>
      </c>
      <c r="F676" s="64"/>
      <c r="G676" s="81">
        <v>0</v>
      </c>
      <c r="H676" s="64"/>
      <c r="I676" s="64"/>
    </row>
    <row r="677" spans="1:9" ht="15.75" hidden="1" customHeight="1">
      <c r="A677" s="64"/>
      <c r="B677" s="177">
        <v>45889</v>
      </c>
      <c r="C677" s="64">
        <v>0</v>
      </c>
      <c r="D677" s="64">
        <v>13105</v>
      </c>
      <c r="E677" s="64" t="s">
        <v>80</v>
      </c>
      <c r="F677" s="178">
        <v>82017</v>
      </c>
      <c r="G677" s="81">
        <v>220.02</v>
      </c>
      <c r="H677" s="64"/>
      <c r="I677" s="64"/>
    </row>
    <row r="678" spans="1:9" ht="15.75" hidden="1" customHeight="1">
      <c r="A678" s="64"/>
      <c r="B678" s="64"/>
      <c r="C678" s="64"/>
      <c r="D678" s="64"/>
      <c r="E678" s="64" t="s">
        <v>613</v>
      </c>
      <c r="F678" s="64"/>
      <c r="G678" s="81">
        <v>0</v>
      </c>
      <c r="H678" s="64"/>
      <c r="I678" s="64"/>
    </row>
    <row r="679" spans="1:9" ht="15.75" hidden="1" customHeight="1">
      <c r="A679" s="64"/>
      <c r="B679" s="177">
        <v>45889</v>
      </c>
      <c r="C679" s="64">
        <v>0</v>
      </c>
      <c r="D679" s="64">
        <v>13105</v>
      </c>
      <c r="E679" s="64" t="s">
        <v>80</v>
      </c>
      <c r="F679" s="178">
        <v>82018</v>
      </c>
      <c r="G679" s="81">
        <v>220.02</v>
      </c>
      <c r="H679" s="64"/>
      <c r="I679" s="64"/>
    </row>
    <row r="680" spans="1:9" ht="15.75" hidden="1" customHeight="1">
      <c r="A680" s="64"/>
      <c r="B680" s="64"/>
      <c r="C680" s="64"/>
      <c r="D680" s="64"/>
      <c r="E680" s="64" t="s">
        <v>613</v>
      </c>
      <c r="F680" s="64"/>
      <c r="G680" s="81">
        <v>0</v>
      </c>
      <c r="H680" s="64"/>
      <c r="I680" s="64"/>
    </row>
    <row r="681" spans="1:9" ht="15.75" hidden="1" customHeight="1">
      <c r="A681" s="64"/>
      <c r="B681" s="177">
        <v>45889</v>
      </c>
      <c r="C681" s="64">
        <v>0</v>
      </c>
      <c r="D681" s="64">
        <v>13105</v>
      </c>
      <c r="E681" s="64" t="s">
        <v>80</v>
      </c>
      <c r="F681" s="178">
        <v>82019</v>
      </c>
      <c r="G681" s="81">
        <v>219.99</v>
      </c>
      <c r="H681" s="64"/>
      <c r="I681" s="64"/>
    </row>
    <row r="682" spans="1:9" ht="15.75" hidden="1" customHeight="1">
      <c r="A682" s="64"/>
      <c r="B682" s="64"/>
      <c r="C682" s="64"/>
      <c r="D682" s="64"/>
      <c r="E682" s="64" t="s">
        <v>613</v>
      </c>
      <c r="F682" s="64"/>
      <c r="G682" s="81">
        <v>0</v>
      </c>
      <c r="H682" s="64"/>
      <c r="I682" s="64"/>
    </row>
    <row r="683" spans="1:9" ht="15.75" hidden="1" customHeight="1">
      <c r="A683" s="64"/>
      <c r="B683" s="177">
        <v>45889</v>
      </c>
      <c r="C683" s="64">
        <v>0</v>
      </c>
      <c r="D683" s="64">
        <v>13113</v>
      </c>
      <c r="E683" s="64" t="s">
        <v>189</v>
      </c>
      <c r="F683" s="178">
        <v>802321300090217</v>
      </c>
      <c r="G683" s="81">
        <v>10</v>
      </c>
      <c r="H683" s="64"/>
      <c r="I683" s="64"/>
    </row>
    <row r="684" spans="1:9" ht="15.75" hidden="1" customHeight="1">
      <c r="A684" s="64"/>
      <c r="B684" s="64"/>
      <c r="C684" s="64"/>
      <c r="D684" s="64"/>
      <c r="E684" s="64" t="s">
        <v>1192</v>
      </c>
      <c r="F684" s="64"/>
      <c r="G684" s="81">
        <v>0</v>
      </c>
      <c r="H684" s="64"/>
      <c r="I684" s="64"/>
    </row>
    <row r="685" spans="1:9" ht="15.75" hidden="1" customHeight="1">
      <c r="A685" s="64"/>
      <c r="B685" s="177">
        <v>45889</v>
      </c>
      <c r="C685" s="64">
        <v>0</v>
      </c>
      <c r="D685" s="64">
        <v>0</v>
      </c>
      <c r="E685" s="64" t="s">
        <v>52</v>
      </c>
      <c r="F685" s="178">
        <v>9903</v>
      </c>
      <c r="G685" s="81">
        <v>17460.95</v>
      </c>
      <c r="H685" s="64"/>
      <c r="I685" s="64"/>
    </row>
    <row r="686" spans="1:9" ht="15.75" hidden="1" customHeight="1">
      <c r="A686" s="64"/>
      <c r="B686" s="64"/>
      <c r="C686" s="64"/>
      <c r="D686" s="64"/>
      <c r="E686" s="64" t="s">
        <v>53</v>
      </c>
      <c r="F686" s="64"/>
      <c r="G686" s="81">
        <v>0</v>
      </c>
      <c r="H686" s="64"/>
      <c r="I686" s="64"/>
    </row>
    <row r="687" spans="1:9" ht="15.75" hidden="1" customHeight="1">
      <c r="A687" s="64"/>
      <c r="B687" s="177">
        <v>45890</v>
      </c>
      <c r="C687" s="64">
        <v>128</v>
      </c>
      <c r="D687" s="64">
        <v>99021</v>
      </c>
      <c r="E687" s="64" t="s">
        <v>27</v>
      </c>
      <c r="F687" s="178">
        <v>610128000064860</v>
      </c>
      <c r="G687" s="81">
        <v>3020.85</v>
      </c>
      <c r="H687" s="64"/>
      <c r="I687" s="64"/>
    </row>
    <row r="688" spans="1:9" ht="15.75" hidden="1" customHeight="1">
      <c r="A688" s="64"/>
      <c r="B688" s="64"/>
      <c r="C688" s="64"/>
      <c r="D688" s="64"/>
      <c r="E688" s="64" t="s">
        <v>1193</v>
      </c>
      <c r="F688" s="64"/>
      <c r="G688" s="81">
        <v>0</v>
      </c>
      <c r="H688" s="64"/>
      <c r="I688" s="64"/>
    </row>
    <row r="689" spans="1:9" ht="15.75" hidden="1" customHeight="1">
      <c r="A689" s="64"/>
      <c r="B689" s="177">
        <v>45890</v>
      </c>
      <c r="C689" s="64">
        <v>0</v>
      </c>
      <c r="D689" s="64">
        <v>14175</v>
      </c>
      <c r="E689" s="64" t="s">
        <v>62</v>
      </c>
      <c r="F689" s="178">
        <v>391801405</v>
      </c>
      <c r="G689" s="81">
        <v>6500</v>
      </c>
      <c r="H689" s="64"/>
      <c r="I689" s="64"/>
    </row>
    <row r="690" spans="1:9" ht="15.75" hidden="1" customHeight="1">
      <c r="A690" s="64"/>
      <c r="B690" s="64"/>
      <c r="C690" s="64"/>
      <c r="D690" s="64"/>
      <c r="E690" s="64" t="s">
        <v>97</v>
      </c>
      <c r="F690" s="64"/>
      <c r="G690" s="81">
        <v>0</v>
      </c>
      <c r="H690" s="64"/>
      <c r="I690" s="64"/>
    </row>
    <row r="691" spans="1:9" ht="15.75" hidden="1" customHeight="1">
      <c r="A691" s="64"/>
      <c r="B691" s="177">
        <v>45890</v>
      </c>
      <c r="C691" s="64">
        <v>0</v>
      </c>
      <c r="D691" s="64">
        <v>14397</v>
      </c>
      <c r="E691" s="64" t="s">
        <v>57</v>
      </c>
      <c r="F691" s="178">
        <v>211413323804611</v>
      </c>
      <c r="G691" s="81">
        <v>392.75</v>
      </c>
      <c r="H691" s="64"/>
      <c r="I691" s="64"/>
    </row>
    <row r="692" spans="1:9" ht="15.75" hidden="1" customHeight="1">
      <c r="A692" s="64"/>
      <c r="B692" s="64"/>
      <c r="C692" s="64"/>
      <c r="D692" s="64"/>
      <c r="E692" s="64" t="s">
        <v>1194</v>
      </c>
      <c r="F692" s="64"/>
      <c r="G692" s="81">
        <v>0</v>
      </c>
      <c r="H692" s="64"/>
      <c r="I692" s="64"/>
    </row>
    <row r="693" spans="1:9" ht="15.75" hidden="1" customHeight="1">
      <c r="A693" s="64"/>
      <c r="B693" s="177">
        <v>45890</v>
      </c>
      <c r="C693" s="64">
        <v>1533</v>
      </c>
      <c r="D693" s="64">
        <v>99008</v>
      </c>
      <c r="E693" s="64" t="s">
        <v>29</v>
      </c>
      <c r="F693" s="178">
        <v>987924</v>
      </c>
      <c r="G693" s="81">
        <v>202.56</v>
      </c>
      <c r="H693" s="64"/>
      <c r="I693" s="64"/>
    </row>
    <row r="694" spans="1:9" ht="15.75" hidden="1" customHeight="1">
      <c r="A694" s="64"/>
      <c r="B694" s="64"/>
      <c r="C694" s="64"/>
      <c r="D694" s="64"/>
      <c r="E694" s="64" t="s">
        <v>1195</v>
      </c>
      <c r="F694" s="64"/>
      <c r="G694" s="81">
        <v>0</v>
      </c>
      <c r="H694" s="64"/>
      <c r="I694" s="64"/>
    </row>
    <row r="695" spans="1:9" ht="15.75" hidden="1" customHeight="1">
      <c r="A695" s="64"/>
      <c r="B695" s="177">
        <v>45890</v>
      </c>
      <c r="C695" s="64">
        <v>0</v>
      </c>
      <c r="D695" s="64">
        <v>13105</v>
      </c>
      <c r="E695" s="64" t="s">
        <v>80</v>
      </c>
      <c r="F695" s="178">
        <v>82101</v>
      </c>
      <c r="G695" s="81">
        <v>252.63</v>
      </c>
      <c r="H695" s="64"/>
      <c r="I695" s="64"/>
    </row>
    <row r="696" spans="1:9" ht="15.75" hidden="1" customHeight="1">
      <c r="A696" s="64"/>
      <c r="B696" s="64"/>
      <c r="C696" s="64"/>
      <c r="D696" s="64"/>
      <c r="E696" s="64" t="s">
        <v>81</v>
      </c>
      <c r="F696" s="64"/>
      <c r="G696" s="81">
        <v>0</v>
      </c>
      <c r="H696" s="64"/>
      <c r="I696" s="64"/>
    </row>
    <row r="697" spans="1:9" ht="15.75" hidden="1" customHeight="1">
      <c r="A697" s="64"/>
      <c r="B697" s="177">
        <v>45890</v>
      </c>
      <c r="C697" s="64">
        <v>0</v>
      </c>
      <c r="D697" s="64">
        <v>13105</v>
      </c>
      <c r="E697" s="64" t="s">
        <v>80</v>
      </c>
      <c r="F697" s="178">
        <v>82102</v>
      </c>
      <c r="G697" s="81">
        <v>2302.91</v>
      </c>
      <c r="H697" s="64"/>
      <c r="I697" s="64"/>
    </row>
    <row r="698" spans="1:9" ht="15.75" hidden="1" customHeight="1">
      <c r="A698" s="64"/>
      <c r="B698" s="64"/>
      <c r="C698" s="64"/>
      <c r="D698" s="64"/>
      <c r="E698" s="64" t="s">
        <v>81</v>
      </c>
      <c r="F698" s="64"/>
      <c r="G698" s="81">
        <v>0</v>
      </c>
      <c r="H698" s="64"/>
      <c r="I698" s="64"/>
    </row>
    <row r="699" spans="1:9" ht="15.75" hidden="1" customHeight="1">
      <c r="A699" s="64"/>
      <c r="B699" s="177">
        <v>45890</v>
      </c>
      <c r="C699" s="64">
        <v>0</v>
      </c>
      <c r="D699" s="64">
        <v>13105</v>
      </c>
      <c r="E699" s="64" t="s">
        <v>80</v>
      </c>
      <c r="F699" s="178">
        <v>82103</v>
      </c>
      <c r="G699" s="81">
        <v>386.76</v>
      </c>
      <c r="H699" s="64"/>
      <c r="I699" s="64"/>
    </row>
    <row r="700" spans="1:9" ht="15.75" hidden="1" customHeight="1">
      <c r="A700" s="64"/>
      <c r="B700" s="64"/>
      <c r="C700" s="64"/>
      <c r="D700" s="64"/>
      <c r="E700" s="64" t="s">
        <v>81</v>
      </c>
      <c r="F700" s="64"/>
      <c r="G700" s="81">
        <v>0</v>
      </c>
      <c r="H700" s="64"/>
      <c r="I700" s="64"/>
    </row>
    <row r="701" spans="1:9" ht="15.75" hidden="1" customHeight="1">
      <c r="A701" s="64"/>
      <c r="B701" s="177">
        <v>45890</v>
      </c>
      <c r="C701" s="64">
        <v>0</v>
      </c>
      <c r="D701" s="64">
        <v>13105</v>
      </c>
      <c r="E701" s="64" t="s">
        <v>31</v>
      </c>
      <c r="F701" s="178">
        <v>82104</v>
      </c>
      <c r="G701" s="81">
        <v>4914.67</v>
      </c>
      <c r="H701" s="64"/>
      <c r="I701" s="64"/>
    </row>
    <row r="702" spans="1:9" ht="15.75" hidden="1" customHeight="1">
      <c r="A702" s="64"/>
      <c r="B702" s="64"/>
      <c r="C702" s="64"/>
      <c r="D702" s="64"/>
      <c r="E702" s="64" t="s">
        <v>65</v>
      </c>
      <c r="F702" s="64"/>
      <c r="G702" s="81">
        <v>0</v>
      </c>
      <c r="H702" s="64"/>
      <c r="I702" s="64"/>
    </row>
    <row r="703" spans="1:9" ht="15.75" hidden="1" customHeight="1">
      <c r="A703" s="64"/>
      <c r="B703" s="177">
        <v>45890</v>
      </c>
      <c r="C703" s="64">
        <v>0</v>
      </c>
      <c r="D703" s="64">
        <v>13105</v>
      </c>
      <c r="E703" s="64" t="s">
        <v>31</v>
      </c>
      <c r="F703" s="178">
        <v>82105</v>
      </c>
      <c r="G703" s="81">
        <v>2195</v>
      </c>
      <c r="H703" s="64"/>
      <c r="I703" s="64"/>
    </row>
    <row r="704" spans="1:9" ht="15.75" hidden="1" customHeight="1">
      <c r="A704" s="64"/>
      <c r="B704" s="64"/>
      <c r="C704" s="64"/>
      <c r="D704" s="64"/>
      <c r="E704" s="64" t="s">
        <v>40</v>
      </c>
      <c r="F704" s="64"/>
      <c r="G704" s="81">
        <v>0</v>
      </c>
      <c r="H704" s="64"/>
      <c r="I704" s="64"/>
    </row>
    <row r="705" spans="1:9" ht="15.75" hidden="1" customHeight="1">
      <c r="A705" s="64"/>
      <c r="B705" s="177">
        <v>45890</v>
      </c>
      <c r="C705" s="64">
        <v>0</v>
      </c>
      <c r="D705" s="64">
        <v>13105</v>
      </c>
      <c r="E705" s="64" t="s">
        <v>31</v>
      </c>
      <c r="F705" s="178">
        <v>82106</v>
      </c>
      <c r="G705" s="81">
        <v>1056</v>
      </c>
      <c r="H705" s="64"/>
      <c r="I705" s="64"/>
    </row>
    <row r="706" spans="1:9" ht="15.75" hidden="1" customHeight="1">
      <c r="A706" s="64"/>
      <c r="B706" s="64"/>
      <c r="C706" s="64"/>
      <c r="D706" s="64"/>
      <c r="E706" s="64" t="s">
        <v>769</v>
      </c>
      <c r="F706" s="64"/>
      <c r="G706" s="81">
        <v>0</v>
      </c>
      <c r="H706" s="64"/>
      <c r="I706" s="64"/>
    </row>
    <row r="707" spans="1:9" ht="15.75" hidden="1" customHeight="1">
      <c r="A707" s="64"/>
      <c r="B707" s="177">
        <v>45890</v>
      </c>
      <c r="C707" s="64">
        <v>0</v>
      </c>
      <c r="D707" s="64">
        <v>13105</v>
      </c>
      <c r="E707" s="64" t="s">
        <v>31</v>
      </c>
      <c r="F707" s="178">
        <v>82107</v>
      </c>
      <c r="G707" s="81">
        <v>2363.2800000000002</v>
      </c>
      <c r="H707" s="64"/>
      <c r="I707" s="64"/>
    </row>
    <row r="708" spans="1:9" ht="15.75" hidden="1" customHeight="1">
      <c r="A708" s="64"/>
      <c r="B708" s="64"/>
      <c r="C708" s="64"/>
      <c r="D708" s="64"/>
      <c r="E708" s="64" t="s">
        <v>37</v>
      </c>
      <c r="F708" s="64"/>
      <c r="G708" s="81">
        <v>0</v>
      </c>
      <c r="H708" s="64"/>
      <c r="I708" s="64"/>
    </row>
    <row r="709" spans="1:9" ht="15.75" hidden="1" customHeight="1">
      <c r="A709" s="64"/>
      <c r="B709" s="177">
        <v>45890</v>
      </c>
      <c r="C709" s="64">
        <v>0</v>
      </c>
      <c r="D709" s="64">
        <v>13105</v>
      </c>
      <c r="E709" s="64" t="s">
        <v>34</v>
      </c>
      <c r="F709" s="178">
        <v>82108</v>
      </c>
      <c r="G709" s="81">
        <v>64.489999999999995</v>
      </c>
      <c r="H709" s="64"/>
      <c r="I709" s="64"/>
    </row>
    <row r="710" spans="1:9" ht="15.75" hidden="1" customHeight="1">
      <c r="A710" s="64"/>
      <c r="B710" s="64"/>
      <c r="C710" s="64"/>
      <c r="D710" s="64"/>
      <c r="E710" s="64" t="s">
        <v>288</v>
      </c>
      <c r="F710" s="64"/>
      <c r="G710" s="81">
        <v>0</v>
      </c>
      <c r="H710" s="64"/>
      <c r="I710" s="64"/>
    </row>
    <row r="711" spans="1:9" ht="15.75" hidden="1" customHeight="1">
      <c r="A711" s="64"/>
      <c r="B711" s="177">
        <v>45890</v>
      </c>
      <c r="C711" s="64">
        <v>0</v>
      </c>
      <c r="D711" s="64">
        <v>13105</v>
      </c>
      <c r="E711" s="64" t="s">
        <v>31</v>
      </c>
      <c r="F711" s="178">
        <v>82109</v>
      </c>
      <c r="G711" s="81">
        <v>3150</v>
      </c>
      <c r="H711" s="64"/>
      <c r="I711" s="64"/>
    </row>
    <row r="712" spans="1:9" ht="15.75" hidden="1" customHeight="1">
      <c r="A712" s="64"/>
      <c r="B712" s="64"/>
      <c r="C712" s="64"/>
      <c r="D712" s="64"/>
      <c r="E712" s="64" t="s">
        <v>32</v>
      </c>
      <c r="F712" s="64"/>
      <c r="G712" s="81">
        <v>0</v>
      </c>
      <c r="H712" s="64"/>
      <c r="I712" s="64"/>
    </row>
    <row r="713" spans="1:9" ht="15.75" hidden="1" customHeight="1">
      <c r="A713" s="64"/>
      <c r="B713" s="177">
        <v>45890</v>
      </c>
      <c r="C713" s="64">
        <v>0</v>
      </c>
      <c r="D713" s="64">
        <v>13105</v>
      </c>
      <c r="E713" s="64" t="s">
        <v>31</v>
      </c>
      <c r="F713" s="178">
        <v>82110</v>
      </c>
      <c r="G713" s="81">
        <v>1458.33</v>
      </c>
      <c r="H713" s="64"/>
      <c r="I713" s="64"/>
    </row>
    <row r="714" spans="1:9" ht="15.75" hidden="1" customHeight="1">
      <c r="A714" s="64"/>
      <c r="B714" s="64"/>
      <c r="C714" s="64"/>
      <c r="D714" s="64"/>
      <c r="E714" s="64" t="s">
        <v>32</v>
      </c>
      <c r="F714" s="64"/>
      <c r="G714" s="81">
        <v>0</v>
      </c>
      <c r="H714" s="64"/>
      <c r="I714" s="64"/>
    </row>
    <row r="715" spans="1:9" ht="15.75" hidden="1" customHeight="1">
      <c r="A715" s="64"/>
      <c r="B715" s="177">
        <v>45890</v>
      </c>
      <c r="C715" s="64">
        <v>0</v>
      </c>
      <c r="D715" s="64">
        <v>13105</v>
      </c>
      <c r="E715" s="64" t="s">
        <v>31</v>
      </c>
      <c r="F715" s="178">
        <v>82111</v>
      </c>
      <c r="G715" s="81">
        <v>399.39</v>
      </c>
      <c r="H715" s="64"/>
      <c r="I715" s="64"/>
    </row>
    <row r="716" spans="1:9" ht="15.75" hidden="1" customHeight="1">
      <c r="A716" s="64"/>
      <c r="B716" s="64"/>
      <c r="C716" s="64"/>
      <c r="D716" s="64"/>
      <c r="E716" s="64" t="s">
        <v>46</v>
      </c>
      <c r="F716" s="64"/>
      <c r="G716" s="81">
        <v>0</v>
      </c>
      <c r="H716" s="64"/>
      <c r="I716" s="64"/>
    </row>
    <row r="717" spans="1:9" ht="15.75" hidden="1" customHeight="1">
      <c r="A717" s="64"/>
      <c r="B717" s="177">
        <v>45890</v>
      </c>
      <c r="C717" s="64">
        <v>0</v>
      </c>
      <c r="D717" s="64">
        <v>13105</v>
      </c>
      <c r="E717" s="64" t="s">
        <v>31</v>
      </c>
      <c r="F717" s="178">
        <v>82112</v>
      </c>
      <c r="G717" s="81">
        <v>375.28</v>
      </c>
      <c r="H717" s="64"/>
      <c r="I717" s="64"/>
    </row>
    <row r="718" spans="1:9" ht="15.75" hidden="1" customHeight="1">
      <c r="A718" s="64"/>
      <c r="B718" s="64"/>
      <c r="C718" s="64"/>
      <c r="D718" s="64"/>
      <c r="E718" s="64" t="s">
        <v>46</v>
      </c>
      <c r="F718" s="64"/>
      <c r="G718" s="81">
        <v>0</v>
      </c>
      <c r="H718" s="64"/>
      <c r="I718" s="64"/>
    </row>
    <row r="719" spans="1:9" ht="15.75" hidden="1" customHeight="1">
      <c r="A719" s="64"/>
      <c r="B719" s="177">
        <v>45890</v>
      </c>
      <c r="C719" s="64">
        <v>0</v>
      </c>
      <c r="D719" s="64">
        <v>13105</v>
      </c>
      <c r="E719" s="64" t="s">
        <v>31</v>
      </c>
      <c r="F719" s="178">
        <v>82113</v>
      </c>
      <c r="G719" s="81">
        <v>359.69</v>
      </c>
      <c r="H719" s="64"/>
      <c r="I719" s="64"/>
    </row>
    <row r="720" spans="1:9" ht="15.75" hidden="1" customHeight="1">
      <c r="A720" s="64"/>
      <c r="B720" s="64"/>
      <c r="C720" s="64"/>
      <c r="D720" s="64"/>
      <c r="E720" s="64" t="s">
        <v>45</v>
      </c>
      <c r="F720" s="64"/>
      <c r="G720" s="81">
        <v>0</v>
      </c>
      <c r="H720" s="64"/>
      <c r="I720" s="64"/>
    </row>
    <row r="721" spans="1:9" ht="15.75" hidden="1" customHeight="1">
      <c r="A721" s="64"/>
      <c r="B721" s="177">
        <v>45890</v>
      </c>
      <c r="C721" s="64">
        <v>0</v>
      </c>
      <c r="D721" s="64">
        <v>13105</v>
      </c>
      <c r="E721" s="64" t="s">
        <v>31</v>
      </c>
      <c r="F721" s="178">
        <v>82114</v>
      </c>
      <c r="G721" s="81">
        <v>276.70999999999998</v>
      </c>
      <c r="H721" s="64"/>
      <c r="I721" s="64"/>
    </row>
    <row r="722" spans="1:9" ht="15.75" hidden="1" customHeight="1">
      <c r="A722" s="64"/>
      <c r="B722" s="64"/>
      <c r="C722" s="64"/>
      <c r="D722" s="64"/>
      <c r="E722" s="64" t="s">
        <v>45</v>
      </c>
      <c r="F722" s="64"/>
      <c r="G722" s="81">
        <v>0</v>
      </c>
      <c r="H722" s="64"/>
      <c r="I722" s="64"/>
    </row>
    <row r="723" spans="1:9" ht="15.75" hidden="1" customHeight="1">
      <c r="A723" s="64"/>
      <c r="B723" s="177">
        <v>45890</v>
      </c>
      <c r="C723" s="64">
        <v>0</v>
      </c>
      <c r="D723" s="64">
        <v>13105</v>
      </c>
      <c r="E723" s="64" t="s">
        <v>31</v>
      </c>
      <c r="F723" s="178">
        <v>82115</v>
      </c>
      <c r="G723" s="81">
        <v>230.25</v>
      </c>
      <c r="H723" s="64"/>
      <c r="I723" s="64"/>
    </row>
    <row r="724" spans="1:9" ht="15.75" hidden="1" customHeight="1">
      <c r="A724" s="64"/>
      <c r="B724" s="64"/>
      <c r="C724" s="64"/>
      <c r="D724" s="64"/>
      <c r="E724" s="64" t="s">
        <v>45</v>
      </c>
      <c r="F724" s="64"/>
      <c r="G724" s="81">
        <v>0</v>
      </c>
      <c r="H724" s="64"/>
      <c r="I724" s="64"/>
    </row>
    <row r="725" spans="1:9" ht="15.75" hidden="1" customHeight="1">
      <c r="A725" s="64"/>
      <c r="B725" s="177">
        <v>45890</v>
      </c>
      <c r="C725" s="64">
        <v>0</v>
      </c>
      <c r="D725" s="64">
        <v>13105</v>
      </c>
      <c r="E725" s="64" t="s">
        <v>31</v>
      </c>
      <c r="F725" s="178">
        <v>82116</v>
      </c>
      <c r="G725" s="81">
        <v>677.93</v>
      </c>
      <c r="H725" s="64"/>
      <c r="I725" s="64"/>
    </row>
    <row r="726" spans="1:9" ht="15.75" hidden="1" customHeight="1">
      <c r="A726" s="64"/>
      <c r="B726" s="64"/>
      <c r="C726" s="64"/>
      <c r="D726" s="64"/>
      <c r="E726" s="64" t="s">
        <v>45</v>
      </c>
      <c r="F726" s="64"/>
      <c r="G726" s="81">
        <v>0</v>
      </c>
      <c r="H726" s="64"/>
      <c r="I726" s="64"/>
    </row>
    <row r="727" spans="1:9" ht="15.75" hidden="1" customHeight="1">
      <c r="A727" s="64"/>
      <c r="B727" s="177">
        <v>45890</v>
      </c>
      <c r="C727" s="64">
        <v>0</v>
      </c>
      <c r="D727" s="64">
        <v>13105</v>
      </c>
      <c r="E727" s="64" t="s">
        <v>31</v>
      </c>
      <c r="F727" s="178">
        <v>82117</v>
      </c>
      <c r="G727" s="81">
        <v>459.42</v>
      </c>
      <c r="H727" s="64"/>
      <c r="I727" s="64"/>
    </row>
    <row r="728" spans="1:9" ht="15.75" hidden="1" customHeight="1">
      <c r="A728" s="64"/>
      <c r="B728" s="64"/>
      <c r="C728" s="64"/>
      <c r="D728" s="64"/>
      <c r="E728" s="64" t="s">
        <v>45</v>
      </c>
      <c r="F728" s="64"/>
      <c r="G728" s="81">
        <v>0</v>
      </c>
      <c r="H728" s="64"/>
      <c r="I728" s="64"/>
    </row>
    <row r="729" spans="1:9" ht="15.75" hidden="1" customHeight="1">
      <c r="A729" s="64"/>
      <c r="B729" s="177">
        <v>45890</v>
      </c>
      <c r="C729" s="64">
        <v>0</v>
      </c>
      <c r="D729" s="64">
        <v>13105</v>
      </c>
      <c r="E729" s="64" t="s">
        <v>31</v>
      </c>
      <c r="F729" s="178">
        <v>82118</v>
      </c>
      <c r="G729" s="81">
        <v>117.59</v>
      </c>
      <c r="H729" s="64"/>
      <c r="I729" s="64"/>
    </row>
    <row r="730" spans="1:9" ht="15.75" hidden="1" customHeight="1">
      <c r="A730" s="64"/>
      <c r="B730" s="64"/>
      <c r="C730" s="64"/>
      <c r="D730" s="64"/>
      <c r="E730" s="64" t="s">
        <v>50</v>
      </c>
      <c r="F730" s="64"/>
      <c r="G730" s="81">
        <v>0</v>
      </c>
      <c r="H730" s="64"/>
      <c r="I730" s="64"/>
    </row>
    <row r="731" spans="1:9" ht="15.75" hidden="1" customHeight="1">
      <c r="A731" s="64"/>
      <c r="B731" s="177">
        <v>45890</v>
      </c>
      <c r="C731" s="64">
        <v>0</v>
      </c>
      <c r="D731" s="64">
        <v>13105</v>
      </c>
      <c r="E731" s="64" t="s">
        <v>31</v>
      </c>
      <c r="F731" s="178">
        <v>82119</v>
      </c>
      <c r="G731" s="81">
        <v>117.58</v>
      </c>
      <c r="H731" s="64"/>
      <c r="I731" s="64"/>
    </row>
    <row r="732" spans="1:9" ht="15.75" hidden="1" customHeight="1">
      <c r="A732" s="64"/>
      <c r="B732" s="64"/>
      <c r="C732" s="64"/>
      <c r="D732" s="64"/>
      <c r="E732" s="64" t="s">
        <v>50</v>
      </c>
      <c r="F732" s="64"/>
      <c r="G732" s="81">
        <v>0</v>
      </c>
      <c r="H732" s="64"/>
      <c r="I732" s="64"/>
    </row>
    <row r="733" spans="1:9" ht="15.75" hidden="1" customHeight="1">
      <c r="A733" s="64"/>
      <c r="B733" s="177">
        <v>45890</v>
      </c>
      <c r="C733" s="64">
        <v>0</v>
      </c>
      <c r="D733" s="64">
        <v>13105</v>
      </c>
      <c r="E733" s="64" t="s">
        <v>31</v>
      </c>
      <c r="F733" s="178">
        <v>82120</v>
      </c>
      <c r="G733" s="81">
        <v>198.21</v>
      </c>
      <c r="H733" s="64"/>
      <c r="I733" s="64"/>
    </row>
    <row r="734" spans="1:9" ht="15.75" hidden="1" customHeight="1">
      <c r="A734" s="64"/>
      <c r="B734" s="64"/>
      <c r="C734" s="64"/>
      <c r="D734" s="64"/>
      <c r="E734" s="64" t="s">
        <v>111</v>
      </c>
      <c r="F734" s="64"/>
      <c r="G734" s="81">
        <v>0</v>
      </c>
      <c r="H734" s="64"/>
      <c r="I734" s="64"/>
    </row>
    <row r="735" spans="1:9" ht="15.75" hidden="1" customHeight="1">
      <c r="A735" s="64"/>
      <c r="B735" s="177">
        <v>45890</v>
      </c>
      <c r="C735" s="64">
        <v>0</v>
      </c>
      <c r="D735" s="64">
        <v>13105</v>
      </c>
      <c r="E735" s="64" t="s">
        <v>31</v>
      </c>
      <c r="F735" s="178">
        <v>82121</v>
      </c>
      <c r="G735" s="81">
        <v>208.3</v>
      </c>
      <c r="H735" s="64"/>
      <c r="I735" s="64"/>
    </row>
    <row r="736" spans="1:9" ht="15.75" hidden="1" customHeight="1">
      <c r="A736" s="64"/>
      <c r="B736" s="64"/>
      <c r="C736" s="64"/>
      <c r="D736" s="64"/>
      <c r="E736" s="64" t="s">
        <v>111</v>
      </c>
      <c r="F736" s="64"/>
      <c r="G736" s="81">
        <v>0</v>
      </c>
      <c r="H736" s="64"/>
      <c r="I736" s="64"/>
    </row>
    <row r="737" spans="1:9" ht="15.75" hidden="1" customHeight="1">
      <c r="A737" s="64"/>
      <c r="B737" s="177">
        <v>45890</v>
      </c>
      <c r="C737" s="64">
        <v>0</v>
      </c>
      <c r="D737" s="64">
        <v>13105</v>
      </c>
      <c r="E737" s="64" t="s">
        <v>31</v>
      </c>
      <c r="F737" s="178">
        <v>82122</v>
      </c>
      <c r="G737" s="81">
        <v>200.18</v>
      </c>
      <c r="H737" s="64"/>
      <c r="I737" s="64"/>
    </row>
    <row r="738" spans="1:9" ht="15.75" hidden="1" customHeight="1">
      <c r="A738" s="64"/>
      <c r="B738" s="64"/>
      <c r="C738" s="64"/>
      <c r="D738" s="64"/>
      <c r="E738" s="64" t="s">
        <v>111</v>
      </c>
      <c r="F738" s="64"/>
      <c r="G738" s="81">
        <v>0</v>
      </c>
      <c r="H738" s="64"/>
      <c r="I738" s="64"/>
    </row>
    <row r="739" spans="1:9" ht="15.75" hidden="1" customHeight="1">
      <c r="A739" s="64"/>
      <c r="B739" s="177">
        <v>45890</v>
      </c>
      <c r="C739" s="64">
        <v>0</v>
      </c>
      <c r="D739" s="64">
        <v>13105</v>
      </c>
      <c r="E739" s="64" t="s">
        <v>31</v>
      </c>
      <c r="F739" s="178">
        <v>82123</v>
      </c>
      <c r="G739" s="81">
        <v>175.74</v>
      </c>
      <c r="H739" s="64"/>
      <c r="I739" s="64"/>
    </row>
    <row r="740" spans="1:9" ht="15.75" hidden="1" customHeight="1">
      <c r="A740" s="64"/>
      <c r="B740" s="64"/>
      <c r="C740" s="64"/>
      <c r="D740" s="64"/>
      <c r="E740" s="64" t="s">
        <v>289</v>
      </c>
      <c r="F740" s="64"/>
      <c r="G740" s="81">
        <v>0</v>
      </c>
      <c r="H740" s="64"/>
      <c r="I740" s="64"/>
    </row>
    <row r="741" spans="1:9" ht="15.75" hidden="1" customHeight="1">
      <c r="A741" s="64"/>
      <c r="B741" s="177">
        <v>45890</v>
      </c>
      <c r="C741" s="64">
        <v>0</v>
      </c>
      <c r="D741" s="64">
        <v>13105</v>
      </c>
      <c r="E741" s="64" t="s">
        <v>31</v>
      </c>
      <c r="F741" s="178">
        <v>82124</v>
      </c>
      <c r="G741" s="81">
        <v>199.5</v>
      </c>
      <c r="H741" s="64"/>
      <c r="I741" s="64"/>
    </row>
    <row r="742" spans="1:9" ht="15.75" hidden="1" customHeight="1">
      <c r="A742" s="64"/>
      <c r="B742" s="64"/>
      <c r="C742" s="64"/>
      <c r="D742" s="64"/>
      <c r="E742" s="64" t="s">
        <v>51</v>
      </c>
      <c r="F742" s="64"/>
      <c r="G742" s="81">
        <v>0</v>
      </c>
      <c r="H742" s="64"/>
      <c r="I742" s="64"/>
    </row>
    <row r="743" spans="1:9" ht="15.75" hidden="1" customHeight="1">
      <c r="A743" s="64"/>
      <c r="B743" s="177">
        <v>45890</v>
      </c>
      <c r="C743" s="64">
        <v>0</v>
      </c>
      <c r="D743" s="64">
        <v>0</v>
      </c>
      <c r="E743" s="64" t="s">
        <v>52</v>
      </c>
      <c r="F743" s="178">
        <v>9903</v>
      </c>
      <c r="G743" s="81">
        <v>12428.8</v>
      </c>
      <c r="H743" s="64"/>
      <c r="I743" s="64"/>
    </row>
    <row r="744" spans="1:9" ht="15.75" hidden="1" customHeight="1">
      <c r="A744" s="64"/>
      <c r="B744" s="64"/>
      <c r="C744" s="64"/>
      <c r="D744" s="64"/>
      <c r="E744" s="64" t="s">
        <v>53</v>
      </c>
      <c r="F744" s="64"/>
      <c r="G744" s="81">
        <v>0</v>
      </c>
      <c r="H744" s="64"/>
      <c r="I744" s="64"/>
    </row>
    <row r="745" spans="1:9" ht="15.75" hidden="1" customHeight="1">
      <c r="A745" s="64"/>
      <c r="B745" s="177">
        <v>45891</v>
      </c>
      <c r="C745" s="64">
        <v>0</v>
      </c>
      <c r="D745" s="64">
        <v>14175</v>
      </c>
      <c r="E745" s="64" t="s">
        <v>62</v>
      </c>
      <c r="F745" s="178">
        <v>391906830</v>
      </c>
      <c r="G745" s="81">
        <v>3500</v>
      </c>
      <c r="H745" s="64"/>
      <c r="I745" s="64"/>
    </row>
    <row r="746" spans="1:9" ht="15.75" hidden="1" customHeight="1">
      <c r="A746" s="64"/>
      <c r="B746" s="64"/>
      <c r="C746" s="64"/>
      <c r="D746" s="64"/>
      <c r="E746" s="64" t="s">
        <v>97</v>
      </c>
      <c r="F746" s="64"/>
      <c r="G746" s="81">
        <v>0</v>
      </c>
      <c r="H746" s="64"/>
      <c r="I746" s="64"/>
    </row>
    <row r="747" spans="1:9" ht="15.75" customHeight="1">
      <c r="A747" s="179" t="s">
        <v>140</v>
      </c>
      <c r="B747" s="177">
        <v>45891</v>
      </c>
      <c r="C747" s="64">
        <v>0</v>
      </c>
      <c r="D747" s="64">
        <v>14138</v>
      </c>
      <c r="E747" s="64" t="s">
        <v>141</v>
      </c>
      <c r="F747" s="178">
        <v>202508210016511</v>
      </c>
      <c r="G747" s="81">
        <v>580.20000000000005</v>
      </c>
      <c r="H747" s="64" t="s">
        <v>1196</v>
      </c>
      <c r="I747" s="64" t="s">
        <v>419</v>
      </c>
    </row>
    <row r="748" spans="1:9" ht="15.75" hidden="1" customHeight="1">
      <c r="A748" s="64"/>
      <c r="B748" s="64"/>
      <c r="C748" s="64"/>
      <c r="D748" s="64"/>
      <c r="E748" s="64" t="s">
        <v>143</v>
      </c>
      <c r="F748" s="64"/>
      <c r="G748" s="81">
        <v>0</v>
      </c>
      <c r="H748" s="64"/>
      <c r="I748" s="64"/>
    </row>
    <row r="749" spans="1:9" ht="15.75" customHeight="1">
      <c r="A749" s="179" t="s">
        <v>140</v>
      </c>
      <c r="B749" s="177">
        <v>45891</v>
      </c>
      <c r="C749" s="64">
        <v>0</v>
      </c>
      <c r="D749" s="64">
        <v>14138</v>
      </c>
      <c r="E749" s="64" t="s">
        <v>141</v>
      </c>
      <c r="F749" s="178">
        <v>202508210016527</v>
      </c>
      <c r="G749" s="81">
        <v>372.8</v>
      </c>
      <c r="H749" s="64" t="s">
        <v>1197</v>
      </c>
      <c r="I749" s="64" t="s">
        <v>428</v>
      </c>
    </row>
    <row r="750" spans="1:9" ht="15.75" hidden="1" customHeight="1">
      <c r="A750" s="64"/>
      <c r="B750" s="64"/>
      <c r="C750" s="64"/>
      <c r="D750" s="64"/>
      <c r="E750" s="64" t="s">
        <v>143</v>
      </c>
      <c r="F750" s="64"/>
      <c r="G750" s="81">
        <v>0</v>
      </c>
      <c r="H750" s="64"/>
      <c r="I750" s="64"/>
    </row>
    <row r="751" spans="1:9" ht="15.75" customHeight="1">
      <c r="A751" s="179" t="s">
        <v>140</v>
      </c>
      <c r="B751" s="177">
        <v>45891</v>
      </c>
      <c r="C751" s="64">
        <v>0</v>
      </c>
      <c r="D751" s="64">
        <v>14138</v>
      </c>
      <c r="E751" s="64" t="s">
        <v>141</v>
      </c>
      <c r="F751" s="178">
        <v>202508210016529</v>
      </c>
      <c r="G751" s="81">
        <v>1668.08</v>
      </c>
      <c r="H751" s="79" t="s">
        <v>1198</v>
      </c>
      <c r="I751" s="64" t="s">
        <v>428</v>
      </c>
    </row>
    <row r="752" spans="1:9" ht="15.75" hidden="1" customHeight="1">
      <c r="A752" s="64"/>
      <c r="B752" s="64"/>
      <c r="C752" s="64"/>
      <c r="D752" s="64"/>
      <c r="E752" s="64" t="s">
        <v>143</v>
      </c>
      <c r="F752" s="64"/>
      <c r="G752" s="81">
        <v>0</v>
      </c>
      <c r="H752" s="64"/>
      <c r="I752" s="64"/>
    </row>
    <row r="753" spans="1:9" ht="15.75" hidden="1" customHeight="1">
      <c r="A753" s="64"/>
      <c r="B753" s="177">
        <v>45891</v>
      </c>
      <c r="C753" s="64">
        <v>0</v>
      </c>
      <c r="D753" s="64">
        <v>14397</v>
      </c>
      <c r="E753" s="64" t="s">
        <v>57</v>
      </c>
      <c r="F753" s="178">
        <v>221052090200291</v>
      </c>
      <c r="G753" s="81">
        <v>369.64</v>
      </c>
      <c r="H753" s="64"/>
      <c r="I753" s="64"/>
    </row>
    <row r="754" spans="1:9" ht="15.75" hidden="1" customHeight="1">
      <c r="A754" s="64"/>
      <c r="B754" s="64"/>
      <c r="C754" s="64"/>
      <c r="D754" s="64"/>
      <c r="E754" s="64" t="s">
        <v>1199</v>
      </c>
      <c r="F754" s="64"/>
      <c r="G754" s="81">
        <v>0</v>
      </c>
      <c r="H754" s="64"/>
      <c r="I754" s="64"/>
    </row>
    <row r="755" spans="1:9" ht="15.75" hidden="1" customHeight="1">
      <c r="A755" s="64"/>
      <c r="B755" s="177">
        <v>45891</v>
      </c>
      <c r="C755" s="64">
        <v>0</v>
      </c>
      <c r="D755" s="64">
        <v>14397</v>
      </c>
      <c r="E755" s="64" t="s">
        <v>57</v>
      </c>
      <c r="F755" s="178">
        <v>221129538017732</v>
      </c>
      <c r="G755" s="81">
        <v>527.41</v>
      </c>
      <c r="H755" s="64"/>
      <c r="I755" s="64"/>
    </row>
    <row r="756" spans="1:9" ht="15.75" hidden="1" customHeight="1">
      <c r="A756" s="64"/>
      <c r="B756" s="64"/>
      <c r="C756" s="64"/>
      <c r="D756" s="64"/>
      <c r="E756" s="64" t="s">
        <v>1200</v>
      </c>
      <c r="F756" s="64"/>
      <c r="G756" s="81">
        <v>0</v>
      </c>
      <c r="H756" s="64"/>
      <c r="I756" s="64"/>
    </row>
    <row r="757" spans="1:9" ht="15.75" hidden="1" customHeight="1">
      <c r="A757" s="64"/>
      <c r="B757" s="177">
        <v>45891</v>
      </c>
      <c r="C757" s="64">
        <v>0</v>
      </c>
      <c r="D757" s="64">
        <v>14397</v>
      </c>
      <c r="E757" s="64" t="s">
        <v>57</v>
      </c>
      <c r="F757" s="178">
        <v>221140128956891</v>
      </c>
      <c r="G757" s="81">
        <v>5637</v>
      </c>
      <c r="H757" s="64"/>
      <c r="I757" s="64"/>
    </row>
    <row r="758" spans="1:9" ht="15.75" hidden="1" customHeight="1">
      <c r="A758" s="64"/>
      <c r="B758" s="64"/>
      <c r="C758" s="64"/>
      <c r="D758" s="64"/>
      <c r="E758" s="64" t="s">
        <v>1201</v>
      </c>
      <c r="F758" s="64"/>
      <c r="G758" s="81">
        <v>0</v>
      </c>
      <c r="H758" s="64"/>
      <c r="I758" s="64"/>
    </row>
    <row r="759" spans="1:9" ht="15.75" hidden="1" customHeight="1">
      <c r="A759" s="64"/>
      <c r="B759" s="177">
        <v>45891</v>
      </c>
      <c r="C759" s="64">
        <v>0</v>
      </c>
      <c r="D759" s="64">
        <v>14397</v>
      </c>
      <c r="E759" s="64" t="s">
        <v>57</v>
      </c>
      <c r="F759" s="178">
        <v>221344459248431</v>
      </c>
      <c r="G759" s="81">
        <v>75</v>
      </c>
      <c r="H759" s="64"/>
      <c r="I759" s="64"/>
    </row>
    <row r="760" spans="1:9" ht="15.75" hidden="1" customHeight="1">
      <c r="A760" s="64"/>
      <c r="B760" s="64"/>
      <c r="C760" s="64"/>
      <c r="D760" s="64"/>
      <c r="E760" s="64" t="s">
        <v>1202</v>
      </c>
      <c r="F760" s="64"/>
      <c r="G760" s="81">
        <v>0</v>
      </c>
      <c r="H760" s="64"/>
      <c r="I760" s="64"/>
    </row>
    <row r="761" spans="1:9" ht="15.75" hidden="1" customHeight="1">
      <c r="A761" s="64"/>
      <c r="B761" s="177">
        <v>45891</v>
      </c>
      <c r="C761" s="64">
        <v>0</v>
      </c>
      <c r="D761" s="64">
        <v>14397</v>
      </c>
      <c r="E761" s="64" t="s">
        <v>57</v>
      </c>
      <c r="F761" s="178">
        <v>221707139696661</v>
      </c>
      <c r="G761" s="81">
        <v>343.31</v>
      </c>
      <c r="H761" s="64"/>
      <c r="I761" s="64"/>
    </row>
    <row r="762" spans="1:9" ht="15.75" hidden="1" customHeight="1">
      <c r="A762" s="64"/>
      <c r="B762" s="64"/>
      <c r="C762" s="64"/>
      <c r="D762" s="64"/>
      <c r="E762" s="64" t="s">
        <v>1203</v>
      </c>
      <c r="F762" s="64"/>
      <c r="G762" s="81">
        <v>0</v>
      </c>
      <c r="H762" s="64"/>
      <c r="I762" s="64"/>
    </row>
    <row r="763" spans="1:9" ht="15.75" hidden="1" customHeight="1">
      <c r="A763" s="64"/>
      <c r="B763" s="177">
        <v>45891</v>
      </c>
      <c r="C763" s="64">
        <v>0</v>
      </c>
      <c r="D763" s="64">
        <v>13105</v>
      </c>
      <c r="E763" s="64" t="s">
        <v>80</v>
      </c>
      <c r="F763" s="178">
        <v>82201</v>
      </c>
      <c r="G763" s="81">
        <v>1038.6099999999999</v>
      </c>
      <c r="H763" s="64"/>
      <c r="I763" s="64"/>
    </row>
    <row r="764" spans="1:9" ht="15.75" hidden="1" customHeight="1">
      <c r="A764" s="64"/>
      <c r="B764" s="64"/>
      <c r="C764" s="64"/>
      <c r="D764" s="64"/>
      <c r="E764" s="64" t="s">
        <v>81</v>
      </c>
      <c r="F764" s="64"/>
      <c r="G764" s="81">
        <v>0</v>
      </c>
      <c r="H764" s="64"/>
      <c r="I764" s="64"/>
    </row>
    <row r="765" spans="1:9" ht="15.75" hidden="1" customHeight="1">
      <c r="A765" s="64"/>
      <c r="B765" s="177">
        <v>45891</v>
      </c>
      <c r="C765" s="64">
        <v>0</v>
      </c>
      <c r="D765" s="64">
        <v>13105</v>
      </c>
      <c r="E765" s="64" t="s">
        <v>34</v>
      </c>
      <c r="F765" s="178">
        <v>82202</v>
      </c>
      <c r="G765" s="81">
        <v>132.96</v>
      </c>
      <c r="H765" s="64"/>
      <c r="I765" s="64"/>
    </row>
    <row r="766" spans="1:9" ht="15.75" hidden="1" customHeight="1">
      <c r="A766" s="64"/>
      <c r="B766" s="64"/>
      <c r="C766" s="64"/>
      <c r="D766" s="64"/>
      <c r="E766" s="64" t="s">
        <v>35</v>
      </c>
      <c r="F766" s="64"/>
      <c r="G766" s="81">
        <v>0</v>
      </c>
      <c r="H766" s="64"/>
      <c r="I766" s="64"/>
    </row>
    <row r="767" spans="1:9" ht="15.75" hidden="1" customHeight="1">
      <c r="A767" s="64"/>
      <c r="B767" s="177">
        <v>45891</v>
      </c>
      <c r="C767" s="64">
        <v>0</v>
      </c>
      <c r="D767" s="64">
        <v>13105</v>
      </c>
      <c r="E767" s="64" t="s">
        <v>31</v>
      </c>
      <c r="F767" s="178">
        <v>82203</v>
      </c>
      <c r="G767" s="81">
        <v>396.67</v>
      </c>
      <c r="H767" s="64"/>
      <c r="I767" s="64"/>
    </row>
    <row r="768" spans="1:9" ht="15.75" hidden="1" customHeight="1">
      <c r="A768" s="64"/>
      <c r="B768" s="64"/>
      <c r="C768" s="64"/>
      <c r="D768" s="64"/>
      <c r="E768" s="64" t="s">
        <v>67</v>
      </c>
      <c r="F768" s="64"/>
      <c r="G768" s="81">
        <v>0</v>
      </c>
      <c r="H768" s="64"/>
      <c r="I768" s="64"/>
    </row>
    <row r="769" spans="1:9" ht="15.75" hidden="1" customHeight="1">
      <c r="A769" s="64"/>
      <c r="B769" s="177">
        <v>45891</v>
      </c>
      <c r="C769" s="64">
        <v>0</v>
      </c>
      <c r="D769" s="64">
        <v>13105</v>
      </c>
      <c r="E769" s="64" t="s">
        <v>31</v>
      </c>
      <c r="F769" s="178">
        <v>82204</v>
      </c>
      <c r="G769" s="81">
        <v>282</v>
      </c>
      <c r="H769" s="64"/>
      <c r="I769" s="64"/>
    </row>
    <row r="770" spans="1:9" ht="15.75" hidden="1" customHeight="1">
      <c r="A770" s="64"/>
      <c r="B770" s="64"/>
      <c r="C770" s="64"/>
      <c r="D770" s="64"/>
      <c r="E770" s="64" t="s">
        <v>67</v>
      </c>
      <c r="F770" s="64"/>
      <c r="G770" s="81">
        <v>0</v>
      </c>
      <c r="H770" s="64"/>
      <c r="I770" s="64"/>
    </row>
    <row r="771" spans="1:9" ht="15.75" hidden="1" customHeight="1">
      <c r="A771" s="64"/>
      <c r="B771" s="177">
        <v>45891</v>
      </c>
      <c r="C771" s="64">
        <v>0</v>
      </c>
      <c r="D771" s="64">
        <v>13105</v>
      </c>
      <c r="E771" s="64" t="s">
        <v>31</v>
      </c>
      <c r="F771" s="178">
        <v>82205</v>
      </c>
      <c r="G771" s="81">
        <v>264</v>
      </c>
      <c r="H771" s="64"/>
      <c r="I771" s="64"/>
    </row>
    <row r="772" spans="1:9" ht="15.75" hidden="1" customHeight="1">
      <c r="A772" s="64"/>
      <c r="B772" s="64"/>
      <c r="C772" s="64"/>
      <c r="D772" s="64"/>
      <c r="E772" s="64" t="s">
        <v>41</v>
      </c>
      <c r="F772" s="64"/>
      <c r="G772" s="81">
        <v>0</v>
      </c>
      <c r="H772" s="64"/>
      <c r="I772" s="64"/>
    </row>
    <row r="773" spans="1:9" ht="15.75" hidden="1" customHeight="1">
      <c r="A773" s="64"/>
      <c r="B773" s="177">
        <v>45891</v>
      </c>
      <c r="C773" s="64">
        <v>0</v>
      </c>
      <c r="D773" s="64">
        <v>13105</v>
      </c>
      <c r="E773" s="64" t="s">
        <v>31</v>
      </c>
      <c r="F773" s="178">
        <v>82206</v>
      </c>
      <c r="G773" s="81">
        <v>6400</v>
      </c>
      <c r="H773" s="64"/>
      <c r="I773" s="64"/>
    </row>
    <row r="774" spans="1:9" ht="15.75" hidden="1" customHeight="1">
      <c r="A774" s="64"/>
      <c r="B774" s="64"/>
      <c r="C774" s="64"/>
      <c r="D774" s="64"/>
      <c r="E774" s="64" t="s">
        <v>32</v>
      </c>
      <c r="F774" s="64"/>
      <c r="G774" s="81">
        <v>0</v>
      </c>
      <c r="H774" s="64"/>
      <c r="I774" s="64"/>
    </row>
    <row r="775" spans="1:9" ht="15.75" hidden="1" customHeight="1">
      <c r="A775" s="64"/>
      <c r="B775" s="177">
        <v>45891</v>
      </c>
      <c r="C775" s="64">
        <v>0</v>
      </c>
      <c r="D775" s="64">
        <v>13105</v>
      </c>
      <c r="E775" s="64" t="s">
        <v>31</v>
      </c>
      <c r="F775" s="178">
        <v>82207</v>
      </c>
      <c r="G775" s="81">
        <v>900.77</v>
      </c>
      <c r="H775" s="64"/>
      <c r="I775" s="64"/>
    </row>
    <row r="776" spans="1:9" ht="15.75" hidden="1" customHeight="1">
      <c r="A776" s="64"/>
      <c r="B776" s="64"/>
      <c r="C776" s="64"/>
      <c r="D776" s="64"/>
      <c r="E776" s="64" t="s">
        <v>66</v>
      </c>
      <c r="F776" s="64"/>
      <c r="G776" s="81">
        <v>0</v>
      </c>
      <c r="H776" s="64"/>
      <c r="I776" s="64"/>
    </row>
    <row r="777" spans="1:9" ht="15.75" hidden="1" customHeight="1">
      <c r="A777" s="64"/>
      <c r="B777" s="177">
        <v>45891</v>
      </c>
      <c r="C777" s="64">
        <v>0</v>
      </c>
      <c r="D777" s="64">
        <v>13105</v>
      </c>
      <c r="E777" s="64" t="s">
        <v>31</v>
      </c>
      <c r="F777" s="178">
        <v>82208</v>
      </c>
      <c r="G777" s="81">
        <v>538.30999999999995</v>
      </c>
      <c r="H777" s="64"/>
      <c r="I777" s="64"/>
    </row>
    <row r="778" spans="1:9" ht="15.75" hidden="1" customHeight="1">
      <c r="A778" s="64"/>
      <c r="B778" s="64"/>
      <c r="C778" s="64"/>
      <c r="D778" s="64"/>
      <c r="E778" s="64" t="s">
        <v>231</v>
      </c>
      <c r="F778" s="64"/>
      <c r="G778" s="81">
        <v>0</v>
      </c>
      <c r="H778" s="64"/>
      <c r="I778" s="64"/>
    </row>
    <row r="779" spans="1:9" ht="15.75" hidden="1" customHeight="1">
      <c r="A779" s="64"/>
      <c r="B779" s="177">
        <v>45891</v>
      </c>
      <c r="C779" s="64">
        <v>0</v>
      </c>
      <c r="D779" s="64">
        <v>13105</v>
      </c>
      <c r="E779" s="64" t="s">
        <v>31</v>
      </c>
      <c r="F779" s="178">
        <v>82209</v>
      </c>
      <c r="G779" s="81">
        <v>352.81</v>
      </c>
      <c r="H779" s="64"/>
      <c r="I779" s="64"/>
    </row>
    <row r="780" spans="1:9" ht="15.75" hidden="1" customHeight="1">
      <c r="A780" s="64"/>
      <c r="B780" s="64"/>
      <c r="C780" s="64"/>
      <c r="D780" s="64"/>
      <c r="E780" s="64" t="s">
        <v>231</v>
      </c>
      <c r="F780" s="64"/>
      <c r="G780" s="81">
        <v>0</v>
      </c>
      <c r="H780" s="64"/>
      <c r="I780" s="64"/>
    </row>
    <row r="781" spans="1:9" ht="15.75" hidden="1" customHeight="1">
      <c r="A781" s="64"/>
      <c r="B781" s="177">
        <v>45891</v>
      </c>
      <c r="C781" s="64">
        <v>0</v>
      </c>
      <c r="D781" s="64">
        <v>13105</v>
      </c>
      <c r="E781" s="64" t="s">
        <v>31</v>
      </c>
      <c r="F781" s="178">
        <v>82210</v>
      </c>
      <c r="G781" s="81">
        <v>319.06</v>
      </c>
      <c r="H781" s="64"/>
      <c r="I781" s="64"/>
    </row>
    <row r="782" spans="1:9" ht="15.75" hidden="1" customHeight="1">
      <c r="A782" s="64"/>
      <c r="B782" s="64"/>
      <c r="C782" s="64"/>
      <c r="D782" s="64"/>
      <c r="E782" s="64" t="s">
        <v>231</v>
      </c>
      <c r="F782" s="64"/>
      <c r="G782" s="81">
        <v>0</v>
      </c>
      <c r="H782" s="64"/>
      <c r="I782" s="64"/>
    </row>
    <row r="783" spans="1:9" ht="15.75" hidden="1" customHeight="1">
      <c r="A783" s="64"/>
      <c r="B783" s="177">
        <v>45891</v>
      </c>
      <c r="C783" s="64">
        <v>0</v>
      </c>
      <c r="D783" s="64">
        <v>0</v>
      </c>
      <c r="E783" s="64" t="s">
        <v>59</v>
      </c>
      <c r="F783" s="178">
        <v>9903</v>
      </c>
      <c r="G783" s="81">
        <v>2448.25</v>
      </c>
      <c r="H783" s="64"/>
      <c r="I783" s="64"/>
    </row>
    <row r="784" spans="1:9" ht="15.75" hidden="1" customHeight="1">
      <c r="A784" s="64"/>
      <c r="B784" s="64"/>
      <c r="C784" s="64"/>
      <c r="D784" s="64"/>
      <c r="E784" s="64" t="s">
        <v>53</v>
      </c>
      <c r="F784" s="64"/>
      <c r="G784" s="81">
        <v>0</v>
      </c>
      <c r="H784" s="64"/>
      <c r="I784" s="64"/>
    </row>
    <row r="785" spans="1:9" ht="15.75" hidden="1" customHeight="1">
      <c r="A785" s="64"/>
      <c r="B785" s="177">
        <v>45894</v>
      </c>
      <c r="C785" s="64">
        <v>3525</v>
      </c>
      <c r="D785" s="64">
        <v>99021</v>
      </c>
      <c r="E785" s="64" t="s">
        <v>27</v>
      </c>
      <c r="F785" s="178">
        <v>613525000032047</v>
      </c>
      <c r="G785" s="81">
        <v>211.53</v>
      </c>
      <c r="H785" s="64"/>
      <c r="I785" s="64"/>
    </row>
    <row r="786" spans="1:9" ht="15.75" hidden="1" customHeight="1">
      <c r="A786" s="64"/>
      <c r="B786" s="64"/>
      <c r="C786" s="64"/>
      <c r="D786" s="64"/>
      <c r="E786" s="64" t="s">
        <v>1204</v>
      </c>
      <c r="F786" s="64"/>
      <c r="G786" s="81">
        <v>0</v>
      </c>
      <c r="H786" s="64"/>
      <c r="I786" s="64"/>
    </row>
    <row r="787" spans="1:9" ht="15.75" customHeight="1">
      <c r="A787" s="179" t="s">
        <v>140</v>
      </c>
      <c r="B787" s="177">
        <v>45894</v>
      </c>
      <c r="C787" s="64">
        <v>0</v>
      </c>
      <c r="D787" s="64">
        <v>14138</v>
      </c>
      <c r="E787" s="64" t="s">
        <v>141</v>
      </c>
      <c r="F787" s="178">
        <v>202508220027269</v>
      </c>
      <c r="G787" s="81">
        <v>666.78</v>
      </c>
      <c r="H787" s="64" t="s">
        <v>1205</v>
      </c>
      <c r="I787" s="64" t="s">
        <v>419</v>
      </c>
    </row>
    <row r="788" spans="1:9" ht="15.75" hidden="1" customHeight="1">
      <c r="A788" s="64"/>
      <c r="B788" s="64"/>
      <c r="C788" s="64"/>
      <c r="D788" s="64"/>
      <c r="E788" s="64" t="s">
        <v>143</v>
      </c>
      <c r="F788" s="64"/>
      <c r="G788" s="81">
        <v>0</v>
      </c>
      <c r="H788" s="64"/>
      <c r="I788" s="64"/>
    </row>
    <row r="789" spans="1:9" ht="15.75" customHeight="1">
      <c r="A789" s="179" t="s">
        <v>140</v>
      </c>
      <c r="B789" s="177">
        <v>45894</v>
      </c>
      <c r="C789" s="64">
        <v>0</v>
      </c>
      <c r="D789" s="64">
        <v>14138</v>
      </c>
      <c r="E789" s="64" t="s">
        <v>141</v>
      </c>
      <c r="F789" s="178">
        <v>202508220027277</v>
      </c>
      <c r="G789" s="81">
        <v>259.5</v>
      </c>
      <c r="H789" s="64" t="s">
        <v>1206</v>
      </c>
      <c r="I789" s="64" t="s">
        <v>419</v>
      </c>
    </row>
    <row r="790" spans="1:9" ht="15.75" hidden="1" customHeight="1">
      <c r="A790" s="64"/>
      <c r="B790" s="64"/>
      <c r="C790" s="64"/>
      <c r="D790" s="64"/>
      <c r="E790" s="64" t="s">
        <v>143</v>
      </c>
      <c r="F790" s="64"/>
      <c r="G790" s="81">
        <v>0</v>
      </c>
      <c r="H790" s="64"/>
      <c r="I790" s="64"/>
    </row>
    <row r="791" spans="1:9" ht="15.75" customHeight="1">
      <c r="A791" s="179" t="s">
        <v>140</v>
      </c>
      <c r="B791" s="177">
        <v>45894</v>
      </c>
      <c r="C791" s="64">
        <v>0</v>
      </c>
      <c r="D791" s="64">
        <v>14138</v>
      </c>
      <c r="E791" s="64" t="s">
        <v>141</v>
      </c>
      <c r="F791" s="178">
        <v>202508220027285</v>
      </c>
      <c r="G791" s="81">
        <v>883.84</v>
      </c>
      <c r="H791" s="64" t="s">
        <v>1207</v>
      </c>
      <c r="I791" s="64" t="s">
        <v>428</v>
      </c>
    </row>
    <row r="792" spans="1:9" ht="15.75" hidden="1" customHeight="1">
      <c r="A792" s="64"/>
      <c r="B792" s="64"/>
      <c r="C792" s="64"/>
      <c r="D792" s="64"/>
      <c r="E792" s="64" t="s">
        <v>143</v>
      </c>
      <c r="F792" s="64"/>
      <c r="G792" s="81">
        <v>0</v>
      </c>
      <c r="H792" s="64"/>
      <c r="I792" s="64"/>
    </row>
    <row r="793" spans="1:9" ht="15.75" customHeight="1">
      <c r="A793" s="179" t="s">
        <v>140</v>
      </c>
      <c r="B793" s="177">
        <v>45894</v>
      </c>
      <c r="C793" s="64">
        <v>0</v>
      </c>
      <c r="D793" s="64">
        <v>14138</v>
      </c>
      <c r="E793" s="64" t="s">
        <v>141</v>
      </c>
      <c r="F793" s="178">
        <v>202508220027302</v>
      </c>
      <c r="G793" s="81">
        <v>1155.02</v>
      </c>
      <c r="H793" s="64" t="s">
        <v>1208</v>
      </c>
      <c r="I793" s="64" t="s">
        <v>419</v>
      </c>
    </row>
    <row r="794" spans="1:9" ht="15.75" hidden="1" customHeight="1">
      <c r="A794" s="64"/>
      <c r="B794" s="64"/>
      <c r="C794" s="64"/>
      <c r="D794" s="64"/>
      <c r="E794" s="64" t="s">
        <v>143</v>
      </c>
      <c r="F794" s="64"/>
      <c r="G794" s="81">
        <v>0</v>
      </c>
      <c r="H794" s="64"/>
      <c r="I794" s="64"/>
    </row>
    <row r="795" spans="1:9" ht="15.75" hidden="1" customHeight="1">
      <c r="A795" s="64"/>
      <c r="B795" s="177">
        <v>45894</v>
      </c>
      <c r="C795" s="64">
        <v>0</v>
      </c>
      <c r="D795" s="64">
        <v>14397</v>
      </c>
      <c r="E795" s="64" t="s">
        <v>57</v>
      </c>
      <c r="F795" s="178">
        <v>251018227286591</v>
      </c>
      <c r="G795" s="81">
        <v>20000</v>
      </c>
      <c r="H795" s="64"/>
      <c r="I795" s="64"/>
    </row>
    <row r="796" spans="1:9" ht="15.75" hidden="1" customHeight="1">
      <c r="A796" s="64"/>
      <c r="B796" s="64"/>
      <c r="C796" s="64"/>
      <c r="D796" s="64"/>
      <c r="E796" s="64" t="s">
        <v>1209</v>
      </c>
      <c r="F796" s="64"/>
      <c r="G796" s="81">
        <v>0</v>
      </c>
      <c r="H796" s="64"/>
      <c r="I796" s="64"/>
    </row>
    <row r="797" spans="1:9" ht="15.75" hidden="1" customHeight="1">
      <c r="A797" s="64"/>
      <c r="B797" s="177">
        <v>45894</v>
      </c>
      <c r="C797" s="64">
        <v>0</v>
      </c>
      <c r="D797" s="64">
        <v>14397</v>
      </c>
      <c r="E797" s="64" t="s">
        <v>57</v>
      </c>
      <c r="F797" s="178">
        <v>251335212035352</v>
      </c>
      <c r="G797" s="81">
        <v>2076.52</v>
      </c>
      <c r="H797" s="64"/>
      <c r="I797" s="64"/>
    </row>
    <row r="798" spans="1:9" ht="15.75" hidden="1" customHeight="1">
      <c r="A798" s="64"/>
      <c r="B798" s="64"/>
      <c r="C798" s="64"/>
      <c r="D798" s="64"/>
      <c r="E798" s="64" t="s">
        <v>1210</v>
      </c>
      <c r="F798" s="64"/>
      <c r="G798" s="81">
        <v>0</v>
      </c>
      <c r="H798" s="64"/>
      <c r="I798" s="64"/>
    </row>
    <row r="799" spans="1:9" ht="15.75" hidden="1" customHeight="1">
      <c r="A799" s="64"/>
      <c r="B799" s="177">
        <v>45894</v>
      </c>
      <c r="C799" s="64">
        <v>1533</v>
      </c>
      <c r="D799" s="64">
        <v>99008</v>
      </c>
      <c r="E799" s="64" t="s">
        <v>29</v>
      </c>
      <c r="F799" s="178">
        <v>571985</v>
      </c>
      <c r="G799" s="81">
        <v>187.19</v>
      </c>
      <c r="H799" s="64"/>
      <c r="I799" s="64"/>
    </row>
    <row r="800" spans="1:9" ht="15.75" hidden="1" customHeight="1">
      <c r="A800" s="64"/>
      <c r="B800" s="64"/>
      <c r="C800" s="64"/>
      <c r="D800" s="64"/>
      <c r="E800" s="64" t="s">
        <v>1211</v>
      </c>
      <c r="F800" s="64"/>
      <c r="G800" s="81">
        <v>0</v>
      </c>
      <c r="H800" s="64"/>
      <c r="I800" s="64"/>
    </row>
    <row r="801" spans="1:9" ht="15.75" hidden="1" customHeight="1">
      <c r="A801" s="64"/>
      <c r="B801" s="177">
        <v>45894</v>
      </c>
      <c r="C801" s="64">
        <v>0</v>
      </c>
      <c r="D801" s="64">
        <v>13105</v>
      </c>
      <c r="E801" s="64" t="s">
        <v>80</v>
      </c>
      <c r="F801" s="178">
        <v>82501</v>
      </c>
      <c r="G801" s="81">
        <v>1893.26</v>
      </c>
      <c r="H801" s="64"/>
      <c r="I801" s="64"/>
    </row>
    <row r="802" spans="1:9" ht="15.75" hidden="1" customHeight="1">
      <c r="A802" s="64"/>
      <c r="B802" s="64"/>
      <c r="C802" s="64"/>
      <c r="D802" s="64"/>
      <c r="E802" s="64" t="s">
        <v>81</v>
      </c>
      <c r="F802" s="64"/>
      <c r="G802" s="81">
        <v>0</v>
      </c>
      <c r="H802" s="64"/>
      <c r="I802" s="64"/>
    </row>
    <row r="803" spans="1:9" ht="15.75" hidden="1" customHeight="1">
      <c r="A803" s="64"/>
      <c r="B803" s="177">
        <v>45894</v>
      </c>
      <c r="C803" s="64">
        <v>0</v>
      </c>
      <c r="D803" s="64">
        <v>13105</v>
      </c>
      <c r="E803" s="64" t="s">
        <v>80</v>
      </c>
      <c r="F803" s="178">
        <v>82502</v>
      </c>
      <c r="G803" s="81">
        <v>788</v>
      </c>
      <c r="H803" s="64"/>
      <c r="I803" s="64"/>
    </row>
    <row r="804" spans="1:9" ht="15.75" hidden="1" customHeight="1">
      <c r="A804" s="64"/>
      <c r="B804" s="64"/>
      <c r="C804" s="64"/>
      <c r="D804" s="64"/>
      <c r="E804" s="64" t="s">
        <v>84</v>
      </c>
      <c r="F804" s="64"/>
      <c r="G804" s="81">
        <v>0</v>
      </c>
      <c r="H804" s="64"/>
      <c r="I804" s="64"/>
    </row>
    <row r="805" spans="1:9" ht="15.75" hidden="1" customHeight="1">
      <c r="A805" s="64"/>
      <c r="B805" s="177">
        <v>45894</v>
      </c>
      <c r="C805" s="64">
        <v>0</v>
      </c>
      <c r="D805" s="64">
        <v>13105</v>
      </c>
      <c r="E805" s="64" t="s">
        <v>80</v>
      </c>
      <c r="F805" s="178">
        <v>82503</v>
      </c>
      <c r="G805" s="81">
        <v>1685.11</v>
      </c>
      <c r="H805" s="64"/>
      <c r="I805" s="64"/>
    </row>
    <row r="806" spans="1:9" ht="15.75" hidden="1" customHeight="1">
      <c r="A806" s="64"/>
      <c r="B806" s="64"/>
      <c r="C806" s="64"/>
      <c r="D806" s="64"/>
      <c r="E806" s="64" t="s">
        <v>154</v>
      </c>
      <c r="F806" s="64"/>
      <c r="G806" s="81">
        <v>0</v>
      </c>
      <c r="H806" s="64"/>
      <c r="I806" s="64"/>
    </row>
    <row r="807" spans="1:9" ht="15.75" hidden="1" customHeight="1">
      <c r="A807" s="64"/>
      <c r="B807" s="177">
        <v>45894</v>
      </c>
      <c r="C807" s="64">
        <v>0</v>
      </c>
      <c r="D807" s="64">
        <v>13105</v>
      </c>
      <c r="E807" s="64" t="s">
        <v>80</v>
      </c>
      <c r="F807" s="178">
        <v>82504</v>
      </c>
      <c r="G807" s="81">
        <v>7777.45</v>
      </c>
      <c r="H807" s="64"/>
      <c r="I807" s="64"/>
    </row>
    <row r="808" spans="1:9" ht="15.75" hidden="1" customHeight="1">
      <c r="A808" s="64"/>
      <c r="B808" s="64"/>
      <c r="C808" s="64"/>
      <c r="D808" s="64"/>
      <c r="E808" s="64" t="s">
        <v>154</v>
      </c>
      <c r="F808" s="64"/>
      <c r="G808" s="81">
        <v>0</v>
      </c>
      <c r="H808" s="64"/>
      <c r="I808" s="64"/>
    </row>
    <row r="809" spans="1:9" ht="15.75" hidden="1" customHeight="1">
      <c r="A809" s="64"/>
      <c r="B809" s="177">
        <v>45894</v>
      </c>
      <c r="C809" s="64">
        <v>0</v>
      </c>
      <c r="D809" s="64">
        <v>13105</v>
      </c>
      <c r="E809" s="64" t="s">
        <v>80</v>
      </c>
      <c r="F809" s="178">
        <v>82505</v>
      </c>
      <c r="G809" s="81">
        <v>2068.4699999999998</v>
      </c>
      <c r="H809" s="64"/>
      <c r="I809" s="64"/>
    </row>
    <row r="810" spans="1:9" ht="15.75" hidden="1" customHeight="1">
      <c r="A810" s="64"/>
      <c r="B810" s="64"/>
      <c r="C810" s="64"/>
      <c r="D810" s="64"/>
      <c r="E810" s="64" t="s">
        <v>81</v>
      </c>
      <c r="F810" s="64"/>
      <c r="G810" s="81">
        <v>0</v>
      </c>
      <c r="H810" s="64"/>
      <c r="I810" s="64"/>
    </row>
    <row r="811" spans="1:9" ht="15.75" hidden="1" customHeight="1">
      <c r="A811" s="64"/>
      <c r="B811" s="177">
        <v>45894</v>
      </c>
      <c r="C811" s="64">
        <v>0</v>
      </c>
      <c r="D811" s="64">
        <v>13105</v>
      </c>
      <c r="E811" s="64" t="s">
        <v>31</v>
      </c>
      <c r="F811" s="178">
        <v>82506</v>
      </c>
      <c r="G811" s="81">
        <v>3395.89</v>
      </c>
      <c r="H811" s="64"/>
      <c r="I811" s="64"/>
    </row>
    <row r="812" spans="1:9" ht="15.75" hidden="1" customHeight="1">
      <c r="A812" s="64"/>
      <c r="B812" s="64"/>
      <c r="C812" s="64"/>
      <c r="D812" s="64"/>
      <c r="E812" s="64" t="s">
        <v>65</v>
      </c>
      <c r="F812" s="64"/>
      <c r="G812" s="81">
        <v>0</v>
      </c>
      <c r="H812" s="64"/>
      <c r="I812" s="64"/>
    </row>
    <row r="813" spans="1:9" ht="15.75" hidden="1" customHeight="1">
      <c r="A813" s="64"/>
      <c r="B813" s="177">
        <v>45894</v>
      </c>
      <c r="C813" s="64">
        <v>0</v>
      </c>
      <c r="D813" s="64">
        <v>13105</v>
      </c>
      <c r="E813" s="64" t="s">
        <v>31</v>
      </c>
      <c r="F813" s="178">
        <v>82507</v>
      </c>
      <c r="G813" s="81">
        <v>2484</v>
      </c>
      <c r="H813" s="64"/>
      <c r="I813" s="64"/>
    </row>
    <row r="814" spans="1:9" ht="15.75" hidden="1" customHeight="1">
      <c r="A814" s="64"/>
      <c r="B814" s="64"/>
      <c r="C814" s="64"/>
      <c r="D814" s="64"/>
      <c r="E814" s="64" t="s">
        <v>523</v>
      </c>
      <c r="F814" s="64"/>
      <c r="G814" s="81">
        <v>0</v>
      </c>
      <c r="H814" s="64"/>
      <c r="I814" s="64"/>
    </row>
    <row r="815" spans="1:9" ht="15.75" hidden="1" customHeight="1">
      <c r="A815" s="64"/>
      <c r="B815" s="177">
        <v>45894</v>
      </c>
      <c r="C815" s="64">
        <v>0</v>
      </c>
      <c r="D815" s="64">
        <v>13105</v>
      </c>
      <c r="E815" s="64" t="s">
        <v>31</v>
      </c>
      <c r="F815" s="178">
        <v>82508</v>
      </c>
      <c r="G815" s="81">
        <v>1320</v>
      </c>
      <c r="H815" s="64"/>
      <c r="I815" s="64"/>
    </row>
    <row r="816" spans="1:9" ht="15.75" hidden="1" customHeight="1">
      <c r="A816" s="64"/>
      <c r="B816" s="64"/>
      <c r="C816" s="64"/>
      <c r="D816" s="64"/>
      <c r="E816" s="64" t="s">
        <v>769</v>
      </c>
      <c r="F816" s="64"/>
      <c r="G816" s="81">
        <v>0</v>
      </c>
      <c r="H816" s="64"/>
      <c r="I816" s="64"/>
    </row>
    <row r="817" spans="1:9" ht="15.75" hidden="1" customHeight="1">
      <c r="A817" s="64"/>
      <c r="B817" s="177">
        <v>45894</v>
      </c>
      <c r="C817" s="64">
        <v>0</v>
      </c>
      <c r="D817" s="64">
        <v>13105</v>
      </c>
      <c r="E817" s="64" t="s">
        <v>31</v>
      </c>
      <c r="F817" s="178">
        <v>82509</v>
      </c>
      <c r="G817" s="81">
        <v>1750</v>
      </c>
      <c r="H817" s="64"/>
      <c r="I817" s="64"/>
    </row>
    <row r="818" spans="1:9" ht="15.75" hidden="1" customHeight="1">
      <c r="A818" s="64"/>
      <c r="B818" s="64"/>
      <c r="C818" s="64"/>
      <c r="D818" s="64"/>
      <c r="E818" s="64" t="s">
        <v>1109</v>
      </c>
      <c r="F818" s="64"/>
      <c r="G818" s="81">
        <v>0</v>
      </c>
      <c r="H818" s="64"/>
      <c r="I818" s="64"/>
    </row>
    <row r="819" spans="1:9" ht="15.75" hidden="1" customHeight="1">
      <c r="A819" s="64"/>
      <c r="B819" s="177">
        <v>45894</v>
      </c>
      <c r="C819" s="64">
        <v>0</v>
      </c>
      <c r="D819" s="64">
        <v>13105</v>
      </c>
      <c r="E819" s="64" t="s">
        <v>31</v>
      </c>
      <c r="F819" s="178">
        <v>82510</v>
      </c>
      <c r="G819" s="81">
        <v>414.09</v>
      </c>
      <c r="H819" s="64"/>
      <c r="I819" s="64"/>
    </row>
    <row r="820" spans="1:9" ht="15.75" hidden="1" customHeight="1">
      <c r="A820" s="64"/>
      <c r="B820" s="64"/>
      <c r="C820" s="64"/>
      <c r="D820" s="64"/>
      <c r="E820" s="64" t="s">
        <v>200</v>
      </c>
      <c r="F820" s="64"/>
      <c r="G820" s="81">
        <v>0</v>
      </c>
      <c r="H820" s="64"/>
      <c r="I820" s="64"/>
    </row>
    <row r="821" spans="1:9" ht="15.75" hidden="1" customHeight="1">
      <c r="A821" s="64"/>
      <c r="B821" s="177">
        <v>45894</v>
      </c>
      <c r="C821" s="64">
        <v>0</v>
      </c>
      <c r="D821" s="64">
        <v>13105</v>
      </c>
      <c r="E821" s="64" t="s">
        <v>31</v>
      </c>
      <c r="F821" s="178">
        <v>82511</v>
      </c>
      <c r="G821" s="81">
        <v>191.44</v>
      </c>
      <c r="H821" s="64"/>
      <c r="I821" s="64"/>
    </row>
    <row r="822" spans="1:9" ht="15.75" hidden="1" customHeight="1">
      <c r="A822" s="64"/>
      <c r="B822" s="64"/>
      <c r="C822" s="64"/>
      <c r="D822" s="64"/>
      <c r="E822" s="64" t="s">
        <v>111</v>
      </c>
      <c r="F822" s="64"/>
      <c r="G822" s="81">
        <v>0</v>
      </c>
      <c r="H822" s="64"/>
      <c r="I822" s="64"/>
    </row>
    <row r="823" spans="1:9" ht="15.75" hidden="1" customHeight="1">
      <c r="A823" s="64"/>
      <c r="B823" s="177">
        <v>45894</v>
      </c>
      <c r="C823" s="64">
        <v>0</v>
      </c>
      <c r="D823" s="64">
        <v>13105</v>
      </c>
      <c r="E823" s="64" t="s">
        <v>31</v>
      </c>
      <c r="F823" s="178">
        <v>82512</v>
      </c>
      <c r="G823" s="81">
        <v>172.67</v>
      </c>
      <c r="H823" s="64"/>
      <c r="I823" s="64"/>
    </row>
    <row r="824" spans="1:9" ht="15.75" hidden="1" customHeight="1">
      <c r="A824" s="64"/>
      <c r="B824" s="64"/>
      <c r="C824" s="64"/>
      <c r="D824" s="64"/>
      <c r="E824" s="64" t="s">
        <v>111</v>
      </c>
      <c r="F824" s="64"/>
      <c r="G824" s="81">
        <v>0</v>
      </c>
      <c r="H824" s="64"/>
      <c r="I824" s="64"/>
    </row>
    <row r="825" spans="1:9" ht="15.75" hidden="1" customHeight="1">
      <c r="A825" s="64"/>
      <c r="B825" s="177">
        <v>45894</v>
      </c>
      <c r="C825" s="64">
        <v>0</v>
      </c>
      <c r="D825" s="64">
        <v>13105</v>
      </c>
      <c r="E825" s="64" t="s">
        <v>31</v>
      </c>
      <c r="F825" s="178">
        <v>82513</v>
      </c>
      <c r="G825" s="81">
        <v>993.9</v>
      </c>
      <c r="H825" s="64"/>
      <c r="I825" s="64"/>
    </row>
    <row r="826" spans="1:9" ht="15.75" hidden="1" customHeight="1">
      <c r="A826" s="64"/>
      <c r="B826" s="64"/>
      <c r="C826" s="64"/>
      <c r="D826" s="64"/>
      <c r="E826" s="64" t="s">
        <v>165</v>
      </c>
      <c r="F826" s="64"/>
      <c r="G826" s="81">
        <v>0</v>
      </c>
      <c r="H826" s="64"/>
      <c r="I826" s="64"/>
    </row>
    <row r="827" spans="1:9" ht="15.75" hidden="1" customHeight="1">
      <c r="A827" s="64"/>
      <c r="B827" s="177">
        <v>45894</v>
      </c>
      <c r="C827" s="64">
        <v>0</v>
      </c>
      <c r="D827" s="64">
        <v>13105</v>
      </c>
      <c r="E827" s="64" t="s">
        <v>31</v>
      </c>
      <c r="F827" s="178">
        <v>82514</v>
      </c>
      <c r="G827" s="81">
        <v>451.13</v>
      </c>
      <c r="H827" s="64"/>
      <c r="I827" s="64"/>
    </row>
    <row r="828" spans="1:9" ht="15.75" hidden="1" customHeight="1">
      <c r="A828" s="64"/>
      <c r="B828" s="64"/>
      <c r="C828" s="64"/>
      <c r="D828" s="64"/>
      <c r="E828" s="64" t="s">
        <v>201</v>
      </c>
      <c r="F828" s="64"/>
      <c r="G828" s="81">
        <v>0</v>
      </c>
      <c r="H828" s="64"/>
      <c r="I828" s="64"/>
    </row>
    <row r="829" spans="1:9" ht="15.75" hidden="1" customHeight="1">
      <c r="A829" s="64"/>
      <c r="B829" s="177">
        <v>45894</v>
      </c>
      <c r="C829" s="64">
        <v>0</v>
      </c>
      <c r="D829" s="64">
        <v>13105</v>
      </c>
      <c r="E829" s="64" t="s">
        <v>31</v>
      </c>
      <c r="F829" s="178">
        <v>82515</v>
      </c>
      <c r="G829" s="81">
        <v>943.4</v>
      </c>
      <c r="H829" s="64"/>
      <c r="I829" s="64"/>
    </row>
    <row r="830" spans="1:9" ht="15.75" hidden="1" customHeight="1">
      <c r="A830" s="64"/>
      <c r="B830" s="64"/>
      <c r="C830" s="64"/>
      <c r="D830" s="64"/>
      <c r="E830" s="64" t="s">
        <v>46</v>
      </c>
      <c r="F830" s="64"/>
      <c r="G830" s="81">
        <v>0</v>
      </c>
      <c r="H830" s="64"/>
      <c r="I830" s="64"/>
    </row>
    <row r="831" spans="1:9" ht="15.75" hidden="1" customHeight="1">
      <c r="A831" s="64"/>
      <c r="B831" s="177">
        <v>45894</v>
      </c>
      <c r="C831" s="64">
        <v>0</v>
      </c>
      <c r="D831" s="64">
        <v>13105</v>
      </c>
      <c r="E831" s="64" t="s">
        <v>31</v>
      </c>
      <c r="F831" s="178">
        <v>82516</v>
      </c>
      <c r="G831" s="81">
        <v>334.6</v>
      </c>
      <c r="H831" s="64"/>
      <c r="I831" s="64"/>
    </row>
    <row r="832" spans="1:9" ht="15.75" hidden="1" customHeight="1">
      <c r="A832" s="64"/>
      <c r="B832" s="64"/>
      <c r="C832" s="64"/>
      <c r="D832" s="64"/>
      <c r="E832" s="64" t="s">
        <v>45</v>
      </c>
      <c r="F832" s="64"/>
      <c r="G832" s="81">
        <v>0</v>
      </c>
      <c r="H832" s="64"/>
      <c r="I832" s="64"/>
    </row>
    <row r="833" spans="1:9" ht="15.75" hidden="1" customHeight="1">
      <c r="A833" s="64"/>
      <c r="B833" s="177">
        <v>45894</v>
      </c>
      <c r="C833" s="64">
        <v>0</v>
      </c>
      <c r="D833" s="64">
        <v>13105</v>
      </c>
      <c r="E833" s="64" t="s">
        <v>31</v>
      </c>
      <c r="F833" s="178">
        <v>82517</v>
      </c>
      <c r="G833" s="81">
        <v>269.07</v>
      </c>
      <c r="H833" s="64"/>
      <c r="I833" s="64"/>
    </row>
    <row r="834" spans="1:9" ht="15.75" hidden="1" customHeight="1">
      <c r="A834" s="64"/>
      <c r="B834" s="64"/>
      <c r="C834" s="64"/>
      <c r="D834" s="64"/>
      <c r="E834" s="64" t="s">
        <v>45</v>
      </c>
      <c r="F834" s="64"/>
      <c r="G834" s="81">
        <v>0</v>
      </c>
      <c r="H834" s="64"/>
      <c r="I834" s="64"/>
    </row>
    <row r="835" spans="1:9" ht="15.75" hidden="1" customHeight="1">
      <c r="A835" s="64"/>
      <c r="B835" s="177">
        <v>45894</v>
      </c>
      <c r="C835" s="64">
        <v>0</v>
      </c>
      <c r="D835" s="64">
        <v>0</v>
      </c>
      <c r="E835" s="64" t="s">
        <v>52</v>
      </c>
      <c r="F835" s="178">
        <v>9903</v>
      </c>
      <c r="G835" s="81">
        <v>1866.48</v>
      </c>
      <c r="H835" s="64"/>
      <c r="I835" s="64"/>
    </row>
    <row r="836" spans="1:9" ht="15.75" hidden="1" customHeight="1">
      <c r="A836" s="64"/>
      <c r="B836" s="64"/>
      <c r="C836" s="64"/>
      <c r="D836" s="64"/>
      <c r="E836" s="64" t="s">
        <v>53</v>
      </c>
      <c r="F836" s="64"/>
      <c r="G836" s="81">
        <v>0</v>
      </c>
      <c r="H836" s="64"/>
      <c r="I836" s="64"/>
    </row>
    <row r="837" spans="1:9" ht="15.75" customHeight="1">
      <c r="A837" s="179" t="s">
        <v>140</v>
      </c>
      <c r="B837" s="177">
        <v>45895</v>
      </c>
      <c r="C837" s="64">
        <v>0</v>
      </c>
      <c r="D837" s="64">
        <v>14138</v>
      </c>
      <c r="E837" s="64" t="s">
        <v>141</v>
      </c>
      <c r="F837" s="178">
        <v>202508250104280</v>
      </c>
      <c r="G837" s="81">
        <v>1401.97</v>
      </c>
      <c r="H837" s="64" t="s">
        <v>1212</v>
      </c>
      <c r="I837" s="64" t="s">
        <v>428</v>
      </c>
    </row>
    <row r="838" spans="1:9" ht="15.75" hidden="1" customHeight="1">
      <c r="A838" s="64"/>
      <c r="B838" s="64"/>
      <c r="C838" s="64"/>
      <c r="D838" s="64"/>
      <c r="E838" s="64" t="s">
        <v>143</v>
      </c>
      <c r="F838" s="64"/>
      <c r="G838" s="81">
        <v>0</v>
      </c>
      <c r="H838" s="64"/>
      <c r="I838" s="64"/>
    </row>
    <row r="839" spans="1:9" ht="15.75" customHeight="1">
      <c r="A839" s="179" t="s">
        <v>140</v>
      </c>
      <c r="B839" s="177">
        <v>45895</v>
      </c>
      <c r="C839" s="64">
        <v>0</v>
      </c>
      <c r="D839" s="64">
        <v>14138</v>
      </c>
      <c r="E839" s="64" t="s">
        <v>141</v>
      </c>
      <c r="F839" s="178">
        <v>202508250104281</v>
      </c>
      <c r="G839" s="81">
        <v>1668.08</v>
      </c>
      <c r="H839" s="64" t="s">
        <v>1213</v>
      </c>
      <c r="I839" s="64" t="s">
        <v>428</v>
      </c>
    </row>
    <row r="840" spans="1:9" ht="15.75" hidden="1" customHeight="1">
      <c r="A840" s="64"/>
      <c r="B840" s="64"/>
      <c r="C840" s="64"/>
      <c r="D840" s="64"/>
      <c r="E840" s="64" t="s">
        <v>143</v>
      </c>
      <c r="F840" s="64"/>
      <c r="G840" s="81">
        <v>0</v>
      </c>
      <c r="H840" s="64"/>
      <c r="I840" s="64"/>
    </row>
    <row r="841" spans="1:9" ht="15.75" customHeight="1">
      <c r="A841" s="179" t="s">
        <v>140</v>
      </c>
      <c r="B841" s="177">
        <v>45895</v>
      </c>
      <c r="C841" s="64">
        <v>0</v>
      </c>
      <c r="D841" s="64">
        <v>14138</v>
      </c>
      <c r="E841" s="64" t="s">
        <v>141</v>
      </c>
      <c r="F841" s="178">
        <v>202508250104288</v>
      </c>
      <c r="G841" s="81">
        <v>1668.08</v>
      </c>
      <c r="H841" s="64" t="s">
        <v>1214</v>
      </c>
      <c r="I841" s="64" t="s">
        <v>428</v>
      </c>
    </row>
    <row r="842" spans="1:9" ht="15.75" hidden="1" customHeight="1">
      <c r="A842" s="64"/>
      <c r="B842" s="64"/>
      <c r="C842" s="64"/>
      <c r="D842" s="64"/>
      <c r="E842" s="64" t="s">
        <v>143</v>
      </c>
      <c r="F842" s="64"/>
      <c r="G842" s="81">
        <v>0</v>
      </c>
      <c r="H842" s="64"/>
      <c r="I842" s="64"/>
    </row>
    <row r="843" spans="1:9" ht="15.75" customHeight="1">
      <c r="A843" s="179" t="s">
        <v>140</v>
      </c>
      <c r="B843" s="177">
        <v>45895</v>
      </c>
      <c r="C843" s="64">
        <v>0</v>
      </c>
      <c r="D843" s="64">
        <v>14138</v>
      </c>
      <c r="E843" s="64" t="s">
        <v>141</v>
      </c>
      <c r="F843" s="178">
        <v>202508250104290</v>
      </c>
      <c r="G843" s="81">
        <v>609.28</v>
      </c>
      <c r="H843" s="64" t="s">
        <v>1215</v>
      </c>
      <c r="I843" s="64" t="s">
        <v>419</v>
      </c>
    </row>
    <row r="844" spans="1:9" ht="15.75" hidden="1" customHeight="1">
      <c r="A844" s="64"/>
      <c r="B844" s="64"/>
      <c r="C844" s="64"/>
      <c r="D844" s="64"/>
      <c r="E844" s="64" t="s">
        <v>143</v>
      </c>
      <c r="F844" s="64"/>
      <c r="G844" s="81">
        <v>0</v>
      </c>
      <c r="H844" s="64"/>
      <c r="I844" s="64"/>
    </row>
    <row r="845" spans="1:9" ht="15.75" hidden="1" customHeight="1">
      <c r="A845" s="64"/>
      <c r="B845" s="177">
        <v>45895</v>
      </c>
      <c r="C845" s="64">
        <v>0</v>
      </c>
      <c r="D845" s="64">
        <v>14397</v>
      </c>
      <c r="E845" s="64" t="s">
        <v>57</v>
      </c>
      <c r="F845" s="178">
        <v>261200448206382</v>
      </c>
      <c r="G845" s="81">
        <v>600</v>
      </c>
      <c r="H845" s="64"/>
      <c r="I845" s="64"/>
    </row>
    <row r="846" spans="1:9" ht="15.75" hidden="1" customHeight="1">
      <c r="A846" s="64"/>
      <c r="B846" s="64"/>
      <c r="C846" s="64"/>
      <c r="D846" s="64"/>
      <c r="E846" s="64" t="s">
        <v>1216</v>
      </c>
      <c r="F846" s="64"/>
      <c r="G846" s="81">
        <v>0</v>
      </c>
      <c r="H846" s="64"/>
      <c r="I846" s="64"/>
    </row>
    <row r="847" spans="1:9" ht="15.75" hidden="1" customHeight="1">
      <c r="A847" s="64"/>
      <c r="B847" s="177">
        <v>45895</v>
      </c>
      <c r="C847" s="64">
        <v>1533</v>
      </c>
      <c r="D847" s="64">
        <v>99008</v>
      </c>
      <c r="E847" s="64" t="s">
        <v>29</v>
      </c>
      <c r="F847" s="178">
        <v>966875</v>
      </c>
      <c r="G847" s="81">
        <v>180</v>
      </c>
      <c r="H847" s="64"/>
      <c r="I847" s="64"/>
    </row>
    <row r="848" spans="1:9" ht="15.75" hidden="1" customHeight="1">
      <c r="A848" s="64"/>
      <c r="B848" s="64"/>
      <c r="C848" s="64"/>
      <c r="D848" s="64"/>
      <c r="E848" s="64" t="s">
        <v>1217</v>
      </c>
      <c r="F848" s="64"/>
      <c r="G848" s="81">
        <v>0</v>
      </c>
      <c r="H848" s="64"/>
      <c r="I848" s="64"/>
    </row>
    <row r="849" spans="1:9" ht="15.75" hidden="1" customHeight="1">
      <c r="A849" s="64"/>
      <c r="B849" s="177">
        <v>45895</v>
      </c>
      <c r="C849" s="64">
        <v>0</v>
      </c>
      <c r="D849" s="64">
        <v>13105</v>
      </c>
      <c r="E849" s="64" t="s">
        <v>80</v>
      </c>
      <c r="F849" s="178">
        <v>82601</v>
      </c>
      <c r="G849" s="81">
        <v>41.51</v>
      </c>
      <c r="H849" s="64"/>
      <c r="I849" s="64"/>
    </row>
    <row r="850" spans="1:9" ht="15.75" hidden="1" customHeight="1">
      <c r="A850" s="64"/>
      <c r="B850" s="64"/>
      <c r="C850" s="64"/>
      <c r="D850" s="64"/>
      <c r="E850" s="64" t="s">
        <v>81</v>
      </c>
      <c r="F850" s="64"/>
      <c r="G850" s="81">
        <v>0</v>
      </c>
      <c r="H850" s="64"/>
      <c r="I850" s="64"/>
    </row>
    <row r="851" spans="1:9" ht="15.75" hidden="1" customHeight="1">
      <c r="A851" s="64"/>
      <c r="B851" s="177">
        <v>45895</v>
      </c>
      <c r="C851" s="64">
        <v>0</v>
      </c>
      <c r="D851" s="64">
        <v>13105</v>
      </c>
      <c r="E851" s="64" t="s">
        <v>80</v>
      </c>
      <c r="F851" s="178">
        <v>82602</v>
      </c>
      <c r="G851" s="81">
        <v>144.61000000000001</v>
      </c>
      <c r="H851" s="64"/>
      <c r="I851" s="64"/>
    </row>
    <row r="852" spans="1:9" ht="15.75" hidden="1" customHeight="1">
      <c r="A852" s="64"/>
      <c r="B852" s="64"/>
      <c r="C852" s="64"/>
      <c r="D852" s="64"/>
      <c r="E852" s="64" t="s">
        <v>81</v>
      </c>
      <c r="F852" s="64"/>
      <c r="G852" s="81">
        <v>0</v>
      </c>
      <c r="H852" s="64"/>
      <c r="I852" s="64"/>
    </row>
    <row r="853" spans="1:9" ht="15.75" hidden="1" customHeight="1">
      <c r="A853" s="64"/>
      <c r="B853" s="177">
        <v>45895</v>
      </c>
      <c r="C853" s="64">
        <v>0</v>
      </c>
      <c r="D853" s="64">
        <v>13105</v>
      </c>
      <c r="E853" s="64" t="s">
        <v>80</v>
      </c>
      <c r="F853" s="178">
        <v>82603</v>
      </c>
      <c r="G853" s="81">
        <v>46.82</v>
      </c>
      <c r="H853" s="64"/>
      <c r="I853" s="64"/>
    </row>
    <row r="854" spans="1:9" ht="15.75" hidden="1" customHeight="1">
      <c r="A854" s="64"/>
      <c r="B854" s="64"/>
      <c r="C854" s="64"/>
      <c r="D854" s="64"/>
      <c r="E854" s="64" t="s">
        <v>81</v>
      </c>
      <c r="F854" s="64"/>
      <c r="G854" s="81">
        <v>0</v>
      </c>
      <c r="H854" s="64"/>
      <c r="I854" s="64"/>
    </row>
    <row r="855" spans="1:9" ht="15.75" hidden="1" customHeight="1">
      <c r="A855" s="64"/>
      <c r="B855" s="177">
        <v>45895</v>
      </c>
      <c r="C855" s="64">
        <v>0</v>
      </c>
      <c r="D855" s="64">
        <v>13105</v>
      </c>
      <c r="E855" s="64" t="s">
        <v>31</v>
      </c>
      <c r="F855" s="178">
        <v>82604</v>
      </c>
      <c r="G855" s="81">
        <v>399.6</v>
      </c>
      <c r="H855" s="64"/>
      <c r="I855" s="64"/>
    </row>
    <row r="856" spans="1:9" ht="15.75" hidden="1" customHeight="1">
      <c r="A856" s="64"/>
      <c r="B856" s="64"/>
      <c r="C856" s="64"/>
      <c r="D856" s="64"/>
      <c r="E856" s="64" t="s">
        <v>41</v>
      </c>
      <c r="F856" s="64"/>
      <c r="G856" s="81">
        <v>0</v>
      </c>
      <c r="H856" s="64"/>
      <c r="I856" s="64"/>
    </row>
    <row r="857" spans="1:9" ht="15.75" hidden="1" customHeight="1">
      <c r="A857" s="64"/>
      <c r="B857" s="177">
        <v>45895</v>
      </c>
      <c r="C857" s="64">
        <v>0</v>
      </c>
      <c r="D857" s="64">
        <v>13105</v>
      </c>
      <c r="E857" s="64" t="s">
        <v>31</v>
      </c>
      <c r="F857" s="178">
        <v>82605</v>
      </c>
      <c r="G857" s="81">
        <v>1320</v>
      </c>
      <c r="H857" s="64"/>
      <c r="I857" s="64"/>
    </row>
    <row r="858" spans="1:9" ht="15.75" hidden="1" customHeight="1">
      <c r="A858" s="64"/>
      <c r="B858" s="64"/>
      <c r="C858" s="64"/>
      <c r="D858" s="64"/>
      <c r="E858" s="64" t="s">
        <v>769</v>
      </c>
      <c r="F858" s="64"/>
      <c r="G858" s="81">
        <v>0</v>
      </c>
      <c r="H858" s="64"/>
      <c r="I858" s="64"/>
    </row>
    <row r="859" spans="1:9" ht="15.75" hidden="1" customHeight="1">
      <c r="A859" s="64"/>
      <c r="B859" s="177">
        <v>45895</v>
      </c>
      <c r="C859" s="64">
        <v>0</v>
      </c>
      <c r="D859" s="64">
        <v>13105</v>
      </c>
      <c r="E859" s="64" t="s">
        <v>31</v>
      </c>
      <c r="F859" s="178">
        <v>82606</v>
      </c>
      <c r="G859" s="81">
        <v>211.2</v>
      </c>
      <c r="H859" s="64"/>
      <c r="I859" s="64"/>
    </row>
    <row r="860" spans="1:9" ht="15.75" hidden="1" customHeight="1">
      <c r="A860" s="64"/>
      <c r="B860" s="64"/>
      <c r="C860" s="64"/>
      <c r="D860" s="64"/>
      <c r="E860" s="64" t="s">
        <v>111</v>
      </c>
      <c r="F860" s="64"/>
      <c r="G860" s="81">
        <v>0</v>
      </c>
      <c r="H860" s="64"/>
      <c r="I860" s="64"/>
    </row>
    <row r="861" spans="1:9" ht="15.75" hidden="1" customHeight="1">
      <c r="A861" s="64"/>
      <c r="B861" s="177">
        <v>45895</v>
      </c>
      <c r="C861" s="64">
        <v>0</v>
      </c>
      <c r="D861" s="64">
        <v>13105</v>
      </c>
      <c r="E861" s="64" t="s">
        <v>31</v>
      </c>
      <c r="F861" s="178">
        <v>82607</v>
      </c>
      <c r="G861" s="81">
        <v>1136.54</v>
      </c>
      <c r="H861" s="64"/>
      <c r="I861" s="64"/>
    </row>
    <row r="862" spans="1:9" ht="15.75" hidden="1" customHeight="1">
      <c r="A862" s="64"/>
      <c r="B862" s="64"/>
      <c r="C862" s="64"/>
      <c r="D862" s="64"/>
      <c r="E862" s="64" t="s">
        <v>50</v>
      </c>
      <c r="F862" s="64"/>
      <c r="G862" s="81">
        <v>0</v>
      </c>
      <c r="H862" s="64"/>
      <c r="I862" s="64"/>
    </row>
    <row r="863" spans="1:9" ht="15.75" hidden="1" customHeight="1">
      <c r="A863" s="64"/>
      <c r="B863" s="177">
        <v>45895</v>
      </c>
      <c r="C863" s="64">
        <v>0</v>
      </c>
      <c r="D863" s="64">
        <v>13105</v>
      </c>
      <c r="E863" s="64" t="s">
        <v>31</v>
      </c>
      <c r="F863" s="178">
        <v>82608</v>
      </c>
      <c r="G863" s="81">
        <v>157.65</v>
      </c>
      <c r="H863" s="64"/>
      <c r="I863" s="64"/>
    </row>
    <row r="864" spans="1:9" ht="15.75" hidden="1" customHeight="1">
      <c r="A864" s="64"/>
      <c r="B864" s="64"/>
      <c r="C864" s="64"/>
      <c r="D864" s="64"/>
      <c r="E864" s="64" t="s">
        <v>50</v>
      </c>
      <c r="F864" s="64"/>
      <c r="G864" s="81">
        <v>0</v>
      </c>
      <c r="H864" s="64"/>
      <c r="I864" s="64"/>
    </row>
    <row r="865" spans="1:9" ht="15.75" hidden="1" customHeight="1">
      <c r="A865" s="64"/>
      <c r="B865" s="177">
        <v>45895</v>
      </c>
      <c r="C865" s="64">
        <v>0</v>
      </c>
      <c r="D865" s="64">
        <v>13105</v>
      </c>
      <c r="E865" s="64" t="s">
        <v>31</v>
      </c>
      <c r="F865" s="178">
        <v>82609</v>
      </c>
      <c r="G865" s="81">
        <v>841.03</v>
      </c>
      <c r="H865" s="64"/>
      <c r="I865" s="64"/>
    </row>
    <row r="866" spans="1:9" ht="15.75" hidden="1" customHeight="1">
      <c r="A866" s="64"/>
      <c r="B866" s="64"/>
      <c r="C866" s="64"/>
      <c r="D866" s="64"/>
      <c r="E866" s="64" t="s">
        <v>46</v>
      </c>
      <c r="F866" s="64"/>
      <c r="G866" s="81">
        <v>0</v>
      </c>
      <c r="H866" s="64"/>
      <c r="I866" s="64"/>
    </row>
    <row r="867" spans="1:9" ht="15.75" hidden="1" customHeight="1">
      <c r="A867" s="64"/>
      <c r="B867" s="177">
        <v>45895</v>
      </c>
      <c r="C867" s="64">
        <v>0</v>
      </c>
      <c r="D867" s="64">
        <v>13105</v>
      </c>
      <c r="E867" s="64" t="s">
        <v>31</v>
      </c>
      <c r="F867" s="178">
        <v>82610</v>
      </c>
      <c r="G867" s="81">
        <v>547</v>
      </c>
      <c r="H867" s="64"/>
      <c r="I867" s="64"/>
    </row>
    <row r="868" spans="1:9" ht="15.75" hidden="1" customHeight="1">
      <c r="A868" s="64"/>
      <c r="B868" s="64"/>
      <c r="C868" s="64"/>
      <c r="D868" s="64"/>
      <c r="E868" s="64" t="s">
        <v>46</v>
      </c>
      <c r="F868" s="64"/>
      <c r="G868" s="81">
        <v>0</v>
      </c>
      <c r="H868" s="64"/>
      <c r="I868" s="64"/>
    </row>
    <row r="869" spans="1:9" ht="15.75" hidden="1" customHeight="1">
      <c r="A869" s="64"/>
      <c r="B869" s="177">
        <v>45895</v>
      </c>
      <c r="C869" s="64">
        <v>0</v>
      </c>
      <c r="D869" s="64">
        <v>13105</v>
      </c>
      <c r="E869" s="64" t="s">
        <v>31</v>
      </c>
      <c r="F869" s="178">
        <v>82611</v>
      </c>
      <c r="G869" s="81">
        <v>145.05000000000001</v>
      </c>
      <c r="H869" s="64"/>
      <c r="I869" s="64"/>
    </row>
    <row r="870" spans="1:9" ht="15.75" hidden="1" customHeight="1">
      <c r="A870" s="64"/>
      <c r="B870" s="64"/>
      <c r="C870" s="64"/>
      <c r="D870" s="64"/>
      <c r="E870" s="64" t="s">
        <v>51</v>
      </c>
      <c r="F870" s="64"/>
      <c r="G870" s="81">
        <v>0</v>
      </c>
      <c r="H870" s="64"/>
      <c r="I870" s="64"/>
    </row>
    <row r="871" spans="1:9" ht="15.75" hidden="1" customHeight="1">
      <c r="A871" s="64"/>
      <c r="B871" s="177">
        <v>45895</v>
      </c>
      <c r="C871" s="64">
        <v>0</v>
      </c>
      <c r="D871" s="64">
        <v>0</v>
      </c>
      <c r="E871" s="64" t="s">
        <v>59</v>
      </c>
      <c r="F871" s="178">
        <v>9903</v>
      </c>
      <c r="G871" s="81">
        <v>776.4</v>
      </c>
      <c r="H871" s="64"/>
      <c r="I871" s="64"/>
    </row>
    <row r="872" spans="1:9" ht="15.75" hidden="1" customHeight="1">
      <c r="A872" s="64"/>
      <c r="B872" s="64"/>
      <c r="C872" s="64"/>
      <c r="D872" s="64"/>
      <c r="E872" s="64" t="s">
        <v>53</v>
      </c>
      <c r="F872" s="64"/>
      <c r="G872" s="81">
        <v>0</v>
      </c>
      <c r="H872" s="64"/>
      <c r="I872" s="64"/>
    </row>
    <row r="873" spans="1:9" ht="15.75" hidden="1" customHeight="1">
      <c r="A873" s="64"/>
      <c r="B873" s="177">
        <v>45896</v>
      </c>
      <c r="C873" s="64">
        <v>0</v>
      </c>
      <c r="D873" s="64">
        <v>14175</v>
      </c>
      <c r="E873" s="64" t="s">
        <v>62</v>
      </c>
      <c r="F873" s="178">
        <v>392239938</v>
      </c>
      <c r="G873" s="81">
        <v>16000</v>
      </c>
      <c r="H873" s="64"/>
      <c r="I873" s="64"/>
    </row>
    <row r="874" spans="1:9" ht="15.75" hidden="1" customHeight="1">
      <c r="A874" s="64"/>
      <c r="B874" s="64"/>
      <c r="C874" s="64"/>
      <c r="D874" s="64"/>
      <c r="E874" s="64" t="s">
        <v>97</v>
      </c>
      <c r="F874" s="64"/>
      <c r="G874" s="81">
        <v>0</v>
      </c>
      <c r="H874" s="64"/>
      <c r="I874" s="64"/>
    </row>
    <row r="875" spans="1:9" ht="15.75" hidden="1" customHeight="1">
      <c r="A875" s="64"/>
      <c r="B875" s="177">
        <v>45896</v>
      </c>
      <c r="C875" s="64">
        <v>0</v>
      </c>
      <c r="D875" s="64">
        <v>14397</v>
      </c>
      <c r="E875" s="64" t="s">
        <v>57</v>
      </c>
      <c r="F875" s="178">
        <v>271037476962022</v>
      </c>
      <c r="G875" s="81">
        <v>183.3</v>
      </c>
      <c r="H875" s="64"/>
      <c r="I875" s="64"/>
    </row>
    <row r="876" spans="1:9" ht="15.75" hidden="1" customHeight="1">
      <c r="A876" s="64"/>
      <c r="B876" s="64"/>
      <c r="C876" s="64"/>
      <c r="D876" s="64"/>
      <c r="E876" s="64" t="s">
        <v>1218</v>
      </c>
      <c r="F876" s="64"/>
      <c r="G876" s="81">
        <v>0</v>
      </c>
      <c r="H876" s="64"/>
      <c r="I876" s="64"/>
    </row>
    <row r="877" spans="1:9" ht="15.75" hidden="1" customHeight="1">
      <c r="A877" s="64"/>
      <c r="B877" s="177">
        <v>45896</v>
      </c>
      <c r="C877" s="64">
        <v>0</v>
      </c>
      <c r="D877" s="64">
        <v>13105</v>
      </c>
      <c r="E877" s="64" t="s">
        <v>31</v>
      </c>
      <c r="F877" s="178">
        <v>82701</v>
      </c>
      <c r="G877" s="81">
        <v>4001.11</v>
      </c>
      <c r="H877" s="64"/>
      <c r="I877" s="64"/>
    </row>
    <row r="878" spans="1:9" ht="15.75" hidden="1" customHeight="1">
      <c r="A878" s="64"/>
      <c r="B878" s="64"/>
      <c r="C878" s="64"/>
      <c r="D878" s="64"/>
      <c r="E878" s="64" t="s">
        <v>32</v>
      </c>
      <c r="F878" s="64"/>
      <c r="G878" s="81">
        <v>0</v>
      </c>
      <c r="H878" s="64"/>
      <c r="I878" s="64"/>
    </row>
    <row r="879" spans="1:9" ht="15.75" hidden="1" customHeight="1">
      <c r="A879" s="64"/>
      <c r="B879" s="177">
        <v>45896</v>
      </c>
      <c r="C879" s="64">
        <v>0</v>
      </c>
      <c r="D879" s="64">
        <v>13105</v>
      </c>
      <c r="E879" s="64" t="s">
        <v>31</v>
      </c>
      <c r="F879" s="178">
        <v>82702</v>
      </c>
      <c r="G879" s="81">
        <v>4890</v>
      </c>
      <c r="H879" s="64"/>
      <c r="I879" s="64"/>
    </row>
    <row r="880" spans="1:9" ht="15.75" hidden="1" customHeight="1">
      <c r="A880" s="64"/>
      <c r="B880" s="64"/>
      <c r="C880" s="64"/>
      <c r="D880" s="64"/>
      <c r="E880" s="64" t="s">
        <v>32</v>
      </c>
      <c r="F880" s="64"/>
      <c r="G880" s="81">
        <v>0</v>
      </c>
      <c r="H880" s="64"/>
      <c r="I880" s="64"/>
    </row>
    <row r="881" spans="1:9" ht="15.75" hidden="1" customHeight="1">
      <c r="A881" s="64"/>
      <c r="B881" s="177">
        <v>45896</v>
      </c>
      <c r="C881" s="64">
        <v>0</v>
      </c>
      <c r="D881" s="64">
        <v>13105</v>
      </c>
      <c r="E881" s="64" t="s">
        <v>31</v>
      </c>
      <c r="F881" s="178">
        <v>82703</v>
      </c>
      <c r="G881" s="81">
        <v>1940.75</v>
      </c>
      <c r="H881" s="64"/>
      <c r="I881" s="64"/>
    </row>
    <row r="882" spans="1:9" ht="15.75" hidden="1" customHeight="1">
      <c r="A882" s="64"/>
      <c r="B882" s="64"/>
      <c r="C882" s="64"/>
      <c r="D882" s="64"/>
      <c r="E882" s="64" t="s">
        <v>55</v>
      </c>
      <c r="F882" s="64"/>
      <c r="G882" s="81">
        <v>0</v>
      </c>
      <c r="H882" s="64"/>
      <c r="I882" s="64"/>
    </row>
    <row r="883" spans="1:9" ht="15.75" hidden="1" customHeight="1">
      <c r="A883" s="64"/>
      <c r="B883" s="177">
        <v>45896</v>
      </c>
      <c r="C883" s="64">
        <v>0</v>
      </c>
      <c r="D883" s="64">
        <v>13105</v>
      </c>
      <c r="E883" s="64" t="s">
        <v>31</v>
      </c>
      <c r="F883" s="178">
        <v>82704</v>
      </c>
      <c r="G883" s="81">
        <v>2002.39</v>
      </c>
      <c r="H883" s="64"/>
      <c r="I883" s="64"/>
    </row>
    <row r="884" spans="1:9" ht="15.75" hidden="1" customHeight="1">
      <c r="A884" s="64"/>
      <c r="B884" s="64"/>
      <c r="C884" s="64"/>
      <c r="D884" s="64"/>
      <c r="E884" s="64" t="s">
        <v>348</v>
      </c>
      <c r="F884" s="64"/>
      <c r="G884" s="81">
        <v>0</v>
      </c>
      <c r="H884" s="64"/>
      <c r="I884" s="64"/>
    </row>
    <row r="885" spans="1:9" ht="15.75" hidden="1" customHeight="1">
      <c r="A885" s="64"/>
      <c r="B885" s="177">
        <v>45896</v>
      </c>
      <c r="C885" s="64">
        <v>0</v>
      </c>
      <c r="D885" s="64">
        <v>13105</v>
      </c>
      <c r="E885" s="64" t="s">
        <v>31</v>
      </c>
      <c r="F885" s="178">
        <v>82705</v>
      </c>
      <c r="G885" s="81">
        <v>2987.7</v>
      </c>
      <c r="H885" s="64"/>
      <c r="I885" s="64"/>
    </row>
    <row r="886" spans="1:9" ht="15.75" hidden="1" customHeight="1">
      <c r="A886" s="64"/>
      <c r="B886" s="64"/>
      <c r="C886" s="64"/>
      <c r="D886" s="64"/>
      <c r="E886" s="64" t="s">
        <v>33</v>
      </c>
      <c r="F886" s="64"/>
      <c r="G886" s="81">
        <v>0</v>
      </c>
      <c r="H886" s="64"/>
      <c r="I886" s="64"/>
    </row>
    <row r="887" spans="1:9" ht="15.75" hidden="1" customHeight="1">
      <c r="A887" s="64"/>
      <c r="B887" s="177">
        <v>45896</v>
      </c>
      <c r="C887" s="64">
        <v>0</v>
      </c>
      <c r="D887" s="64">
        <v>13105</v>
      </c>
      <c r="E887" s="64" t="s">
        <v>31</v>
      </c>
      <c r="F887" s="178">
        <v>82706</v>
      </c>
      <c r="G887" s="81">
        <v>1136.54</v>
      </c>
      <c r="H887" s="64"/>
      <c r="I887" s="64"/>
    </row>
    <row r="888" spans="1:9" ht="15.75" hidden="1" customHeight="1">
      <c r="A888" s="64"/>
      <c r="B888" s="64"/>
      <c r="C888" s="64"/>
      <c r="D888" s="64"/>
      <c r="E888" s="64" t="s">
        <v>50</v>
      </c>
      <c r="F888" s="64"/>
      <c r="G888" s="81">
        <v>0</v>
      </c>
      <c r="H888" s="64"/>
      <c r="I888" s="64"/>
    </row>
    <row r="889" spans="1:9" ht="15.75" hidden="1" customHeight="1">
      <c r="A889" s="64"/>
      <c r="B889" s="177">
        <v>45896</v>
      </c>
      <c r="C889" s="64">
        <v>0</v>
      </c>
      <c r="D889" s="64">
        <v>13105</v>
      </c>
      <c r="E889" s="64" t="s">
        <v>31</v>
      </c>
      <c r="F889" s="178">
        <v>82707</v>
      </c>
      <c r="G889" s="81">
        <v>550.20000000000005</v>
      </c>
      <c r="H889" s="64"/>
      <c r="I889" s="64"/>
    </row>
    <row r="890" spans="1:9" ht="15.75" hidden="1" customHeight="1">
      <c r="A890" s="64"/>
      <c r="B890" s="64"/>
      <c r="C890" s="64"/>
      <c r="D890" s="64"/>
      <c r="E890" s="64" t="s">
        <v>46</v>
      </c>
      <c r="F890" s="64"/>
      <c r="G890" s="81">
        <v>0</v>
      </c>
      <c r="H890" s="64"/>
      <c r="I890" s="64"/>
    </row>
    <row r="891" spans="1:9" ht="15.75" hidden="1" customHeight="1">
      <c r="A891" s="64"/>
      <c r="B891" s="177">
        <v>45896</v>
      </c>
      <c r="C891" s="64">
        <v>0</v>
      </c>
      <c r="D891" s="64">
        <v>13105</v>
      </c>
      <c r="E891" s="64" t="s">
        <v>31</v>
      </c>
      <c r="F891" s="178">
        <v>82708</v>
      </c>
      <c r="G891" s="81">
        <v>223.31</v>
      </c>
      <c r="H891" s="64"/>
      <c r="I891" s="64"/>
    </row>
    <row r="892" spans="1:9" ht="15.75" hidden="1" customHeight="1">
      <c r="A892" s="64"/>
      <c r="B892" s="64"/>
      <c r="C892" s="64"/>
      <c r="D892" s="64"/>
      <c r="E892" s="64" t="s">
        <v>111</v>
      </c>
      <c r="F892" s="64"/>
      <c r="G892" s="81">
        <v>0</v>
      </c>
      <c r="H892" s="64"/>
      <c r="I892" s="64"/>
    </row>
    <row r="893" spans="1:9" ht="15.75" hidden="1" customHeight="1">
      <c r="A893" s="64"/>
      <c r="B893" s="177">
        <v>45896</v>
      </c>
      <c r="C893" s="64">
        <v>0</v>
      </c>
      <c r="D893" s="64">
        <v>13105</v>
      </c>
      <c r="E893" s="64" t="s">
        <v>31</v>
      </c>
      <c r="F893" s="178">
        <v>82709</v>
      </c>
      <c r="G893" s="81">
        <v>261.77999999999997</v>
      </c>
      <c r="H893" s="64"/>
      <c r="I893" s="64"/>
    </row>
    <row r="894" spans="1:9" ht="15.75" hidden="1" customHeight="1">
      <c r="A894" s="64"/>
      <c r="B894" s="64"/>
      <c r="C894" s="64"/>
      <c r="D894" s="64"/>
      <c r="E894" s="64" t="s">
        <v>231</v>
      </c>
      <c r="F894" s="64"/>
      <c r="G894" s="81">
        <v>0</v>
      </c>
      <c r="H894" s="64"/>
      <c r="I894" s="64"/>
    </row>
    <row r="895" spans="1:9" ht="15.75" hidden="1" customHeight="1">
      <c r="A895" s="64"/>
      <c r="B895" s="177">
        <v>45896</v>
      </c>
      <c r="C895" s="64">
        <v>0</v>
      </c>
      <c r="D895" s="64">
        <v>0</v>
      </c>
      <c r="E895" s="64" t="s">
        <v>52</v>
      </c>
      <c r="F895" s="178">
        <v>9903</v>
      </c>
      <c r="G895" s="81">
        <v>1810.48</v>
      </c>
      <c r="H895" s="64"/>
      <c r="I895" s="64"/>
    </row>
    <row r="896" spans="1:9" ht="15.75" hidden="1" customHeight="1">
      <c r="A896" s="64"/>
      <c r="B896" s="64"/>
      <c r="C896" s="64"/>
      <c r="D896" s="64"/>
      <c r="E896" s="64" t="s">
        <v>53</v>
      </c>
      <c r="F896" s="64"/>
      <c r="G896" s="81">
        <v>0</v>
      </c>
      <c r="H896" s="64"/>
      <c r="I896" s="64"/>
    </row>
    <row r="897" spans="1:10" ht="15.75" customHeight="1">
      <c r="A897" s="173" t="s">
        <v>423</v>
      </c>
      <c r="B897" s="177">
        <v>45897</v>
      </c>
      <c r="C897" s="64">
        <v>0</v>
      </c>
      <c r="D897" s="64">
        <v>14138</v>
      </c>
      <c r="E897" s="64" t="s">
        <v>141</v>
      </c>
      <c r="F897" s="178">
        <v>202508270163675</v>
      </c>
      <c r="G897" s="81">
        <v>713.57</v>
      </c>
      <c r="H897" s="64" t="s">
        <v>1219</v>
      </c>
      <c r="I897" s="64"/>
      <c r="J897" s="64" t="s">
        <v>1220</v>
      </c>
    </row>
    <row r="898" spans="1:10" ht="15.75" hidden="1" customHeight="1">
      <c r="A898" s="64"/>
      <c r="B898" s="64"/>
      <c r="C898" s="64"/>
      <c r="D898" s="64"/>
      <c r="E898" s="64" t="s">
        <v>143</v>
      </c>
      <c r="F898" s="64"/>
      <c r="G898" s="81">
        <v>0</v>
      </c>
      <c r="H898" s="64"/>
      <c r="I898" s="64"/>
    </row>
    <row r="899" spans="1:10" ht="15.75" customHeight="1">
      <c r="A899" s="179" t="s">
        <v>140</v>
      </c>
      <c r="B899" s="177">
        <v>45897</v>
      </c>
      <c r="C899" s="64">
        <v>0</v>
      </c>
      <c r="D899" s="64">
        <v>14138</v>
      </c>
      <c r="E899" s="64" t="s">
        <v>141</v>
      </c>
      <c r="F899" s="178">
        <v>202508270163678</v>
      </c>
      <c r="G899" s="81">
        <v>609.28</v>
      </c>
      <c r="H899" s="79" t="s">
        <v>1221</v>
      </c>
      <c r="I899" s="64" t="s">
        <v>419</v>
      </c>
    </row>
    <row r="900" spans="1:10" ht="15.75" hidden="1" customHeight="1">
      <c r="A900" s="64"/>
      <c r="B900" s="64"/>
      <c r="C900" s="64"/>
      <c r="D900" s="64"/>
      <c r="E900" s="64" t="s">
        <v>143</v>
      </c>
      <c r="F900" s="64"/>
      <c r="G900" s="81">
        <v>0</v>
      </c>
      <c r="H900" s="64"/>
      <c r="I900" s="64"/>
    </row>
    <row r="901" spans="1:10" ht="15.75" hidden="1" customHeight="1">
      <c r="A901" s="64"/>
      <c r="B901" s="177">
        <v>45897</v>
      </c>
      <c r="C901" s="64">
        <v>0</v>
      </c>
      <c r="D901" s="64">
        <v>14397</v>
      </c>
      <c r="E901" s="64" t="s">
        <v>57</v>
      </c>
      <c r="F901" s="178">
        <v>280926293475372</v>
      </c>
      <c r="G901" s="81">
        <v>80</v>
      </c>
      <c r="H901" s="64"/>
      <c r="I901" s="64"/>
    </row>
    <row r="902" spans="1:10" ht="15.75" hidden="1" customHeight="1">
      <c r="A902" s="64"/>
      <c r="B902" s="64"/>
      <c r="C902" s="64"/>
      <c r="D902" s="64"/>
      <c r="E902" s="64" t="s">
        <v>1222</v>
      </c>
      <c r="F902" s="64"/>
      <c r="G902" s="81">
        <v>0</v>
      </c>
      <c r="H902" s="64"/>
      <c r="I902" s="64"/>
    </row>
    <row r="903" spans="1:10" ht="15.75" hidden="1" customHeight="1">
      <c r="A903" s="64"/>
      <c r="B903" s="177">
        <v>45897</v>
      </c>
      <c r="C903" s="64">
        <v>0</v>
      </c>
      <c r="D903" s="64">
        <v>14397</v>
      </c>
      <c r="E903" s="64" t="s">
        <v>57</v>
      </c>
      <c r="F903" s="178">
        <v>281040071841572</v>
      </c>
      <c r="G903" s="81">
        <v>30000</v>
      </c>
      <c r="H903" s="64"/>
      <c r="I903" s="64"/>
    </row>
    <row r="904" spans="1:10" ht="15.75" hidden="1" customHeight="1">
      <c r="A904" s="64"/>
      <c r="B904" s="64"/>
      <c r="C904" s="64"/>
      <c r="D904" s="64"/>
      <c r="E904" s="64" t="s">
        <v>1223</v>
      </c>
      <c r="F904" s="64"/>
      <c r="G904" s="81">
        <v>0</v>
      </c>
      <c r="H904" s="64"/>
      <c r="I904" s="64"/>
    </row>
    <row r="905" spans="1:10" ht="15.75" hidden="1" customHeight="1">
      <c r="A905" s="64"/>
      <c r="B905" s="177">
        <v>45897</v>
      </c>
      <c r="C905" s="64">
        <v>0</v>
      </c>
      <c r="D905" s="64">
        <v>13105</v>
      </c>
      <c r="E905" s="64" t="s">
        <v>31</v>
      </c>
      <c r="F905" s="178">
        <v>82801</v>
      </c>
      <c r="G905" s="81">
        <v>7191.26</v>
      </c>
      <c r="H905" s="64"/>
      <c r="I905" s="64"/>
    </row>
    <row r="906" spans="1:10" ht="15.75" hidden="1" customHeight="1">
      <c r="A906" s="64"/>
      <c r="B906" s="64"/>
      <c r="C906" s="64"/>
      <c r="D906" s="64"/>
      <c r="E906" s="64" t="s">
        <v>441</v>
      </c>
      <c r="F906" s="64"/>
      <c r="G906" s="81">
        <v>0</v>
      </c>
      <c r="H906" s="64"/>
      <c r="I906" s="64"/>
    </row>
    <row r="907" spans="1:10" ht="15.75" hidden="1" customHeight="1">
      <c r="A907" s="64"/>
      <c r="B907" s="177">
        <v>45897</v>
      </c>
      <c r="C907" s="64">
        <v>0</v>
      </c>
      <c r="D907" s="64">
        <v>13105</v>
      </c>
      <c r="E907" s="64" t="s">
        <v>31</v>
      </c>
      <c r="F907" s="178">
        <v>82802</v>
      </c>
      <c r="G907" s="81">
        <v>4645</v>
      </c>
      <c r="H907" s="64"/>
      <c r="I907" s="64"/>
    </row>
    <row r="908" spans="1:10" ht="15.75" hidden="1" customHeight="1">
      <c r="A908" s="64"/>
      <c r="B908" s="64"/>
      <c r="C908" s="64"/>
      <c r="D908" s="64"/>
      <c r="E908" s="64" t="s">
        <v>575</v>
      </c>
      <c r="F908" s="64"/>
      <c r="G908" s="81">
        <v>0</v>
      </c>
      <c r="H908" s="64"/>
      <c r="I908" s="64"/>
    </row>
    <row r="909" spans="1:10" ht="15.75" hidden="1" customHeight="1">
      <c r="A909" s="64"/>
      <c r="B909" s="177">
        <v>45897</v>
      </c>
      <c r="C909" s="64">
        <v>0</v>
      </c>
      <c r="D909" s="64">
        <v>13105</v>
      </c>
      <c r="E909" s="64" t="s">
        <v>31</v>
      </c>
      <c r="F909" s="178">
        <v>82803</v>
      </c>
      <c r="G909" s="81">
        <v>309.75</v>
      </c>
      <c r="H909" s="64"/>
      <c r="I909" s="64"/>
    </row>
    <row r="910" spans="1:10" ht="15.75" hidden="1" customHeight="1">
      <c r="A910" s="64"/>
      <c r="B910" s="64"/>
      <c r="C910" s="64"/>
      <c r="D910" s="64"/>
      <c r="E910" s="64" t="s">
        <v>66</v>
      </c>
      <c r="F910" s="64"/>
      <c r="G910" s="81">
        <v>0</v>
      </c>
      <c r="H910" s="64"/>
      <c r="I910" s="64"/>
    </row>
    <row r="911" spans="1:10" ht="15.75" hidden="1" customHeight="1">
      <c r="A911" s="64"/>
      <c r="B911" s="177">
        <v>45897</v>
      </c>
      <c r="C911" s="64">
        <v>0</v>
      </c>
      <c r="D911" s="64">
        <v>13105</v>
      </c>
      <c r="E911" s="64" t="s">
        <v>31</v>
      </c>
      <c r="F911" s="178">
        <v>82804</v>
      </c>
      <c r="G911" s="81">
        <v>289.8</v>
      </c>
      <c r="H911" s="64"/>
      <c r="I911" s="64"/>
    </row>
    <row r="912" spans="1:10" ht="15.75" hidden="1" customHeight="1">
      <c r="A912" s="64"/>
      <c r="B912" s="64"/>
      <c r="C912" s="64"/>
      <c r="D912" s="64"/>
      <c r="E912" s="64" t="s">
        <v>41</v>
      </c>
      <c r="F912" s="64"/>
      <c r="G912" s="81">
        <v>0</v>
      </c>
      <c r="H912" s="64"/>
      <c r="I912" s="64"/>
    </row>
    <row r="913" spans="1:9" ht="15.75" hidden="1" customHeight="1">
      <c r="A913" s="64"/>
      <c r="B913" s="177">
        <v>45897</v>
      </c>
      <c r="C913" s="64">
        <v>0</v>
      </c>
      <c r="D913" s="64">
        <v>13105</v>
      </c>
      <c r="E913" s="64" t="s">
        <v>31</v>
      </c>
      <c r="F913" s="178">
        <v>82805</v>
      </c>
      <c r="G913" s="81">
        <v>408.52</v>
      </c>
      <c r="H913" s="64"/>
      <c r="I913" s="64"/>
    </row>
    <row r="914" spans="1:9" ht="15.75" hidden="1" customHeight="1">
      <c r="A914" s="64"/>
      <c r="B914" s="64"/>
      <c r="C914" s="64"/>
      <c r="D914" s="64"/>
      <c r="E914" s="64" t="s">
        <v>46</v>
      </c>
      <c r="F914" s="64"/>
      <c r="G914" s="81">
        <v>0</v>
      </c>
      <c r="H914" s="64"/>
      <c r="I914" s="64"/>
    </row>
    <row r="915" spans="1:9" ht="15.75" hidden="1" customHeight="1">
      <c r="A915" s="64"/>
      <c r="B915" s="177">
        <v>45897</v>
      </c>
      <c r="C915" s="64">
        <v>0</v>
      </c>
      <c r="D915" s="64">
        <v>13105</v>
      </c>
      <c r="E915" s="64" t="s">
        <v>31</v>
      </c>
      <c r="F915" s="178">
        <v>82806</v>
      </c>
      <c r="G915" s="81">
        <v>43.92</v>
      </c>
      <c r="H915" s="64"/>
      <c r="I915" s="64"/>
    </row>
    <row r="916" spans="1:9" ht="15.75" hidden="1" customHeight="1">
      <c r="A916" s="64"/>
      <c r="B916" s="64"/>
      <c r="C916" s="64"/>
      <c r="D916" s="64"/>
      <c r="E916" s="64" t="s">
        <v>46</v>
      </c>
      <c r="F916" s="64"/>
      <c r="G916" s="81">
        <v>0</v>
      </c>
      <c r="H916" s="64"/>
      <c r="I916" s="64"/>
    </row>
    <row r="917" spans="1:9" ht="15.75" hidden="1" customHeight="1">
      <c r="A917" s="64"/>
      <c r="B917" s="177">
        <v>45897</v>
      </c>
      <c r="C917" s="64">
        <v>0</v>
      </c>
      <c r="D917" s="64">
        <v>13105</v>
      </c>
      <c r="E917" s="64" t="s">
        <v>31</v>
      </c>
      <c r="F917" s="178">
        <v>82807</v>
      </c>
      <c r="G917" s="81">
        <v>361.72</v>
      </c>
      <c r="H917" s="64"/>
      <c r="I917" s="64"/>
    </row>
    <row r="918" spans="1:9" ht="15.75" hidden="1" customHeight="1">
      <c r="A918" s="64"/>
      <c r="B918" s="64"/>
      <c r="C918" s="64"/>
      <c r="D918" s="64"/>
      <c r="E918" s="64" t="s">
        <v>47</v>
      </c>
      <c r="F918" s="64"/>
      <c r="G918" s="81">
        <v>0</v>
      </c>
      <c r="H918" s="64"/>
      <c r="I918" s="64"/>
    </row>
    <row r="919" spans="1:9" ht="15.75" hidden="1" customHeight="1">
      <c r="A919" s="64"/>
      <c r="B919" s="177">
        <v>45897</v>
      </c>
      <c r="C919" s="64">
        <v>0</v>
      </c>
      <c r="D919" s="64">
        <v>13105</v>
      </c>
      <c r="E919" s="64" t="s">
        <v>31</v>
      </c>
      <c r="F919" s="178">
        <v>82808</v>
      </c>
      <c r="G919" s="81">
        <v>35.520000000000003</v>
      </c>
      <c r="H919" s="64"/>
      <c r="I919" s="64"/>
    </row>
    <row r="920" spans="1:9" ht="15.75" hidden="1" customHeight="1">
      <c r="A920" s="64"/>
      <c r="B920" s="64"/>
      <c r="C920" s="64"/>
      <c r="D920" s="64"/>
      <c r="E920" s="64" t="s">
        <v>56</v>
      </c>
      <c r="F920" s="64"/>
      <c r="G920" s="81">
        <v>0</v>
      </c>
      <c r="H920" s="64"/>
      <c r="I920" s="64"/>
    </row>
    <row r="921" spans="1:9" ht="15.75" hidden="1" customHeight="1">
      <c r="A921" s="64"/>
      <c r="B921" s="177">
        <v>45897</v>
      </c>
      <c r="C921" s="64">
        <v>0</v>
      </c>
      <c r="D921" s="64">
        <v>13105</v>
      </c>
      <c r="E921" s="64" t="s">
        <v>31</v>
      </c>
      <c r="F921" s="178">
        <v>82809</v>
      </c>
      <c r="G921" s="81">
        <v>118.91</v>
      </c>
      <c r="H921" s="64"/>
      <c r="I921" s="64"/>
    </row>
    <row r="922" spans="1:9" ht="15.75" hidden="1" customHeight="1">
      <c r="A922" s="64"/>
      <c r="B922" s="64"/>
      <c r="C922" s="64"/>
      <c r="D922" s="64"/>
      <c r="E922" s="64" t="s">
        <v>56</v>
      </c>
      <c r="F922" s="64"/>
      <c r="G922" s="81">
        <v>0</v>
      </c>
      <c r="H922" s="64"/>
      <c r="I922" s="64"/>
    </row>
    <row r="923" spans="1:9" ht="15.75" hidden="1" customHeight="1">
      <c r="A923" s="64"/>
      <c r="B923" s="177">
        <v>45897</v>
      </c>
      <c r="C923" s="64">
        <v>0</v>
      </c>
      <c r="D923" s="64">
        <v>13105</v>
      </c>
      <c r="E923" s="64" t="s">
        <v>31</v>
      </c>
      <c r="F923" s="178">
        <v>82810</v>
      </c>
      <c r="G923" s="81">
        <v>198.21</v>
      </c>
      <c r="H923" s="64"/>
      <c r="I923" s="64"/>
    </row>
    <row r="924" spans="1:9" ht="15.75" hidden="1" customHeight="1">
      <c r="A924" s="64"/>
      <c r="B924" s="64"/>
      <c r="C924" s="64"/>
      <c r="D924" s="64"/>
      <c r="E924" s="64" t="s">
        <v>111</v>
      </c>
      <c r="F924" s="64"/>
      <c r="G924" s="81">
        <v>0</v>
      </c>
      <c r="H924" s="64"/>
      <c r="I924" s="64"/>
    </row>
    <row r="925" spans="1:9" ht="15.75" hidden="1" customHeight="1">
      <c r="A925" s="64"/>
      <c r="B925" s="177">
        <v>45897</v>
      </c>
      <c r="C925" s="64">
        <v>0</v>
      </c>
      <c r="D925" s="64">
        <v>13105</v>
      </c>
      <c r="E925" s="64" t="s">
        <v>31</v>
      </c>
      <c r="F925" s="178">
        <v>82811</v>
      </c>
      <c r="G925" s="81">
        <v>1136.56</v>
      </c>
      <c r="H925" s="64"/>
      <c r="I925" s="64"/>
    </row>
    <row r="926" spans="1:9" ht="15.75" hidden="1" customHeight="1">
      <c r="A926" s="64"/>
      <c r="B926" s="64"/>
      <c r="C926" s="64"/>
      <c r="D926" s="64"/>
      <c r="E926" s="64" t="s">
        <v>50</v>
      </c>
      <c r="F926" s="64"/>
      <c r="G926" s="81">
        <v>0</v>
      </c>
      <c r="H926" s="64"/>
      <c r="I926" s="64"/>
    </row>
    <row r="927" spans="1:9" ht="15.75" hidden="1" customHeight="1">
      <c r="A927" s="64"/>
      <c r="B927" s="177">
        <v>45897</v>
      </c>
      <c r="C927" s="64">
        <v>0</v>
      </c>
      <c r="D927" s="64">
        <v>13105</v>
      </c>
      <c r="E927" s="64" t="s">
        <v>31</v>
      </c>
      <c r="F927" s="178">
        <v>82812</v>
      </c>
      <c r="G927" s="81">
        <v>1667.98</v>
      </c>
      <c r="H927" s="64"/>
      <c r="I927" s="64"/>
    </row>
    <row r="928" spans="1:9" ht="15.75" hidden="1" customHeight="1">
      <c r="A928" s="64"/>
      <c r="B928" s="64"/>
      <c r="C928" s="64"/>
      <c r="D928" s="64"/>
      <c r="E928" s="64" t="s">
        <v>50</v>
      </c>
      <c r="F928" s="64"/>
      <c r="G928" s="81">
        <v>0</v>
      </c>
      <c r="H928" s="64"/>
      <c r="I928" s="64"/>
    </row>
    <row r="929" spans="1:9" ht="15.75" hidden="1" customHeight="1">
      <c r="A929" s="64"/>
      <c r="B929" s="177">
        <v>45897</v>
      </c>
      <c r="C929" s="64">
        <v>0</v>
      </c>
      <c r="D929" s="64">
        <v>13105</v>
      </c>
      <c r="E929" s="64" t="s">
        <v>80</v>
      </c>
      <c r="F929" s="178">
        <v>82813</v>
      </c>
      <c r="G929" s="81">
        <v>4741.66</v>
      </c>
      <c r="H929" s="64"/>
      <c r="I929" s="64"/>
    </row>
    <row r="930" spans="1:9" ht="15.75" hidden="1" customHeight="1">
      <c r="A930" s="64"/>
      <c r="B930" s="64"/>
      <c r="C930" s="64"/>
      <c r="D930" s="64"/>
      <c r="E930" s="64" t="s">
        <v>172</v>
      </c>
      <c r="F930" s="64"/>
      <c r="G930" s="81">
        <v>0</v>
      </c>
      <c r="H930" s="64"/>
      <c r="I930" s="64"/>
    </row>
    <row r="931" spans="1:9" ht="15.75" hidden="1" customHeight="1">
      <c r="A931" s="64"/>
      <c r="B931" s="177">
        <v>45897</v>
      </c>
      <c r="C931" s="64">
        <v>0</v>
      </c>
      <c r="D931" s="64">
        <v>13128</v>
      </c>
      <c r="E931" s="64" t="s">
        <v>1224</v>
      </c>
      <c r="F931" s="178">
        <v>153313862000054</v>
      </c>
      <c r="G931" s="81">
        <v>7959.18</v>
      </c>
      <c r="H931" s="64"/>
      <c r="I931" s="64"/>
    </row>
    <row r="932" spans="1:9" ht="15.75" hidden="1" customHeight="1">
      <c r="A932" s="64"/>
      <c r="B932" s="177">
        <v>45897</v>
      </c>
      <c r="C932" s="64">
        <v>0</v>
      </c>
      <c r="D932" s="64">
        <v>0</v>
      </c>
      <c r="E932" s="64" t="s">
        <v>59</v>
      </c>
      <c r="F932" s="178">
        <v>9903</v>
      </c>
      <c r="G932" s="81">
        <v>2294.86</v>
      </c>
      <c r="H932" s="64"/>
      <c r="I932" s="64"/>
    </row>
    <row r="933" spans="1:9" ht="15.75" hidden="1" customHeight="1">
      <c r="A933" s="64"/>
      <c r="B933" s="64"/>
      <c r="C933" s="64"/>
      <c r="D933" s="64"/>
      <c r="E933" s="64" t="s">
        <v>53</v>
      </c>
      <c r="F933" s="64"/>
      <c r="G933" s="81">
        <v>0</v>
      </c>
      <c r="H933" s="64"/>
      <c r="I933" s="64"/>
    </row>
    <row r="934" spans="1:9" ht="15.75" hidden="1" customHeight="1">
      <c r="A934" s="64"/>
      <c r="B934" s="177">
        <v>45898</v>
      </c>
      <c r="C934" s="64">
        <v>5072</v>
      </c>
      <c r="D934" s="64">
        <v>99021</v>
      </c>
      <c r="E934" s="64" t="s">
        <v>27</v>
      </c>
      <c r="F934" s="178">
        <v>615072000004700</v>
      </c>
      <c r="G934" s="81">
        <v>1825.68</v>
      </c>
      <c r="H934" s="64"/>
      <c r="I934" s="64"/>
    </row>
    <row r="935" spans="1:9" ht="15.75" hidden="1" customHeight="1">
      <c r="A935" s="64"/>
      <c r="B935" s="64"/>
      <c r="C935" s="64"/>
      <c r="D935" s="64"/>
      <c r="E935" s="64" t="s">
        <v>1225</v>
      </c>
      <c r="F935" s="64"/>
      <c r="G935" s="81">
        <v>0</v>
      </c>
      <c r="H935" s="64"/>
      <c r="I935" s="64"/>
    </row>
    <row r="936" spans="1:9" ht="15.75" hidden="1" customHeight="1">
      <c r="A936" s="64"/>
      <c r="B936" s="177">
        <v>45898</v>
      </c>
      <c r="C936" s="64">
        <v>0</v>
      </c>
      <c r="D936" s="64">
        <v>14175</v>
      </c>
      <c r="E936" s="64" t="s">
        <v>62</v>
      </c>
      <c r="F936" s="178">
        <v>392722575</v>
      </c>
      <c r="G936" s="81">
        <v>1500</v>
      </c>
      <c r="H936" s="64"/>
      <c r="I936" s="64"/>
    </row>
    <row r="937" spans="1:9" ht="15.75" hidden="1" customHeight="1">
      <c r="A937" s="64"/>
      <c r="B937" s="64"/>
      <c r="C937" s="64"/>
      <c r="D937" s="64"/>
      <c r="E937" s="64" t="s">
        <v>97</v>
      </c>
      <c r="F937" s="64"/>
      <c r="G937" s="81">
        <v>0</v>
      </c>
      <c r="H937" s="64"/>
      <c r="I937" s="64"/>
    </row>
    <row r="938" spans="1:9" ht="15.75" customHeight="1">
      <c r="A938" s="179" t="s">
        <v>140</v>
      </c>
      <c r="B938" s="177">
        <v>45898</v>
      </c>
      <c r="C938" s="64">
        <v>0</v>
      </c>
      <c r="D938" s="64">
        <v>14138</v>
      </c>
      <c r="E938" s="64" t="s">
        <v>141</v>
      </c>
      <c r="F938" s="178">
        <v>202508280087416</v>
      </c>
      <c r="G938" s="81">
        <v>609.28</v>
      </c>
      <c r="H938" s="64" t="s">
        <v>1226</v>
      </c>
      <c r="I938" s="64" t="s">
        <v>419</v>
      </c>
    </row>
    <row r="939" spans="1:9" ht="15.75" hidden="1" customHeight="1">
      <c r="A939" s="64"/>
      <c r="B939" s="64"/>
      <c r="C939" s="64"/>
      <c r="D939" s="64"/>
      <c r="E939" s="64" t="s">
        <v>143</v>
      </c>
      <c r="F939" s="64"/>
      <c r="G939" s="81">
        <v>0</v>
      </c>
      <c r="H939" s="64"/>
      <c r="I939" s="64"/>
    </row>
    <row r="940" spans="1:9" ht="15.75" customHeight="1">
      <c r="A940" s="179" t="s">
        <v>140</v>
      </c>
      <c r="B940" s="177">
        <v>45898</v>
      </c>
      <c r="C940" s="64">
        <v>0</v>
      </c>
      <c r="D940" s="64">
        <v>14138</v>
      </c>
      <c r="E940" s="64" t="s">
        <v>141</v>
      </c>
      <c r="F940" s="178">
        <v>202508280087417</v>
      </c>
      <c r="G940" s="81">
        <v>299.07</v>
      </c>
      <c r="H940" s="64" t="s">
        <v>1227</v>
      </c>
      <c r="I940" s="64" t="s">
        <v>419</v>
      </c>
    </row>
    <row r="941" spans="1:9" ht="15.75" hidden="1" customHeight="1">
      <c r="A941" s="64"/>
      <c r="B941" s="64"/>
      <c r="C941" s="64"/>
      <c r="D941" s="64"/>
      <c r="E941" s="64" t="s">
        <v>143</v>
      </c>
      <c r="F941" s="64"/>
      <c r="G941" s="81">
        <v>0</v>
      </c>
      <c r="H941" s="64"/>
      <c r="I941" s="64"/>
    </row>
    <row r="942" spans="1:9" ht="15.75" customHeight="1">
      <c r="A942" s="179" t="s">
        <v>140</v>
      </c>
      <c r="B942" s="177">
        <v>45898</v>
      </c>
      <c r="C942" s="64">
        <v>0</v>
      </c>
      <c r="D942" s="64">
        <v>14138</v>
      </c>
      <c r="E942" s="64" t="s">
        <v>141</v>
      </c>
      <c r="F942" s="178">
        <v>202508280087435</v>
      </c>
      <c r="G942" s="81">
        <v>3187.68</v>
      </c>
      <c r="H942" s="64" t="s">
        <v>1228</v>
      </c>
      <c r="I942" s="64" t="s">
        <v>428</v>
      </c>
    </row>
    <row r="943" spans="1:9" ht="15.75" hidden="1" customHeight="1">
      <c r="A943" s="64"/>
      <c r="B943" s="64"/>
      <c r="C943" s="64"/>
      <c r="D943" s="64"/>
      <c r="E943" s="64" t="s">
        <v>143</v>
      </c>
      <c r="F943" s="64"/>
      <c r="G943" s="81">
        <v>0</v>
      </c>
      <c r="H943" s="64"/>
      <c r="I943" s="64"/>
    </row>
    <row r="944" spans="1:9" ht="15.75" customHeight="1">
      <c r="A944" s="179" t="s">
        <v>140</v>
      </c>
      <c r="B944" s="177">
        <v>45898</v>
      </c>
      <c r="C944" s="64">
        <v>0</v>
      </c>
      <c r="D944" s="64">
        <v>14138</v>
      </c>
      <c r="E944" s="64" t="s">
        <v>141</v>
      </c>
      <c r="F944" s="178">
        <v>202508280087436</v>
      </c>
      <c r="G944" s="81">
        <v>1668.08</v>
      </c>
      <c r="H944" s="79" t="s">
        <v>1229</v>
      </c>
      <c r="I944" s="64" t="s">
        <v>428</v>
      </c>
    </row>
    <row r="945" spans="1:9" ht="15.75" hidden="1" customHeight="1">
      <c r="A945" s="64"/>
      <c r="B945" s="64"/>
      <c r="C945" s="64"/>
      <c r="D945" s="64"/>
      <c r="E945" s="64" t="s">
        <v>143</v>
      </c>
      <c r="F945" s="64"/>
      <c r="G945" s="81">
        <v>0</v>
      </c>
      <c r="H945" s="64"/>
      <c r="I945" s="64"/>
    </row>
    <row r="946" spans="1:9" ht="15.75" customHeight="1">
      <c r="A946" s="179" t="s">
        <v>140</v>
      </c>
      <c r="B946" s="177">
        <v>45898</v>
      </c>
      <c r="C946" s="64">
        <v>0</v>
      </c>
      <c r="D946" s="64">
        <v>14138</v>
      </c>
      <c r="E946" s="64" t="s">
        <v>141</v>
      </c>
      <c r="F946" s="178">
        <v>202508280087441</v>
      </c>
      <c r="G946" s="81">
        <v>4870.42</v>
      </c>
      <c r="H946" s="64" t="s">
        <v>1230</v>
      </c>
      <c r="I946" s="64" t="s">
        <v>428</v>
      </c>
    </row>
    <row r="947" spans="1:9" ht="15.75" hidden="1" customHeight="1">
      <c r="A947" s="64"/>
      <c r="B947" s="64"/>
      <c r="C947" s="64"/>
      <c r="D947" s="64"/>
      <c r="E947" s="64" t="s">
        <v>143</v>
      </c>
      <c r="F947" s="64"/>
      <c r="G947" s="81">
        <v>0</v>
      </c>
      <c r="H947" s="64"/>
      <c r="I947" s="64"/>
    </row>
    <row r="948" spans="1:9" ht="15.75" customHeight="1">
      <c r="A948" s="179" t="s">
        <v>140</v>
      </c>
      <c r="B948" s="177">
        <v>45898</v>
      </c>
      <c r="C948" s="64">
        <v>0</v>
      </c>
      <c r="D948" s="64">
        <v>14138</v>
      </c>
      <c r="E948" s="64" t="s">
        <v>141</v>
      </c>
      <c r="F948" s="178">
        <v>202508280087445</v>
      </c>
      <c r="G948" s="81">
        <v>1668.08</v>
      </c>
      <c r="H948" s="79" t="s">
        <v>1231</v>
      </c>
      <c r="I948" s="64" t="s">
        <v>428</v>
      </c>
    </row>
    <row r="949" spans="1:9" ht="15.75" hidden="1" customHeight="1">
      <c r="A949" s="64"/>
      <c r="B949" s="64"/>
      <c r="C949" s="64"/>
      <c r="D949" s="64"/>
      <c r="E949" s="64" t="s">
        <v>143</v>
      </c>
      <c r="F949" s="64"/>
      <c r="G949" s="81">
        <v>0</v>
      </c>
      <c r="H949" s="64"/>
      <c r="I949" s="64"/>
    </row>
    <row r="950" spans="1:9" ht="15.75" customHeight="1">
      <c r="A950" s="179" t="s">
        <v>140</v>
      </c>
      <c r="B950" s="177">
        <v>45898</v>
      </c>
      <c r="C950" s="64">
        <v>0</v>
      </c>
      <c r="D950" s="64">
        <v>14138</v>
      </c>
      <c r="E950" s="64" t="s">
        <v>141</v>
      </c>
      <c r="F950" s="178">
        <v>202508280087446</v>
      </c>
      <c r="G950" s="81">
        <v>1225.22</v>
      </c>
      <c r="H950" s="79" t="s">
        <v>1232</v>
      </c>
      <c r="I950" s="64" t="s">
        <v>428</v>
      </c>
    </row>
    <row r="951" spans="1:9" ht="15.75" hidden="1" customHeight="1">
      <c r="A951" s="64"/>
      <c r="B951" s="64"/>
      <c r="C951" s="64"/>
      <c r="D951" s="64"/>
      <c r="E951" s="64" t="s">
        <v>143</v>
      </c>
      <c r="F951" s="64"/>
      <c r="G951" s="81">
        <v>0</v>
      </c>
      <c r="H951" s="64"/>
      <c r="I951" s="64"/>
    </row>
    <row r="952" spans="1:9" ht="15.75" customHeight="1">
      <c r="A952" s="179" t="s">
        <v>140</v>
      </c>
      <c r="B952" s="177">
        <v>45898</v>
      </c>
      <c r="C952" s="64">
        <v>0</v>
      </c>
      <c r="D952" s="64">
        <v>14138</v>
      </c>
      <c r="E952" s="64" t="s">
        <v>141</v>
      </c>
      <c r="F952" s="178">
        <v>202508280093420</v>
      </c>
      <c r="G952" s="81">
        <v>1232.8399999999999</v>
      </c>
      <c r="H952" s="64" t="s">
        <v>1233</v>
      </c>
      <c r="I952" s="64" t="s">
        <v>428</v>
      </c>
    </row>
    <row r="953" spans="1:9" ht="15.75" hidden="1" customHeight="1">
      <c r="A953" s="64"/>
      <c r="B953" s="64"/>
      <c r="C953" s="64"/>
      <c r="D953" s="64"/>
      <c r="E953" s="64" t="s">
        <v>143</v>
      </c>
      <c r="F953" s="64"/>
      <c r="G953" s="81">
        <v>0</v>
      </c>
      <c r="H953" s="64"/>
      <c r="I953" s="64"/>
    </row>
    <row r="954" spans="1:9" ht="15.75" customHeight="1">
      <c r="A954" s="179" t="s">
        <v>140</v>
      </c>
      <c r="B954" s="177">
        <v>45898</v>
      </c>
      <c r="C954" s="64">
        <v>0</v>
      </c>
      <c r="D954" s="64">
        <v>14138</v>
      </c>
      <c r="E954" s="64" t="s">
        <v>141</v>
      </c>
      <c r="F954" s="178">
        <v>202508280093421</v>
      </c>
      <c r="G954" s="81">
        <v>2963.58</v>
      </c>
      <c r="H954" s="79" t="s">
        <v>1234</v>
      </c>
      <c r="I954" s="64" t="s">
        <v>428</v>
      </c>
    </row>
    <row r="955" spans="1:9" ht="15.75" hidden="1" customHeight="1">
      <c r="A955" s="64"/>
      <c r="B955" s="64"/>
      <c r="C955" s="64"/>
      <c r="D955" s="64"/>
      <c r="E955" s="64" t="s">
        <v>143</v>
      </c>
      <c r="F955" s="64"/>
      <c r="G955" s="81">
        <v>0</v>
      </c>
      <c r="H955" s="64"/>
      <c r="I955" s="64"/>
    </row>
    <row r="956" spans="1:9" ht="15.75" customHeight="1">
      <c r="A956" s="179" t="s">
        <v>140</v>
      </c>
      <c r="B956" s="177">
        <v>45898</v>
      </c>
      <c r="C956" s="64">
        <v>0</v>
      </c>
      <c r="D956" s="64">
        <v>14138</v>
      </c>
      <c r="E956" s="64" t="s">
        <v>141</v>
      </c>
      <c r="F956" s="178">
        <v>202508280093444</v>
      </c>
      <c r="G956" s="81">
        <v>1476.65</v>
      </c>
      <c r="H956" s="64" t="s">
        <v>1235</v>
      </c>
      <c r="I956" s="64" t="s">
        <v>595</v>
      </c>
    </row>
    <row r="957" spans="1:9" ht="15.75" hidden="1" customHeight="1">
      <c r="A957" s="64"/>
      <c r="B957" s="64"/>
      <c r="C957" s="64"/>
      <c r="D957" s="64"/>
      <c r="E957" s="64" t="s">
        <v>143</v>
      </c>
      <c r="F957" s="64"/>
      <c r="G957" s="81">
        <v>0</v>
      </c>
      <c r="H957" s="64"/>
      <c r="I957" s="64"/>
    </row>
    <row r="958" spans="1:9" ht="15.75" customHeight="1">
      <c r="A958" s="179" t="s">
        <v>140</v>
      </c>
      <c r="B958" s="177">
        <v>45898</v>
      </c>
      <c r="C958" s="64">
        <v>0</v>
      </c>
      <c r="D958" s="64">
        <v>14138</v>
      </c>
      <c r="E958" s="64" t="s">
        <v>141</v>
      </c>
      <c r="F958" s="178">
        <v>202508280093445</v>
      </c>
      <c r="G958" s="81">
        <v>1553.66</v>
      </c>
      <c r="H958" s="64" t="s">
        <v>1236</v>
      </c>
      <c r="I958" s="64" t="s">
        <v>595</v>
      </c>
    </row>
    <row r="959" spans="1:9" ht="15.75" hidden="1" customHeight="1">
      <c r="A959" s="64"/>
      <c r="B959" s="64"/>
      <c r="C959" s="64"/>
      <c r="D959" s="64"/>
      <c r="E959" s="64" t="s">
        <v>143</v>
      </c>
      <c r="F959" s="64"/>
      <c r="G959" s="81">
        <v>0</v>
      </c>
      <c r="H959" s="64"/>
      <c r="I959" s="64"/>
    </row>
    <row r="960" spans="1:9" ht="15.75" customHeight="1">
      <c r="A960" s="179" t="s">
        <v>140</v>
      </c>
      <c r="B960" s="177">
        <v>45898</v>
      </c>
      <c r="C960" s="64">
        <v>0</v>
      </c>
      <c r="D960" s="64">
        <v>14138</v>
      </c>
      <c r="E960" s="64" t="s">
        <v>141</v>
      </c>
      <c r="F960" s="178">
        <v>202508280093446</v>
      </c>
      <c r="G960" s="81">
        <v>1476.65</v>
      </c>
      <c r="H960" s="79" t="s">
        <v>1237</v>
      </c>
      <c r="I960" s="64" t="s">
        <v>595</v>
      </c>
    </row>
    <row r="961" spans="1:9" ht="15.75" hidden="1" customHeight="1">
      <c r="A961" s="64"/>
      <c r="B961" s="64"/>
      <c r="C961" s="64"/>
      <c r="D961" s="64"/>
      <c r="E961" s="64" t="s">
        <v>143</v>
      </c>
      <c r="F961" s="64"/>
      <c r="G961" s="81">
        <v>0</v>
      </c>
      <c r="H961" s="64"/>
      <c r="I961" s="64"/>
    </row>
    <row r="962" spans="1:9" ht="15.75" customHeight="1">
      <c r="A962" s="179" t="s">
        <v>140</v>
      </c>
      <c r="B962" s="177">
        <v>45898</v>
      </c>
      <c r="C962" s="64">
        <v>0</v>
      </c>
      <c r="D962" s="64">
        <v>14138</v>
      </c>
      <c r="E962" s="64" t="s">
        <v>141</v>
      </c>
      <c r="F962" s="178">
        <v>202508280093447</v>
      </c>
      <c r="G962" s="81">
        <v>1553.66</v>
      </c>
      <c r="H962" s="64" t="s">
        <v>1238</v>
      </c>
      <c r="I962" s="64" t="s">
        <v>595</v>
      </c>
    </row>
    <row r="963" spans="1:9" ht="15.75" hidden="1" customHeight="1">
      <c r="A963" s="64"/>
      <c r="B963" s="64"/>
      <c r="C963" s="64"/>
      <c r="D963" s="64"/>
      <c r="E963" s="64" t="s">
        <v>143</v>
      </c>
      <c r="F963" s="64"/>
      <c r="G963" s="81">
        <v>0</v>
      </c>
      <c r="H963" s="64"/>
      <c r="I963" s="64"/>
    </row>
    <row r="964" spans="1:9" ht="15.75" customHeight="1">
      <c r="A964" s="179" t="s">
        <v>140</v>
      </c>
      <c r="B964" s="177">
        <v>45898</v>
      </c>
      <c r="C964" s="64">
        <v>0</v>
      </c>
      <c r="D964" s="64">
        <v>14138</v>
      </c>
      <c r="E964" s="64" t="s">
        <v>141</v>
      </c>
      <c r="F964" s="178">
        <v>202508280093457</v>
      </c>
      <c r="G964" s="81">
        <v>3418.73</v>
      </c>
      <c r="H964" s="79" t="s">
        <v>1239</v>
      </c>
      <c r="I964" s="64" t="s">
        <v>595</v>
      </c>
    </row>
    <row r="965" spans="1:9" ht="15.75" hidden="1" customHeight="1">
      <c r="A965" s="64"/>
      <c r="B965" s="64"/>
      <c r="C965" s="64"/>
      <c r="D965" s="64"/>
      <c r="E965" s="64" t="s">
        <v>143</v>
      </c>
      <c r="F965" s="64"/>
      <c r="G965" s="81">
        <v>0</v>
      </c>
      <c r="H965" s="64"/>
      <c r="I965" s="64"/>
    </row>
    <row r="966" spans="1:9" ht="15.75" customHeight="1">
      <c r="A966" s="179" t="s">
        <v>140</v>
      </c>
      <c r="B966" s="177">
        <v>45898</v>
      </c>
      <c r="C966" s="64">
        <v>0</v>
      </c>
      <c r="D966" s="64">
        <v>14138</v>
      </c>
      <c r="E966" s="64" t="s">
        <v>141</v>
      </c>
      <c r="F966" s="178">
        <v>202508280093459</v>
      </c>
      <c r="G966" s="81">
        <v>3418.73</v>
      </c>
      <c r="H966" s="64" t="s">
        <v>1240</v>
      </c>
      <c r="I966" s="64" t="s">
        <v>595</v>
      </c>
    </row>
    <row r="967" spans="1:9" ht="15.75" hidden="1" customHeight="1">
      <c r="A967" s="64"/>
      <c r="B967" s="64"/>
      <c r="C967" s="64"/>
      <c r="D967" s="64"/>
      <c r="E967" s="64" t="s">
        <v>143</v>
      </c>
      <c r="F967" s="64"/>
      <c r="G967" s="81">
        <v>0</v>
      </c>
      <c r="H967" s="64"/>
      <c r="I967" s="64"/>
    </row>
    <row r="968" spans="1:9" ht="15.75" hidden="1" customHeight="1">
      <c r="A968" s="64"/>
      <c r="B968" s="177">
        <v>45898</v>
      </c>
      <c r="C968" s="64">
        <v>0</v>
      </c>
      <c r="D968" s="64">
        <v>14397</v>
      </c>
      <c r="E968" s="64" t="s">
        <v>57</v>
      </c>
      <c r="F968" s="178">
        <v>290825357651622</v>
      </c>
      <c r="G968" s="81">
        <v>80</v>
      </c>
      <c r="H968" s="64"/>
      <c r="I968" s="64"/>
    </row>
    <row r="969" spans="1:9" ht="15.75" hidden="1" customHeight="1">
      <c r="A969" s="64"/>
      <c r="B969" s="64"/>
      <c r="C969" s="64"/>
      <c r="D969" s="64"/>
      <c r="E969" s="64" t="s">
        <v>1241</v>
      </c>
      <c r="F969" s="64"/>
      <c r="G969" s="81">
        <v>0</v>
      </c>
      <c r="H969" s="64"/>
      <c r="I969" s="64"/>
    </row>
    <row r="970" spans="1:9" ht="15.75" hidden="1" customHeight="1">
      <c r="A970" s="64"/>
      <c r="B970" s="177">
        <v>45898</v>
      </c>
      <c r="C970" s="64">
        <v>0</v>
      </c>
      <c r="D970" s="64">
        <v>14397</v>
      </c>
      <c r="E970" s="64" t="s">
        <v>57</v>
      </c>
      <c r="F970" s="178">
        <v>291624326982032</v>
      </c>
      <c r="G970" s="81">
        <v>527.41</v>
      </c>
      <c r="H970" s="64"/>
      <c r="I970" s="64"/>
    </row>
    <row r="971" spans="1:9" ht="15.75" hidden="1" customHeight="1">
      <c r="A971" s="64"/>
      <c r="B971" s="64"/>
      <c r="C971" s="64"/>
      <c r="D971" s="64"/>
      <c r="E971" s="64" t="s">
        <v>1242</v>
      </c>
      <c r="F971" s="64"/>
      <c r="G971" s="81">
        <v>0</v>
      </c>
      <c r="H971" s="64"/>
      <c r="I971" s="64"/>
    </row>
    <row r="972" spans="1:9" ht="15.75" hidden="1" customHeight="1">
      <c r="A972" s="64"/>
      <c r="B972" s="177">
        <v>45898</v>
      </c>
      <c r="C972" s="64">
        <v>1533</v>
      </c>
      <c r="D972" s="64">
        <v>99008</v>
      </c>
      <c r="E972" s="64" t="s">
        <v>29</v>
      </c>
      <c r="F972" s="178">
        <v>600488</v>
      </c>
      <c r="G972" s="81">
        <v>203.94</v>
      </c>
      <c r="H972" s="64"/>
      <c r="I972" s="64"/>
    </row>
    <row r="973" spans="1:9" ht="15.75" hidden="1" customHeight="1">
      <c r="A973" s="64"/>
      <c r="B973" s="64"/>
      <c r="C973" s="64"/>
      <c r="D973" s="64"/>
      <c r="E973" s="64" t="s">
        <v>1243</v>
      </c>
      <c r="F973" s="64"/>
      <c r="G973" s="81">
        <v>0</v>
      </c>
      <c r="H973" s="64"/>
      <c r="I973" s="64"/>
    </row>
    <row r="974" spans="1:9" ht="15.75" hidden="1" customHeight="1">
      <c r="A974" s="64"/>
      <c r="B974" s="177">
        <v>45898</v>
      </c>
      <c r="C974" s="64">
        <v>0</v>
      </c>
      <c r="D974" s="64">
        <v>13105</v>
      </c>
      <c r="E974" s="64" t="s">
        <v>80</v>
      </c>
      <c r="F974" s="178">
        <v>82901</v>
      </c>
      <c r="G974" s="81">
        <v>2936.43</v>
      </c>
      <c r="H974" s="64"/>
      <c r="I974" s="64"/>
    </row>
    <row r="975" spans="1:9" ht="15.75" hidden="1" customHeight="1">
      <c r="A975" s="64"/>
      <c r="B975" s="64"/>
      <c r="C975" s="64"/>
      <c r="D975" s="64"/>
      <c r="E975" s="64" t="s">
        <v>81</v>
      </c>
      <c r="F975" s="64"/>
      <c r="G975" s="81">
        <v>0</v>
      </c>
      <c r="H975" s="64"/>
      <c r="I975" s="64"/>
    </row>
    <row r="976" spans="1:9" ht="15.75" hidden="1" customHeight="1">
      <c r="A976" s="64"/>
      <c r="B976" s="177">
        <v>45898</v>
      </c>
      <c r="C976" s="64">
        <v>0</v>
      </c>
      <c r="D976" s="64">
        <v>13105</v>
      </c>
      <c r="E976" s="64" t="s">
        <v>31</v>
      </c>
      <c r="F976" s="178">
        <v>82902</v>
      </c>
      <c r="G976" s="81">
        <v>1357.72</v>
      </c>
      <c r="H976" s="64"/>
      <c r="I976" s="64"/>
    </row>
    <row r="977" spans="1:9" ht="15.75" hidden="1" customHeight="1">
      <c r="A977" s="64"/>
      <c r="B977" s="64"/>
      <c r="C977" s="64"/>
      <c r="D977" s="64"/>
      <c r="E977" s="64" t="s">
        <v>1244</v>
      </c>
      <c r="F977" s="64"/>
      <c r="G977" s="81">
        <v>0</v>
      </c>
      <c r="H977" s="64"/>
      <c r="I977" s="64"/>
    </row>
    <row r="978" spans="1:9" ht="15.75" hidden="1" customHeight="1">
      <c r="A978" s="64"/>
      <c r="B978" s="177">
        <v>45898</v>
      </c>
      <c r="C978" s="64">
        <v>0</v>
      </c>
      <c r="D978" s="64">
        <v>13105</v>
      </c>
      <c r="E978" s="64" t="s">
        <v>31</v>
      </c>
      <c r="F978" s="178">
        <v>82903</v>
      </c>
      <c r="G978" s="81">
        <v>1630.05</v>
      </c>
      <c r="H978" s="64"/>
      <c r="I978" s="64"/>
    </row>
    <row r="979" spans="1:9" ht="15.75" hidden="1" customHeight="1">
      <c r="A979" s="64"/>
      <c r="B979" s="64"/>
      <c r="C979" s="64"/>
      <c r="D979" s="64"/>
      <c r="E979" s="64" t="s">
        <v>95</v>
      </c>
      <c r="F979" s="64"/>
      <c r="G979" s="81">
        <v>0</v>
      </c>
      <c r="H979" s="64"/>
      <c r="I979" s="64"/>
    </row>
    <row r="980" spans="1:9" ht="15.75" hidden="1" customHeight="1">
      <c r="A980" s="64"/>
      <c r="B980" s="177">
        <v>45898</v>
      </c>
      <c r="C980" s="64">
        <v>0</v>
      </c>
      <c r="D980" s="64">
        <v>13105</v>
      </c>
      <c r="E980" s="64" t="s">
        <v>31</v>
      </c>
      <c r="F980" s="178">
        <v>82904</v>
      </c>
      <c r="G980" s="81">
        <v>315</v>
      </c>
      <c r="H980" s="64"/>
      <c r="I980" s="64"/>
    </row>
    <row r="981" spans="1:9" ht="15.75" hidden="1" customHeight="1">
      <c r="A981" s="64"/>
      <c r="B981" s="64"/>
      <c r="C981" s="64"/>
      <c r="D981" s="64"/>
      <c r="E981" s="64" t="s">
        <v>454</v>
      </c>
      <c r="F981" s="64"/>
      <c r="G981" s="81">
        <v>0</v>
      </c>
      <c r="H981" s="64"/>
      <c r="I981" s="64"/>
    </row>
    <row r="982" spans="1:9" ht="15.75" hidden="1" customHeight="1">
      <c r="A982" s="64"/>
      <c r="B982" s="177">
        <v>45898</v>
      </c>
      <c r="C982" s="64">
        <v>0</v>
      </c>
      <c r="D982" s="64">
        <v>13105</v>
      </c>
      <c r="E982" s="64" t="s">
        <v>31</v>
      </c>
      <c r="F982" s="178">
        <v>82905</v>
      </c>
      <c r="G982" s="81">
        <v>95</v>
      </c>
      <c r="H982" s="64"/>
      <c r="I982" s="64"/>
    </row>
    <row r="983" spans="1:9" ht="15.75" hidden="1" customHeight="1">
      <c r="A983" s="64"/>
      <c r="B983" s="64"/>
      <c r="C983" s="64"/>
      <c r="D983" s="64"/>
      <c r="E983" s="64" t="s">
        <v>43</v>
      </c>
      <c r="F983" s="64"/>
      <c r="G983" s="81">
        <v>0</v>
      </c>
      <c r="H983" s="64"/>
      <c r="I983" s="64"/>
    </row>
    <row r="984" spans="1:9" ht="15.75" hidden="1" customHeight="1">
      <c r="A984" s="64"/>
      <c r="B984" s="177">
        <v>45898</v>
      </c>
      <c r="C984" s="64">
        <v>0</v>
      </c>
      <c r="D984" s="64">
        <v>13105</v>
      </c>
      <c r="E984" s="64" t="s">
        <v>31</v>
      </c>
      <c r="F984" s="178">
        <v>82906</v>
      </c>
      <c r="G984" s="81">
        <v>232.34</v>
      </c>
      <c r="H984" s="64"/>
      <c r="I984" s="64"/>
    </row>
    <row r="985" spans="1:9" ht="15.75" hidden="1" customHeight="1">
      <c r="A985" s="64"/>
      <c r="B985" s="64"/>
      <c r="C985" s="64"/>
      <c r="D985" s="64"/>
      <c r="E985" s="64" t="s">
        <v>440</v>
      </c>
      <c r="F985" s="64"/>
      <c r="G985" s="81">
        <v>0</v>
      </c>
      <c r="H985" s="64"/>
      <c r="I985" s="64"/>
    </row>
    <row r="986" spans="1:9" ht="15.75" hidden="1" customHeight="1">
      <c r="A986" s="64"/>
      <c r="B986" s="177">
        <v>45898</v>
      </c>
      <c r="C986" s="64">
        <v>0</v>
      </c>
      <c r="D986" s="64">
        <v>13105</v>
      </c>
      <c r="E986" s="64" t="s">
        <v>31</v>
      </c>
      <c r="F986" s="178">
        <v>82907</v>
      </c>
      <c r="G986" s="81">
        <v>741.98</v>
      </c>
      <c r="H986" s="64"/>
      <c r="I986" s="64"/>
    </row>
    <row r="987" spans="1:9" ht="15.75" hidden="1" customHeight="1">
      <c r="A987" s="64"/>
      <c r="B987" s="64"/>
      <c r="C987" s="64"/>
      <c r="D987" s="64"/>
      <c r="E987" s="64" t="s">
        <v>188</v>
      </c>
      <c r="F987" s="64"/>
      <c r="G987" s="81">
        <v>0</v>
      </c>
      <c r="H987" s="64"/>
      <c r="I987" s="64"/>
    </row>
    <row r="988" spans="1:9" ht="15.75" hidden="1" customHeight="1">
      <c r="A988" s="64"/>
      <c r="B988" s="177">
        <v>45898</v>
      </c>
      <c r="C988" s="64">
        <v>0</v>
      </c>
      <c r="D988" s="64">
        <v>13105</v>
      </c>
      <c r="E988" s="64" t="s">
        <v>31</v>
      </c>
      <c r="F988" s="178">
        <v>82908</v>
      </c>
      <c r="G988" s="81">
        <v>1440</v>
      </c>
      <c r="H988" s="64"/>
      <c r="I988" s="64"/>
    </row>
    <row r="989" spans="1:9" ht="15.75" hidden="1" customHeight="1">
      <c r="A989" s="64"/>
      <c r="B989" s="64"/>
      <c r="C989" s="64"/>
      <c r="D989" s="64"/>
      <c r="E989" s="64" t="s">
        <v>71</v>
      </c>
      <c r="F989" s="64"/>
      <c r="G989" s="81">
        <v>0</v>
      </c>
      <c r="H989" s="64"/>
      <c r="I989" s="64"/>
    </row>
    <row r="990" spans="1:9" ht="15.75" hidden="1" customHeight="1">
      <c r="A990" s="64"/>
      <c r="B990" s="177">
        <v>45898</v>
      </c>
      <c r="C990" s="64">
        <v>0</v>
      </c>
      <c r="D990" s="64">
        <v>13105</v>
      </c>
      <c r="E990" s="64" t="s">
        <v>31</v>
      </c>
      <c r="F990" s="178">
        <v>82909</v>
      </c>
      <c r="G990" s="81">
        <v>188.24</v>
      </c>
      <c r="H990" s="64"/>
      <c r="I990" s="64"/>
    </row>
    <row r="991" spans="1:9" ht="15.75" hidden="1" customHeight="1">
      <c r="A991" s="64"/>
      <c r="B991" s="64"/>
      <c r="C991" s="64"/>
      <c r="D991" s="64"/>
      <c r="E991" s="64" t="s">
        <v>289</v>
      </c>
      <c r="F991" s="64"/>
      <c r="G991" s="81">
        <v>0</v>
      </c>
      <c r="H991" s="64"/>
      <c r="I991" s="64"/>
    </row>
    <row r="992" spans="1:9" ht="15.75" hidden="1" customHeight="1">
      <c r="A992" s="64"/>
      <c r="B992" s="177">
        <v>45898</v>
      </c>
      <c r="C992" s="64">
        <v>0</v>
      </c>
      <c r="D992" s="64">
        <v>13105</v>
      </c>
      <c r="E992" s="64" t="s">
        <v>31</v>
      </c>
      <c r="F992" s="178">
        <v>82910</v>
      </c>
      <c r="G992" s="81">
        <v>2499.56</v>
      </c>
      <c r="H992" s="64"/>
      <c r="I992" s="64"/>
    </row>
    <row r="993" spans="1:9" ht="15.75" hidden="1" customHeight="1">
      <c r="A993" s="64"/>
      <c r="B993" s="64"/>
      <c r="C993" s="64"/>
      <c r="D993" s="64"/>
      <c r="E993" s="64" t="s">
        <v>348</v>
      </c>
      <c r="F993" s="64"/>
      <c r="G993" s="81">
        <v>0</v>
      </c>
      <c r="H993" s="64"/>
      <c r="I993" s="64"/>
    </row>
    <row r="994" spans="1:9" ht="15.75" hidden="1" customHeight="1">
      <c r="A994" s="64"/>
      <c r="B994" s="177">
        <v>45898</v>
      </c>
      <c r="C994" s="64">
        <v>0</v>
      </c>
      <c r="D994" s="64">
        <v>13105</v>
      </c>
      <c r="E994" s="64" t="s">
        <v>31</v>
      </c>
      <c r="F994" s="178">
        <v>82911</v>
      </c>
      <c r="G994" s="81">
        <v>3500</v>
      </c>
      <c r="H994" s="64"/>
      <c r="I994" s="64"/>
    </row>
    <row r="995" spans="1:9" ht="15.75" hidden="1" customHeight="1">
      <c r="A995" s="64"/>
      <c r="B995" s="64"/>
      <c r="C995" s="64"/>
      <c r="D995" s="64"/>
      <c r="E995" s="64" t="s">
        <v>1109</v>
      </c>
      <c r="F995" s="64"/>
      <c r="G995" s="81">
        <v>0</v>
      </c>
      <c r="H995" s="64"/>
      <c r="I995" s="64"/>
    </row>
    <row r="996" spans="1:9" ht="15.75" hidden="1" customHeight="1">
      <c r="A996" s="64"/>
      <c r="B996" s="177">
        <v>45898</v>
      </c>
      <c r="C996" s="64">
        <v>0</v>
      </c>
      <c r="D996" s="64">
        <v>13105</v>
      </c>
      <c r="E996" s="64" t="s">
        <v>31</v>
      </c>
      <c r="F996" s="178">
        <v>82912</v>
      </c>
      <c r="G996" s="81">
        <v>9291.4699999999993</v>
      </c>
      <c r="H996" s="64"/>
      <c r="I996" s="64"/>
    </row>
    <row r="997" spans="1:9" ht="15.75" hidden="1" customHeight="1">
      <c r="A997" s="64"/>
      <c r="B997" s="64"/>
      <c r="C997" s="64"/>
      <c r="D997" s="64"/>
      <c r="E997" s="64" t="s">
        <v>66</v>
      </c>
      <c r="F997" s="64"/>
      <c r="G997" s="81">
        <v>0</v>
      </c>
      <c r="H997" s="64"/>
      <c r="I997" s="64"/>
    </row>
    <row r="998" spans="1:9" ht="15.75" hidden="1" customHeight="1">
      <c r="A998" s="64"/>
      <c r="B998" s="177">
        <v>45898</v>
      </c>
      <c r="C998" s="64">
        <v>0</v>
      </c>
      <c r="D998" s="64">
        <v>13105</v>
      </c>
      <c r="E998" s="64" t="s">
        <v>31</v>
      </c>
      <c r="F998" s="178">
        <v>82913</v>
      </c>
      <c r="G998" s="81">
        <v>3387.34</v>
      </c>
      <c r="H998" s="64"/>
      <c r="I998" s="64"/>
    </row>
    <row r="999" spans="1:9" ht="15.75" hidden="1" customHeight="1">
      <c r="A999" s="64"/>
      <c r="B999" s="64"/>
      <c r="C999" s="64"/>
      <c r="D999" s="64"/>
      <c r="E999" s="64" t="s">
        <v>575</v>
      </c>
      <c r="F999" s="64"/>
      <c r="G999" s="81">
        <v>0</v>
      </c>
      <c r="H999" s="64"/>
      <c r="I999" s="64"/>
    </row>
    <row r="1000" spans="1:9" ht="15.75" hidden="1" customHeight="1">
      <c r="A1000" s="64"/>
      <c r="B1000" s="177">
        <v>45898</v>
      </c>
      <c r="C1000" s="64">
        <v>0</v>
      </c>
      <c r="D1000" s="64">
        <v>13105</v>
      </c>
      <c r="E1000" s="64" t="s">
        <v>31</v>
      </c>
      <c r="F1000" s="178">
        <v>82914</v>
      </c>
      <c r="G1000" s="81">
        <v>324.75</v>
      </c>
      <c r="H1000" s="64"/>
      <c r="I1000" s="64"/>
    </row>
    <row r="1001" spans="1:9" ht="15.75" hidden="1" customHeight="1">
      <c r="A1001" s="64"/>
      <c r="B1001" s="64"/>
      <c r="C1001" s="64"/>
      <c r="D1001" s="64"/>
      <c r="E1001" s="64" t="s">
        <v>41</v>
      </c>
      <c r="F1001" s="64"/>
      <c r="G1001" s="81">
        <v>0</v>
      </c>
      <c r="H1001" s="64"/>
      <c r="I1001" s="64"/>
    </row>
    <row r="1002" spans="1:9" ht="15.75" hidden="1" customHeight="1">
      <c r="A1002" s="64"/>
      <c r="B1002" s="177">
        <v>45898</v>
      </c>
      <c r="C1002" s="64">
        <v>0</v>
      </c>
      <c r="D1002" s="64">
        <v>13105</v>
      </c>
      <c r="E1002" s="64" t="s">
        <v>31</v>
      </c>
      <c r="F1002" s="178">
        <v>82915</v>
      </c>
      <c r="G1002" s="81">
        <v>54.28</v>
      </c>
      <c r="H1002" s="64"/>
      <c r="I1002" s="64"/>
    </row>
    <row r="1003" spans="1:9" ht="15.75" hidden="1" customHeight="1">
      <c r="A1003" s="64"/>
      <c r="B1003" s="64"/>
      <c r="C1003" s="64"/>
      <c r="D1003" s="64"/>
      <c r="E1003" s="64" t="s">
        <v>46</v>
      </c>
      <c r="F1003" s="64"/>
      <c r="G1003" s="81">
        <v>0</v>
      </c>
      <c r="H1003" s="64"/>
      <c r="I1003" s="64"/>
    </row>
    <row r="1004" spans="1:9" ht="15.75" hidden="1" customHeight="1">
      <c r="A1004" s="64"/>
      <c r="B1004" s="177">
        <v>45898</v>
      </c>
      <c r="C1004" s="64">
        <v>0</v>
      </c>
      <c r="D1004" s="64">
        <v>13105</v>
      </c>
      <c r="E1004" s="64" t="s">
        <v>31</v>
      </c>
      <c r="F1004" s="178">
        <v>82916</v>
      </c>
      <c r="G1004" s="81">
        <v>512.49</v>
      </c>
      <c r="H1004" s="64"/>
      <c r="I1004" s="64"/>
    </row>
    <row r="1005" spans="1:9" ht="15.75" hidden="1" customHeight="1">
      <c r="A1005" s="64"/>
      <c r="B1005" s="64"/>
      <c r="C1005" s="64"/>
      <c r="D1005" s="64"/>
      <c r="E1005" s="64" t="s">
        <v>45</v>
      </c>
      <c r="F1005" s="64"/>
      <c r="G1005" s="81">
        <v>0</v>
      </c>
      <c r="H1005" s="64"/>
      <c r="I1005" s="64"/>
    </row>
    <row r="1006" spans="1:9" ht="15.75" hidden="1" customHeight="1">
      <c r="A1006" s="64"/>
      <c r="B1006" s="177">
        <v>45898</v>
      </c>
      <c r="C1006" s="64">
        <v>0</v>
      </c>
      <c r="D1006" s="64">
        <v>13105</v>
      </c>
      <c r="E1006" s="64" t="s">
        <v>31</v>
      </c>
      <c r="F1006" s="178">
        <v>82917</v>
      </c>
      <c r="G1006" s="81">
        <v>383.35</v>
      </c>
      <c r="H1006" s="64"/>
      <c r="I1006" s="64"/>
    </row>
    <row r="1007" spans="1:9" ht="15.75" hidden="1" customHeight="1">
      <c r="A1007" s="64"/>
      <c r="B1007" s="64"/>
      <c r="C1007" s="64"/>
      <c r="D1007" s="64"/>
      <c r="E1007" s="64" t="s">
        <v>45</v>
      </c>
      <c r="F1007" s="64"/>
      <c r="G1007" s="81">
        <v>0</v>
      </c>
      <c r="H1007" s="64"/>
      <c r="I1007" s="64"/>
    </row>
    <row r="1008" spans="1:9" ht="15.75" hidden="1" customHeight="1">
      <c r="A1008" s="64"/>
      <c r="B1008" s="177">
        <v>45898</v>
      </c>
      <c r="C1008" s="64">
        <v>0</v>
      </c>
      <c r="D1008" s="64">
        <v>13105</v>
      </c>
      <c r="E1008" s="64" t="s">
        <v>31</v>
      </c>
      <c r="F1008" s="178">
        <v>82918</v>
      </c>
      <c r="G1008" s="81">
        <v>210.74</v>
      </c>
      <c r="H1008" s="64"/>
      <c r="I1008" s="64"/>
    </row>
    <row r="1009" spans="1:9" ht="15.75" hidden="1" customHeight="1">
      <c r="A1009" s="64"/>
      <c r="B1009" s="64"/>
      <c r="C1009" s="64"/>
      <c r="D1009" s="64"/>
      <c r="E1009" s="64" t="s">
        <v>45</v>
      </c>
      <c r="F1009" s="64"/>
      <c r="G1009" s="81">
        <v>0</v>
      </c>
      <c r="H1009" s="64"/>
      <c r="I1009" s="64"/>
    </row>
    <row r="1010" spans="1:9" ht="15.75" hidden="1" customHeight="1">
      <c r="A1010" s="64"/>
      <c r="B1010" s="177">
        <v>45898</v>
      </c>
      <c r="C1010" s="64">
        <v>0</v>
      </c>
      <c r="D1010" s="64">
        <v>13105</v>
      </c>
      <c r="E1010" s="64" t="s">
        <v>31</v>
      </c>
      <c r="F1010" s="178">
        <v>82919</v>
      </c>
      <c r="G1010" s="81">
        <v>446.74</v>
      </c>
      <c r="H1010" s="64"/>
      <c r="I1010" s="64"/>
    </row>
    <row r="1011" spans="1:9" ht="15.75" hidden="1" customHeight="1">
      <c r="A1011" s="64"/>
      <c r="B1011" s="64"/>
      <c r="C1011" s="64"/>
      <c r="D1011" s="64"/>
      <c r="E1011" s="64" t="s">
        <v>45</v>
      </c>
      <c r="F1011" s="64"/>
      <c r="G1011" s="81">
        <v>0</v>
      </c>
      <c r="H1011" s="64"/>
      <c r="I1011" s="64"/>
    </row>
    <row r="1012" spans="1:9" ht="15.75" hidden="1" customHeight="1">
      <c r="A1012" s="64"/>
      <c r="B1012" s="177">
        <v>45898</v>
      </c>
      <c r="C1012" s="64">
        <v>0</v>
      </c>
      <c r="D1012" s="64">
        <v>13105</v>
      </c>
      <c r="E1012" s="64" t="s">
        <v>31</v>
      </c>
      <c r="F1012" s="178">
        <v>82920</v>
      </c>
      <c r="G1012" s="81">
        <v>200.18</v>
      </c>
      <c r="H1012" s="64"/>
      <c r="I1012" s="64"/>
    </row>
    <row r="1013" spans="1:9" ht="15.75" hidden="1" customHeight="1">
      <c r="A1013" s="64"/>
      <c r="B1013" s="64"/>
      <c r="C1013" s="64"/>
      <c r="D1013" s="64"/>
      <c r="E1013" s="64" t="s">
        <v>111</v>
      </c>
      <c r="F1013" s="64"/>
      <c r="G1013" s="81">
        <v>0</v>
      </c>
      <c r="H1013" s="64"/>
      <c r="I1013" s="64"/>
    </row>
    <row r="1014" spans="1:9" ht="15.75" hidden="1" customHeight="1">
      <c r="A1014" s="64"/>
      <c r="B1014" s="177">
        <v>45898</v>
      </c>
      <c r="C1014" s="64">
        <v>0</v>
      </c>
      <c r="D1014" s="64">
        <v>13105</v>
      </c>
      <c r="E1014" s="64" t="s">
        <v>31</v>
      </c>
      <c r="F1014" s="178">
        <v>82921</v>
      </c>
      <c r="G1014" s="81">
        <v>915.44</v>
      </c>
      <c r="H1014" s="64"/>
      <c r="I1014" s="64"/>
    </row>
    <row r="1015" spans="1:9" ht="15.75" hidden="1" customHeight="1">
      <c r="A1015" s="64"/>
      <c r="B1015" s="64"/>
      <c r="C1015" s="64"/>
      <c r="D1015" s="64"/>
      <c r="E1015" s="64" t="s">
        <v>165</v>
      </c>
      <c r="F1015" s="64"/>
      <c r="G1015" s="81">
        <v>0</v>
      </c>
      <c r="H1015" s="64"/>
      <c r="I1015" s="64"/>
    </row>
    <row r="1016" spans="1:9" ht="15.75" hidden="1" customHeight="1">
      <c r="A1016" s="64"/>
      <c r="B1016" s="177">
        <v>45898</v>
      </c>
      <c r="C1016" s="64">
        <v>0</v>
      </c>
      <c r="D1016" s="64">
        <v>13013</v>
      </c>
      <c r="E1016" s="64" t="s">
        <v>204</v>
      </c>
      <c r="F1016" s="178">
        <v>3941</v>
      </c>
      <c r="G1016" s="81">
        <v>2466.62</v>
      </c>
      <c r="H1016" s="64"/>
      <c r="I1016" s="64"/>
    </row>
    <row r="1017" spans="1:9" ht="15.75" hidden="1" customHeight="1">
      <c r="A1017" s="64"/>
      <c r="B1017" s="64"/>
      <c r="C1017" s="64"/>
      <c r="D1017" s="64"/>
      <c r="E1017" s="64" t="s">
        <v>205</v>
      </c>
      <c r="F1017" s="64"/>
      <c r="G1017" s="81">
        <v>0</v>
      </c>
      <c r="H1017" s="64"/>
      <c r="I1017" s="64"/>
    </row>
    <row r="1018" spans="1:9" ht="15.75" hidden="1" customHeight="1">
      <c r="A1018" s="64"/>
      <c r="B1018" s="177">
        <v>45898</v>
      </c>
      <c r="C1018" s="64">
        <v>0</v>
      </c>
      <c r="D1018" s="64">
        <v>13013</v>
      </c>
      <c r="E1018" s="64" t="s">
        <v>204</v>
      </c>
      <c r="F1018" s="178">
        <v>3941</v>
      </c>
      <c r="G1018" s="81">
        <v>857.44</v>
      </c>
      <c r="H1018" s="64"/>
      <c r="I1018" s="64"/>
    </row>
    <row r="1019" spans="1:9" ht="15.75" hidden="1" customHeight="1">
      <c r="A1019" s="64"/>
      <c r="B1019" s="64"/>
      <c r="C1019" s="64"/>
      <c r="D1019" s="64"/>
      <c r="E1019" s="64" t="s">
        <v>205</v>
      </c>
      <c r="F1019" s="64"/>
      <c r="G1019" s="81">
        <v>0</v>
      </c>
      <c r="H1019" s="64"/>
      <c r="I1019" s="64"/>
    </row>
    <row r="1020" spans="1:9" ht="15.75" hidden="1" customHeight="1">
      <c r="A1020" s="64"/>
      <c r="B1020" s="177">
        <v>45898</v>
      </c>
      <c r="C1020" s="64">
        <v>0</v>
      </c>
      <c r="D1020" s="64">
        <v>13013</v>
      </c>
      <c r="E1020" s="64" t="s">
        <v>204</v>
      </c>
      <c r="F1020" s="178">
        <v>3941</v>
      </c>
      <c r="G1020" s="81">
        <v>1051.95</v>
      </c>
      <c r="H1020" s="64"/>
      <c r="I1020" s="64"/>
    </row>
    <row r="1021" spans="1:9" ht="15.75" hidden="1" customHeight="1">
      <c r="A1021" s="64"/>
      <c r="B1021" s="64"/>
      <c r="C1021" s="64"/>
      <c r="D1021" s="64"/>
      <c r="E1021" s="64" t="s">
        <v>205</v>
      </c>
      <c r="F1021" s="64"/>
      <c r="G1021" s="81">
        <v>0</v>
      </c>
      <c r="H1021" s="64"/>
      <c r="I1021" s="64"/>
    </row>
    <row r="1022" spans="1:9" ht="15.75" hidden="1" customHeight="1">
      <c r="A1022" s="64"/>
      <c r="B1022" s="177">
        <v>45898</v>
      </c>
      <c r="C1022" s="64">
        <v>0</v>
      </c>
      <c r="D1022" s="64">
        <v>13013</v>
      </c>
      <c r="E1022" s="64" t="s">
        <v>204</v>
      </c>
      <c r="F1022" s="178">
        <v>3941</v>
      </c>
      <c r="G1022" s="81">
        <v>829.47</v>
      </c>
      <c r="H1022" s="64"/>
      <c r="I1022" s="64"/>
    </row>
    <row r="1023" spans="1:9" ht="15.75" hidden="1" customHeight="1">
      <c r="A1023" s="64"/>
      <c r="B1023" s="64"/>
      <c r="C1023" s="64"/>
      <c r="D1023" s="64"/>
      <c r="E1023" s="64" t="s">
        <v>205</v>
      </c>
      <c r="F1023" s="64"/>
      <c r="G1023" s="81">
        <v>0</v>
      </c>
      <c r="H1023" s="64"/>
      <c r="I1023" s="64"/>
    </row>
    <row r="1024" spans="1:9" ht="15.75" hidden="1" customHeight="1">
      <c r="A1024" s="64"/>
      <c r="B1024" s="177">
        <v>45898</v>
      </c>
      <c r="C1024" s="64">
        <v>0</v>
      </c>
      <c r="D1024" s="64">
        <v>13013</v>
      </c>
      <c r="E1024" s="64" t="s">
        <v>204</v>
      </c>
      <c r="F1024" s="178">
        <v>3941</v>
      </c>
      <c r="G1024" s="81">
        <v>511.85</v>
      </c>
      <c r="H1024" s="64"/>
      <c r="I1024" s="64"/>
    </row>
    <row r="1025" spans="1:9" ht="15.75" hidden="1" customHeight="1">
      <c r="A1025" s="64"/>
      <c r="B1025" s="64"/>
      <c r="C1025" s="64"/>
      <c r="D1025" s="64"/>
      <c r="E1025" s="64" t="s">
        <v>205</v>
      </c>
      <c r="F1025" s="64"/>
      <c r="G1025" s="81">
        <v>0</v>
      </c>
      <c r="H1025" s="64"/>
      <c r="I1025" s="64"/>
    </row>
    <row r="1026" spans="1:9" ht="15.75" hidden="1" customHeight="1">
      <c r="A1026" s="1"/>
      <c r="B1026" s="177">
        <v>45898</v>
      </c>
      <c r="C1026" s="64">
        <v>0</v>
      </c>
      <c r="D1026" s="64">
        <v>0</v>
      </c>
      <c r="E1026" s="64" t="s">
        <v>52</v>
      </c>
      <c r="F1026" s="178">
        <v>9903</v>
      </c>
      <c r="G1026" s="81">
        <v>2028.95</v>
      </c>
      <c r="H1026" s="64"/>
      <c r="I1026" s="64"/>
    </row>
  </sheetData>
  <pageMargins left="0.511811024" right="0.511811024" top="0.78740157499999996" bottom="0.78740157499999996" header="0" footer="0"/>
  <pageSetup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0"/>
  <dimension ref="A1:M1000"/>
  <sheetViews>
    <sheetView workbookViewId="0">
      <selection activeCell="A69" sqref="A69"/>
    </sheetView>
  </sheetViews>
  <sheetFormatPr defaultColWidth="14.42578125" defaultRowHeight="15" customHeight="1"/>
  <cols>
    <col min="1" max="1" width="8.7109375" customWidth="1"/>
    <col min="2" max="2" width="13.28515625" customWidth="1"/>
    <col min="3" max="3" width="5.140625" customWidth="1"/>
    <col min="4" max="4" width="7.5703125" customWidth="1"/>
    <col min="5" max="5" width="19.42578125" customWidth="1"/>
    <col min="6" max="6" width="18" customWidth="1"/>
    <col min="7" max="7" width="12.5703125" customWidth="1"/>
    <col min="8" max="8" width="39.28515625" customWidth="1"/>
    <col min="9" max="9" width="12.28515625" customWidth="1"/>
    <col min="10" max="10" width="25.7109375" customWidth="1"/>
    <col min="11" max="11" width="13.28515625" customWidth="1"/>
    <col min="12" max="12" width="11.140625" customWidth="1"/>
    <col min="13" max="13" width="14.28515625" customWidth="1"/>
    <col min="14" max="26" width="8.7109375" customWidth="1"/>
  </cols>
  <sheetData>
    <row r="1" spans="1:13">
      <c r="E1" s="181"/>
      <c r="G1" s="81"/>
      <c r="J1" s="86" t="s">
        <v>798</v>
      </c>
      <c r="K1" s="3">
        <f>SUMIF(I:I,"Hematologia",G:G)</f>
        <v>28935.3</v>
      </c>
      <c r="L1" s="86" t="s">
        <v>536</v>
      </c>
      <c r="M1" s="87">
        <f>SUM(G51:G723)</f>
        <v>580645.50000000023</v>
      </c>
    </row>
    <row r="2" spans="1:13">
      <c r="E2" s="181"/>
      <c r="G2" s="81"/>
      <c r="J2" s="86" t="s">
        <v>800</v>
      </c>
      <c r="K2" s="3">
        <f>SUMIF(I:I,"Coagulação",G:G)</f>
        <v>9797.35</v>
      </c>
      <c r="L2" s="1" t="s">
        <v>691</v>
      </c>
      <c r="M2" s="87">
        <f>SUMIF(A:A,"Baixado",G:G)</f>
        <v>69516.620000000024</v>
      </c>
    </row>
    <row r="3" spans="1:13">
      <c r="E3" s="181"/>
      <c r="G3" s="81"/>
      <c r="J3" s="86" t="s">
        <v>803</v>
      </c>
      <c r="K3" s="3">
        <f>SUMIF(I:I,"Ionograma",G:G)</f>
        <v>31469.530000000006</v>
      </c>
      <c r="L3" s="1" t="s">
        <v>692</v>
      </c>
      <c r="M3" s="87">
        <f>SUMIF(A:A,"Pendente",G:G)</f>
        <v>22728.270000000004</v>
      </c>
    </row>
    <row r="4" spans="1:13" ht="36">
      <c r="A4" s="2" t="s">
        <v>18</v>
      </c>
      <c r="B4" s="182" t="s">
        <v>19</v>
      </c>
      <c r="C4" s="182" t="s">
        <v>20</v>
      </c>
      <c r="D4" s="182" t="s">
        <v>21</v>
      </c>
      <c r="E4" s="183" t="s">
        <v>22</v>
      </c>
      <c r="F4" s="182" t="s">
        <v>23</v>
      </c>
      <c r="G4" s="184" t="s">
        <v>24</v>
      </c>
      <c r="H4" s="2" t="s">
        <v>404</v>
      </c>
      <c r="I4" s="2" t="s">
        <v>405</v>
      </c>
    </row>
    <row r="5" spans="1:13" ht="24" hidden="1">
      <c r="A5" s="64"/>
      <c r="B5" s="185">
        <v>45901</v>
      </c>
      <c r="C5" s="183">
        <v>0</v>
      </c>
      <c r="D5" s="183">
        <v>14175</v>
      </c>
      <c r="E5" s="186" t="s">
        <v>166</v>
      </c>
      <c r="F5" s="187">
        <v>35353866</v>
      </c>
      <c r="G5" s="188">
        <v>6542.84</v>
      </c>
      <c r="H5" s="64"/>
      <c r="I5" s="64"/>
    </row>
    <row r="6" spans="1:13" ht="36" hidden="1">
      <c r="A6" s="64"/>
      <c r="B6" s="189"/>
      <c r="C6" s="189"/>
      <c r="D6" s="189"/>
      <c r="E6" s="190" t="s">
        <v>181</v>
      </c>
      <c r="F6" s="190"/>
      <c r="G6" s="191"/>
      <c r="H6" s="64"/>
      <c r="I6" s="64"/>
    </row>
    <row r="7" spans="1:13" ht="24" hidden="1">
      <c r="A7" s="64"/>
      <c r="B7" s="185">
        <v>45901</v>
      </c>
      <c r="C7" s="183">
        <v>0</v>
      </c>
      <c r="D7" s="183">
        <v>14175</v>
      </c>
      <c r="E7" s="186" t="s">
        <v>62</v>
      </c>
      <c r="F7" s="187">
        <v>35374770</v>
      </c>
      <c r="G7" s="188">
        <v>4500</v>
      </c>
      <c r="H7" s="64"/>
      <c r="I7" s="64"/>
    </row>
    <row r="8" spans="1:13" ht="36" hidden="1">
      <c r="A8" s="64"/>
      <c r="B8" s="189"/>
      <c r="C8" s="189"/>
      <c r="D8" s="189"/>
      <c r="E8" s="190" t="s">
        <v>97</v>
      </c>
      <c r="F8" s="190"/>
      <c r="G8" s="191"/>
      <c r="H8" s="64"/>
      <c r="I8" s="64"/>
    </row>
    <row r="9" spans="1:13" hidden="1">
      <c r="A9" s="64"/>
      <c r="B9" s="185">
        <v>45901</v>
      </c>
      <c r="C9" s="183">
        <v>0</v>
      </c>
      <c r="D9" s="183">
        <v>14397</v>
      </c>
      <c r="E9" s="186" t="s">
        <v>57</v>
      </c>
      <c r="F9" s="187">
        <v>11605065598831</v>
      </c>
      <c r="G9" s="188">
        <v>1651.9</v>
      </c>
      <c r="H9" s="64"/>
      <c r="I9" s="64"/>
    </row>
    <row r="10" spans="1:13" ht="36" hidden="1">
      <c r="A10" s="64"/>
      <c r="B10" s="189"/>
      <c r="C10" s="189"/>
      <c r="D10" s="189"/>
      <c r="E10" s="190" t="s">
        <v>1245</v>
      </c>
      <c r="F10" s="190"/>
      <c r="G10" s="191"/>
      <c r="H10" s="64"/>
      <c r="I10" s="64"/>
    </row>
    <row r="11" spans="1:13" ht="24" hidden="1">
      <c r="A11" s="64"/>
      <c r="B11" s="185">
        <v>45901</v>
      </c>
      <c r="C11" s="183">
        <v>1533</v>
      </c>
      <c r="D11" s="183">
        <v>99008</v>
      </c>
      <c r="E11" s="186" t="s">
        <v>29</v>
      </c>
      <c r="F11" s="187">
        <v>231865</v>
      </c>
      <c r="G11" s="192">
        <v>119.66</v>
      </c>
      <c r="H11" s="64"/>
      <c r="I11" s="64"/>
    </row>
    <row r="12" spans="1:13" ht="24" hidden="1">
      <c r="A12" s="64"/>
      <c r="B12" s="189"/>
      <c r="C12" s="189"/>
      <c r="D12" s="189"/>
      <c r="E12" s="190" t="s">
        <v>1246</v>
      </c>
      <c r="F12" s="190"/>
      <c r="G12" s="191"/>
      <c r="H12" s="64"/>
      <c r="I12" s="64"/>
    </row>
    <row r="13" spans="1:13" ht="24" hidden="1">
      <c r="A13" s="64"/>
      <c r="B13" s="185">
        <v>45901</v>
      </c>
      <c r="C13" s="183">
        <v>0</v>
      </c>
      <c r="D13" s="183">
        <v>13105</v>
      </c>
      <c r="E13" s="186" t="s">
        <v>31</v>
      </c>
      <c r="F13" s="187">
        <v>90101</v>
      </c>
      <c r="G13" s="192">
        <v>2361.61</v>
      </c>
      <c r="H13" s="64"/>
      <c r="I13" s="64"/>
    </row>
    <row r="14" spans="1:13" ht="24" hidden="1">
      <c r="A14" s="64"/>
      <c r="B14" s="189"/>
      <c r="C14" s="189"/>
      <c r="D14" s="189"/>
      <c r="E14" s="190" t="s">
        <v>65</v>
      </c>
      <c r="F14" s="190"/>
      <c r="G14" s="191"/>
      <c r="H14" s="64"/>
      <c r="I14" s="64"/>
    </row>
    <row r="15" spans="1:13" hidden="1">
      <c r="A15" s="64"/>
      <c r="B15" s="185">
        <v>45901</v>
      </c>
      <c r="C15" s="183">
        <v>0</v>
      </c>
      <c r="D15" s="183">
        <v>13105</v>
      </c>
      <c r="E15" s="186" t="s">
        <v>80</v>
      </c>
      <c r="F15" s="187">
        <v>90102</v>
      </c>
      <c r="G15" s="192">
        <v>620.26</v>
      </c>
      <c r="H15" s="64"/>
      <c r="I15" s="64"/>
    </row>
    <row r="16" spans="1:13" ht="24" hidden="1">
      <c r="A16" s="64"/>
      <c r="B16" s="189"/>
      <c r="C16" s="189"/>
      <c r="D16" s="189"/>
      <c r="E16" s="190" t="s">
        <v>81</v>
      </c>
      <c r="F16" s="190"/>
      <c r="G16" s="191"/>
      <c r="H16" s="64"/>
      <c r="I16" s="64"/>
    </row>
    <row r="17" spans="1:9" hidden="1">
      <c r="A17" s="64"/>
      <c r="B17" s="185">
        <v>45901</v>
      </c>
      <c r="C17" s="183">
        <v>0</v>
      </c>
      <c r="D17" s="183">
        <v>13105</v>
      </c>
      <c r="E17" s="186" t="s">
        <v>80</v>
      </c>
      <c r="F17" s="187">
        <v>90103</v>
      </c>
      <c r="G17" s="192">
        <v>644.51</v>
      </c>
      <c r="H17" s="64"/>
      <c r="I17" s="64"/>
    </row>
    <row r="18" spans="1:9" ht="24" hidden="1">
      <c r="A18" s="64"/>
      <c r="B18" s="189"/>
      <c r="C18" s="189"/>
      <c r="D18" s="189"/>
      <c r="E18" s="190" t="s">
        <v>81</v>
      </c>
      <c r="F18" s="190"/>
      <c r="G18" s="191"/>
      <c r="H18" s="64"/>
      <c r="I18" s="64"/>
    </row>
    <row r="19" spans="1:9" ht="24" hidden="1">
      <c r="A19" s="64"/>
      <c r="B19" s="185">
        <v>45901</v>
      </c>
      <c r="C19" s="183">
        <v>0</v>
      </c>
      <c r="D19" s="183">
        <v>13105</v>
      </c>
      <c r="E19" s="186" t="s">
        <v>31</v>
      </c>
      <c r="F19" s="187">
        <v>90104</v>
      </c>
      <c r="G19" s="192">
        <v>244.05</v>
      </c>
      <c r="H19" s="64"/>
      <c r="I19" s="64"/>
    </row>
    <row r="20" spans="1:9" hidden="1">
      <c r="A20" s="64"/>
      <c r="B20" s="189"/>
      <c r="C20" s="189"/>
      <c r="D20" s="189"/>
      <c r="E20" s="190" t="s">
        <v>51</v>
      </c>
      <c r="F20" s="190"/>
      <c r="G20" s="191"/>
      <c r="H20" s="64"/>
      <c r="I20" s="64"/>
    </row>
    <row r="21" spans="1:9" ht="15.75" hidden="1" customHeight="1">
      <c r="A21" s="64"/>
      <c r="B21" s="185">
        <v>45901</v>
      </c>
      <c r="C21" s="183">
        <v>0</v>
      </c>
      <c r="D21" s="183">
        <v>13105</v>
      </c>
      <c r="E21" s="186" t="s">
        <v>31</v>
      </c>
      <c r="F21" s="187">
        <v>90105</v>
      </c>
      <c r="G21" s="192">
        <v>1192.58</v>
      </c>
      <c r="H21" s="64"/>
      <c r="I21" s="64"/>
    </row>
    <row r="22" spans="1:9" ht="15.75" hidden="1" customHeight="1">
      <c r="A22" s="64"/>
      <c r="B22" s="189"/>
      <c r="C22" s="189"/>
      <c r="D22" s="189"/>
      <c r="E22" s="190" t="s">
        <v>46</v>
      </c>
      <c r="F22" s="190"/>
      <c r="G22" s="191"/>
      <c r="H22" s="64"/>
      <c r="I22" s="64"/>
    </row>
    <row r="23" spans="1:9" ht="15.75" hidden="1" customHeight="1">
      <c r="A23" s="64"/>
      <c r="B23" s="185">
        <v>45901</v>
      </c>
      <c r="C23" s="183">
        <v>0</v>
      </c>
      <c r="D23" s="183">
        <v>13105</v>
      </c>
      <c r="E23" s="186" t="s">
        <v>31</v>
      </c>
      <c r="F23" s="187">
        <v>90106</v>
      </c>
      <c r="G23" s="192">
        <v>286.17</v>
      </c>
      <c r="H23" s="64"/>
      <c r="I23" s="64"/>
    </row>
    <row r="24" spans="1:9" ht="15.75" hidden="1" customHeight="1">
      <c r="A24" s="64"/>
      <c r="B24" s="189"/>
      <c r="C24" s="189"/>
      <c r="D24" s="189"/>
      <c r="E24" s="190" t="s">
        <v>45</v>
      </c>
      <c r="F24" s="190"/>
      <c r="G24" s="191"/>
      <c r="H24" s="64"/>
      <c r="I24" s="64"/>
    </row>
    <row r="25" spans="1:9" ht="15.75" hidden="1" customHeight="1">
      <c r="A25" s="64"/>
      <c r="B25" s="185">
        <v>45901</v>
      </c>
      <c r="C25" s="183">
        <v>0</v>
      </c>
      <c r="D25" s="183">
        <v>13105</v>
      </c>
      <c r="E25" s="186" t="s">
        <v>31</v>
      </c>
      <c r="F25" s="187">
        <v>90107</v>
      </c>
      <c r="G25" s="192">
        <v>265.33999999999997</v>
      </c>
      <c r="H25" s="64"/>
      <c r="I25" s="64"/>
    </row>
    <row r="26" spans="1:9" ht="15.75" hidden="1" customHeight="1">
      <c r="A26" s="64"/>
      <c r="B26" s="189"/>
      <c r="C26" s="189"/>
      <c r="D26" s="189"/>
      <c r="E26" s="190" t="s">
        <v>111</v>
      </c>
      <c r="F26" s="190"/>
      <c r="G26" s="191"/>
      <c r="H26" s="64"/>
      <c r="I26" s="64"/>
    </row>
    <row r="27" spans="1:9" ht="15.75" hidden="1" customHeight="1">
      <c r="A27" s="64"/>
      <c r="B27" s="185">
        <v>45901</v>
      </c>
      <c r="C27" s="183">
        <v>0</v>
      </c>
      <c r="D27" s="183">
        <v>13105</v>
      </c>
      <c r="E27" s="186" t="s">
        <v>31</v>
      </c>
      <c r="F27" s="187">
        <v>90108</v>
      </c>
      <c r="G27" s="192">
        <v>191.44</v>
      </c>
      <c r="H27" s="64"/>
      <c r="I27" s="64"/>
    </row>
    <row r="28" spans="1:9" ht="15.75" hidden="1" customHeight="1">
      <c r="A28" s="64"/>
      <c r="B28" s="189"/>
      <c r="C28" s="189"/>
      <c r="D28" s="189"/>
      <c r="E28" s="190" t="s">
        <v>111</v>
      </c>
      <c r="F28" s="190"/>
      <c r="G28" s="191"/>
      <c r="H28" s="64"/>
      <c r="I28" s="64"/>
    </row>
    <row r="29" spans="1:9" ht="15.75" hidden="1" customHeight="1">
      <c r="A29" s="64"/>
      <c r="B29" s="185">
        <v>45901</v>
      </c>
      <c r="C29" s="183">
        <v>0</v>
      </c>
      <c r="D29" s="183">
        <v>13105</v>
      </c>
      <c r="E29" s="186" t="s">
        <v>31</v>
      </c>
      <c r="F29" s="187">
        <v>90109</v>
      </c>
      <c r="G29" s="192">
        <v>446.22</v>
      </c>
      <c r="H29" s="64"/>
      <c r="I29" s="64"/>
    </row>
    <row r="30" spans="1:9" ht="15.75" hidden="1" customHeight="1">
      <c r="A30" s="64"/>
      <c r="B30" s="189"/>
      <c r="C30" s="189"/>
      <c r="D30" s="189"/>
      <c r="E30" s="190" t="s">
        <v>340</v>
      </c>
      <c r="F30" s="190"/>
      <c r="G30" s="191"/>
      <c r="H30" s="64"/>
      <c r="I30" s="64"/>
    </row>
    <row r="31" spans="1:9" ht="15.75" hidden="1" customHeight="1">
      <c r="A31" s="64"/>
      <c r="B31" s="185">
        <v>45901</v>
      </c>
      <c r="C31" s="183">
        <v>0</v>
      </c>
      <c r="D31" s="183">
        <v>13105</v>
      </c>
      <c r="E31" s="186" t="s">
        <v>80</v>
      </c>
      <c r="F31" s="187">
        <v>90110</v>
      </c>
      <c r="G31" s="192">
        <v>353.36</v>
      </c>
      <c r="H31" s="64"/>
      <c r="I31" s="64"/>
    </row>
    <row r="32" spans="1:9" ht="15.75" hidden="1" customHeight="1">
      <c r="A32" s="64"/>
      <c r="B32" s="189"/>
      <c r="C32" s="189"/>
      <c r="D32" s="189"/>
      <c r="E32" s="190" t="s">
        <v>81</v>
      </c>
      <c r="F32" s="190"/>
      <c r="G32" s="191"/>
      <c r="H32" s="64"/>
      <c r="I32" s="64"/>
    </row>
    <row r="33" spans="1:9" ht="15.75" hidden="1" customHeight="1">
      <c r="A33" s="64"/>
      <c r="B33" s="185">
        <v>45901</v>
      </c>
      <c r="C33" s="183">
        <v>0</v>
      </c>
      <c r="D33" s="183">
        <v>13105</v>
      </c>
      <c r="E33" s="186" t="s">
        <v>80</v>
      </c>
      <c r="F33" s="187">
        <v>90111</v>
      </c>
      <c r="G33" s="192">
        <v>246.71</v>
      </c>
      <c r="H33" s="64"/>
      <c r="I33" s="64"/>
    </row>
    <row r="34" spans="1:9" ht="15.75" hidden="1" customHeight="1">
      <c r="A34" s="64"/>
      <c r="B34" s="189"/>
      <c r="C34" s="189"/>
      <c r="D34" s="189"/>
      <c r="E34" s="190" t="s">
        <v>81</v>
      </c>
      <c r="F34" s="190"/>
      <c r="G34" s="191"/>
      <c r="H34" s="64"/>
      <c r="I34" s="64"/>
    </row>
    <row r="35" spans="1:9" ht="15.75" hidden="1" customHeight="1">
      <c r="A35" s="64"/>
      <c r="B35" s="185">
        <v>45901</v>
      </c>
      <c r="C35" s="183">
        <v>0</v>
      </c>
      <c r="D35" s="183">
        <v>13105</v>
      </c>
      <c r="E35" s="186" t="s">
        <v>31</v>
      </c>
      <c r="F35" s="187">
        <v>90112</v>
      </c>
      <c r="G35" s="192">
        <v>176.43</v>
      </c>
      <c r="H35" s="64"/>
      <c r="I35" s="64"/>
    </row>
    <row r="36" spans="1:9" ht="15.75" hidden="1" customHeight="1">
      <c r="A36" s="64"/>
      <c r="B36" s="189"/>
      <c r="C36" s="189"/>
      <c r="D36" s="189"/>
      <c r="E36" s="190" t="s">
        <v>46</v>
      </c>
      <c r="F36" s="190"/>
      <c r="G36" s="191"/>
      <c r="H36" s="64"/>
      <c r="I36" s="64"/>
    </row>
    <row r="37" spans="1:9" ht="15.75" hidden="1" customHeight="1">
      <c r="A37" s="64"/>
      <c r="B37" s="185">
        <v>45901</v>
      </c>
      <c r="C37" s="183">
        <v>0</v>
      </c>
      <c r="D37" s="183">
        <v>13105</v>
      </c>
      <c r="E37" s="186" t="s">
        <v>31</v>
      </c>
      <c r="F37" s="187">
        <v>90113</v>
      </c>
      <c r="G37" s="192">
        <v>446.78</v>
      </c>
      <c r="H37" s="64"/>
      <c r="I37" s="64"/>
    </row>
    <row r="38" spans="1:9" ht="15.75" hidden="1" customHeight="1">
      <c r="A38" s="64"/>
      <c r="B38" s="189"/>
      <c r="C38" s="189"/>
      <c r="D38" s="189"/>
      <c r="E38" s="190" t="s">
        <v>45</v>
      </c>
      <c r="F38" s="190"/>
      <c r="G38" s="191"/>
      <c r="H38" s="64"/>
      <c r="I38" s="64"/>
    </row>
    <row r="39" spans="1:9" ht="15.75" hidden="1" customHeight="1">
      <c r="A39" s="64"/>
      <c r="B39" s="185">
        <v>45901</v>
      </c>
      <c r="C39" s="183">
        <v>0</v>
      </c>
      <c r="D39" s="183">
        <v>13105</v>
      </c>
      <c r="E39" s="186" t="s">
        <v>31</v>
      </c>
      <c r="F39" s="187">
        <v>90114</v>
      </c>
      <c r="G39" s="192">
        <v>233.5</v>
      </c>
      <c r="H39" s="64"/>
      <c r="I39" s="64"/>
    </row>
    <row r="40" spans="1:9" ht="15.75" hidden="1" customHeight="1">
      <c r="A40" s="64"/>
      <c r="B40" s="189"/>
      <c r="C40" s="189"/>
      <c r="D40" s="189"/>
      <c r="E40" s="190" t="s">
        <v>200</v>
      </c>
      <c r="F40" s="190"/>
      <c r="G40" s="191"/>
      <c r="H40" s="64"/>
      <c r="I40" s="64"/>
    </row>
    <row r="41" spans="1:9" ht="15.75" hidden="1" customHeight="1">
      <c r="A41" s="64"/>
      <c r="B41" s="185">
        <v>45901</v>
      </c>
      <c r="C41" s="183">
        <v>0</v>
      </c>
      <c r="D41" s="183">
        <v>13105</v>
      </c>
      <c r="E41" s="186" t="s">
        <v>31</v>
      </c>
      <c r="F41" s="187">
        <v>90115</v>
      </c>
      <c r="G41" s="192">
        <v>339.81</v>
      </c>
      <c r="H41" s="64"/>
      <c r="I41" s="64"/>
    </row>
    <row r="42" spans="1:9" ht="15.75" hidden="1" customHeight="1">
      <c r="A42" s="64"/>
      <c r="B42" s="189"/>
      <c r="C42" s="189"/>
      <c r="D42" s="189"/>
      <c r="E42" s="190" t="s">
        <v>50</v>
      </c>
      <c r="F42" s="190"/>
      <c r="G42" s="191"/>
      <c r="H42" s="64"/>
      <c r="I42" s="64"/>
    </row>
    <row r="43" spans="1:9" ht="15.75" hidden="1" customHeight="1">
      <c r="A43" s="64"/>
      <c r="B43" s="185">
        <v>45901</v>
      </c>
      <c r="C43" s="183">
        <v>0</v>
      </c>
      <c r="D43" s="183">
        <v>13105</v>
      </c>
      <c r="E43" s="186" t="s">
        <v>31</v>
      </c>
      <c r="F43" s="187">
        <v>90116</v>
      </c>
      <c r="G43" s="192">
        <v>287.81</v>
      </c>
      <c r="H43" s="64"/>
      <c r="I43" s="64"/>
    </row>
    <row r="44" spans="1:9" ht="15.75" hidden="1" customHeight="1">
      <c r="A44" s="64"/>
      <c r="B44" s="189"/>
      <c r="C44" s="189"/>
      <c r="D44" s="189"/>
      <c r="E44" s="190" t="s">
        <v>223</v>
      </c>
      <c r="F44" s="190"/>
      <c r="G44" s="191"/>
      <c r="H44" s="64"/>
      <c r="I44" s="64"/>
    </row>
    <row r="45" spans="1:9" ht="15.75" hidden="1" customHeight="1">
      <c r="A45" s="64"/>
      <c r="B45" s="185">
        <v>45901</v>
      </c>
      <c r="C45" s="183">
        <v>0</v>
      </c>
      <c r="D45" s="183">
        <v>13105</v>
      </c>
      <c r="E45" s="186" t="s">
        <v>118</v>
      </c>
      <c r="F45" s="187">
        <v>90117</v>
      </c>
      <c r="G45" s="192">
        <v>3300</v>
      </c>
      <c r="H45" s="64"/>
      <c r="I45" s="64"/>
    </row>
    <row r="46" spans="1:9" ht="15.75" hidden="1" customHeight="1">
      <c r="A46" s="64"/>
      <c r="B46" s="189"/>
      <c r="C46" s="189"/>
      <c r="D46" s="189"/>
      <c r="E46" s="190" t="s">
        <v>1247</v>
      </c>
      <c r="F46" s="190"/>
      <c r="G46" s="191"/>
      <c r="H46" s="64"/>
      <c r="I46" s="64"/>
    </row>
    <row r="47" spans="1:9" ht="15.75" hidden="1" customHeight="1">
      <c r="A47" s="64"/>
      <c r="B47" s="185">
        <v>45901</v>
      </c>
      <c r="C47" s="183">
        <v>0</v>
      </c>
      <c r="D47" s="183">
        <v>0</v>
      </c>
      <c r="E47" s="186" t="s">
        <v>59</v>
      </c>
      <c r="F47" s="187">
        <v>9903</v>
      </c>
      <c r="G47" s="192">
        <v>938.5</v>
      </c>
      <c r="H47" s="64"/>
      <c r="I47" s="64"/>
    </row>
    <row r="48" spans="1:9" ht="15.75" hidden="1" customHeight="1">
      <c r="A48" s="64"/>
      <c r="B48" s="189"/>
      <c r="C48" s="189"/>
      <c r="D48" s="189"/>
      <c r="E48" s="190" t="s">
        <v>53</v>
      </c>
      <c r="F48" s="190"/>
      <c r="G48" s="191"/>
      <c r="H48" s="64"/>
      <c r="I48" s="64"/>
    </row>
    <row r="49" spans="1:9" ht="15.75" hidden="1" customHeight="1">
      <c r="A49" s="64"/>
      <c r="B49" s="185">
        <v>45902</v>
      </c>
      <c r="C49" s="183">
        <v>1845</v>
      </c>
      <c r="D49" s="183">
        <v>99021</v>
      </c>
      <c r="E49" s="186" t="s">
        <v>27</v>
      </c>
      <c r="F49" s="187">
        <v>611845000040070</v>
      </c>
      <c r="G49" s="188">
        <v>873.41</v>
      </c>
      <c r="H49" s="64"/>
      <c r="I49" s="64"/>
    </row>
    <row r="50" spans="1:9" ht="15.75" hidden="1" customHeight="1">
      <c r="A50" s="64"/>
      <c r="B50" s="189"/>
      <c r="C50" s="189"/>
      <c r="D50" s="189"/>
      <c r="E50" s="190" t="s">
        <v>1248</v>
      </c>
      <c r="F50" s="190"/>
      <c r="G50" s="191"/>
      <c r="H50" s="64"/>
      <c r="I50" s="64"/>
    </row>
    <row r="51" spans="1:9" ht="15.75" customHeight="1">
      <c r="A51" s="173" t="s">
        <v>423</v>
      </c>
      <c r="B51" s="185">
        <v>45902</v>
      </c>
      <c r="C51" s="183">
        <v>0</v>
      </c>
      <c r="D51" s="183">
        <v>14056</v>
      </c>
      <c r="E51" s="186" t="s">
        <v>257</v>
      </c>
      <c r="F51" s="187">
        <v>4322692000000</v>
      </c>
      <c r="G51" s="188">
        <v>9679.6</v>
      </c>
      <c r="H51" s="193" t="s">
        <v>1249</v>
      </c>
      <c r="I51" s="79" t="s">
        <v>1250</v>
      </c>
    </row>
    <row r="52" spans="1:9" ht="15.75" hidden="1" customHeight="1">
      <c r="A52" s="64"/>
      <c r="B52" s="189"/>
      <c r="C52" s="189"/>
      <c r="D52" s="189"/>
      <c r="E52" s="190" t="s">
        <v>259</v>
      </c>
      <c r="F52" s="190"/>
      <c r="G52" s="191"/>
      <c r="H52" s="64"/>
      <c r="I52" s="64"/>
    </row>
    <row r="53" spans="1:9" ht="15.75" hidden="1" customHeight="1">
      <c r="A53" s="64"/>
      <c r="B53" s="185">
        <v>45902</v>
      </c>
      <c r="C53" s="183">
        <v>0</v>
      </c>
      <c r="D53" s="183">
        <v>14397</v>
      </c>
      <c r="E53" s="186" t="s">
        <v>57</v>
      </c>
      <c r="F53" s="187">
        <v>21154537158382</v>
      </c>
      <c r="G53" s="188">
        <v>3000</v>
      </c>
      <c r="H53" s="64"/>
      <c r="I53" s="64"/>
    </row>
    <row r="54" spans="1:9" ht="15.75" hidden="1" customHeight="1">
      <c r="A54" s="64"/>
      <c r="B54" s="189"/>
      <c r="C54" s="189"/>
      <c r="D54" s="189"/>
      <c r="E54" s="190" t="s">
        <v>1251</v>
      </c>
      <c r="F54" s="190"/>
      <c r="G54" s="191"/>
      <c r="H54" s="64"/>
      <c r="I54" s="64"/>
    </row>
    <row r="55" spans="1:9" ht="15.75" hidden="1" customHeight="1">
      <c r="A55" s="64"/>
      <c r="B55" s="185">
        <v>45902</v>
      </c>
      <c r="C55" s="183">
        <v>0</v>
      </c>
      <c r="D55" s="183">
        <v>14397</v>
      </c>
      <c r="E55" s="186" t="s">
        <v>57</v>
      </c>
      <c r="F55" s="187">
        <v>21845372093182</v>
      </c>
      <c r="G55" s="188">
        <v>1209.8599999999999</v>
      </c>
      <c r="H55" s="64"/>
      <c r="I55" s="64"/>
    </row>
    <row r="56" spans="1:9" ht="15.75" hidden="1" customHeight="1">
      <c r="A56" s="64"/>
      <c r="B56" s="189"/>
      <c r="C56" s="189"/>
      <c r="D56" s="189"/>
      <c r="E56" s="190" t="s">
        <v>1252</v>
      </c>
      <c r="F56" s="190"/>
      <c r="G56" s="191"/>
      <c r="H56" s="64"/>
      <c r="I56" s="64"/>
    </row>
    <row r="57" spans="1:9" ht="15.75" hidden="1" customHeight="1">
      <c r="A57" s="64"/>
      <c r="B57" s="185">
        <v>45902</v>
      </c>
      <c r="C57" s="183">
        <v>1533</v>
      </c>
      <c r="D57" s="183">
        <v>99008</v>
      </c>
      <c r="E57" s="186" t="s">
        <v>29</v>
      </c>
      <c r="F57" s="187">
        <v>83988</v>
      </c>
      <c r="G57" s="192">
        <v>95</v>
      </c>
      <c r="H57" s="64"/>
      <c r="I57" s="64"/>
    </row>
    <row r="58" spans="1:9" ht="15.75" hidden="1" customHeight="1">
      <c r="A58" s="64"/>
      <c r="B58" s="189"/>
      <c r="C58" s="189"/>
      <c r="D58" s="189"/>
      <c r="E58" s="190" t="s">
        <v>1253</v>
      </c>
      <c r="F58" s="190"/>
      <c r="G58" s="191"/>
      <c r="H58" s="64"/>
      <c r="I58" s="64"/>
    </row>
    <row r="59" spans="1:9" ht="15.75" hidden="1" customHeight="1">
      <c r="A59" s="64"/>
      <c r="B59" s="185">
        <v>45902</v>
      </c>
      <c r="C59" s="183">
        <v>0</v>
      </c>
      <c r="D59" s="183">
        <v>13105</v>
      </c>
      <c r="E59" s="186" t="s">
        <v>31</v>
      </c>
      <c r="F59" s="187">
        <v>90201</v>
      </c>
      <c r="G59" s="192">
        <v>7437.3</v>
      </c>
      <c r="H59" s="64"/>
      <c r="I59" s="64"/>
    </row>
    <row r="60" spans="1:9" ht="15.75" hidden="1" customHeight="1">
      <c r="A60" s="64"/>
      <c r="B60" s="189"/>
      <c r="C60" s="189"/>
      <c r="D60" s="189"/>
      <c r="E60" s="190" t="s">
        <v>32</v>
      </c>
      <c r="F60" s="190"/>
      <c r="G60" s="191"/>
      <c r="H60" s="64"/>
      <c r="I60" s="64"/>
    </row>
    <row r="61" spans="1:9" ht="15.75" hidden="1" customHeight="1">
      <c r="A61" s="64"/>
      <c r="B61" s="185">
        <v>45902</v>
      </c>
      <c r="C61" s="183">
        <v>0</v>
      </c>
      <c r="D61" s="183">
        <v>13105</v>
      </c>
      <c r="E61" s="186" t="s">
        <v>31</v>
      </c>
      <c r="F61" s="187">
        <v>90202</v>
      </c>
      <c r="G61" s="192">
        <v>1431.98</v>
      </c>
      <c r="H61" s="64"/>
      <c r="I61" s="64"/>
    </row>
    <row r="62" spans="1:9" ht="15.75" hidden="1" customHeight="1">
      <c r="A62" s="64"/>
      <c r="B62" s="189"/>
      <c r="C62" s="189"/>
      <c r="D62" s="189"/>
      <c r="E62" s="190" t="s">
        <v>1254</v>
      </c>
      <c r="F62" s="190"/>
      <c r="G62" s="191"/>
      <c r="H62" s="64"/>
      <c r="I62" s="64"/>
    </row>
    <row r="63" spans="1:9" ht="15.75" hidden="1" customHeight="1">
      <c r="A63" s="64"/>
      <c r="B63" s="185">
        <v>45902</v>
      </c>
      <c r="C63" s="183">
        <v>0</v>
      </c>
      <c r="D63" s="183">
        <v>0</v>
      </c>
      <c r="E63" s="186" t="s">
        <v>59</v>
      </c>
      <c r="F63" s="187">
        <v>9903</v>
      </c>
      <c r="G63" s="192">
        <v>5798.59</v>
      </c>
      <c r="H63" s="64"/>
      <c r="I63" s="64"/>
    </row>
    <row r="64" spans="1:9" ht="15.75" hidden="1" customHeight="1">
      <c r="A64" s="64"/>
      <c r="B64" s="189"/>
      <c r="C64" s="189"/>
      <c r="D64" s="189"/>
      <c r="E64" s="190" t="s">
        <v>53</v>
      </c>
      <c r="F64" s="190"/>
      <c r="G64" s="191"/>
      <c r="H64" s="64"/>
      <c r="I64" s="64"/>
    </row>
    <row r="65" spans="1:9" ht="15.75" hidden="1" customHeight="1">
      <c r="A65" s="64"/>
      <c r="B65" s="185">
        <v>45903</v>
      </c>
      <c r="C65" s="183">
        <v>0</v>
      </c>
      <c r="D65" s="183">
        <v>14397</v>
      </c>
      <c r="E65" s="186" t="s">
        <v>57</v>
      </c>
      <c r="F65" s="187">
        <v>30956134067142</v>
      </c>
      <c r="G65" s="188">
        <v>641.67999999999995</v>
      </c>
      <c r="H65" s="64"/>
      <c r="I65" s="64"/>
    </row>
    <row r="66" spans="1:9" ht="15.75" hidden="1" customHeight="1">
      <c r="A66" s="64"/>
      <c r="B66" s="189"/>
      <c r="C66" s="189"/>
      <c r="D66" s="189"/>
      <c r="E66" s="190" t="s">
        <v>1255</v>
      </c>
      <c r="F66" s="190"/>
      <c r="G66" s="191"/>
      <c r="H66" s="64"/>
      <c r="I66" s="64"/>
    </row>
    <row r="67" spans="1:9" ht="15.75" hidden="1" customHeight="1">
      <c r="A67" s="64"/>
      <c r="B67" s="185">
        <v>45903</v>
      </c>
      <c r="C67" s="183">
        <v>0</v>
      </c>
      <c r="D67" s="183">
        <v>14397</v>
      </c>
      <c r="E67" s="186" t="s">
        <v>57</v>
      </c>
      <c r="F67" s="187">
        <v>31516518956742</v>
      </c>
      <c r="G67" s="188">
        <v>119.94</v>
      </c>
      <c r="H67" s="64"/>
      <c r="I67" s="64"/>
    </row>
    <row r="68" spans="1:9" ht="15.75" hidden="1" customHeight="1">
      <c r="A68" s="64"/>
      <c r="B68" s="189"/>
      <c r="C68" s="189"/>
      <c r="D68" s="189"/>
      <c r="E68" s="190" t="s">
        <v>1256</v>
      </c>
      <c r="F68" s="190"/>
      <c r="G68" s="191"/>
      <c r="H68" s="64"/>
      <c r="I68" s="64"/>
    </row>
    <row r="69" spans="1:9" ht="15.75" customHeight="1">
      <c r="A69" s="179" t="s">
        <v>140</v>
      </c>
      <c r="B69" s="185">
        <v>45903</v>
      </c>
      <c r="C69" s="183">
        <v>0</v>
      </c>
      <c r="D69" s="183">
        <v>14138</v>
      </c>
      <c r="E69" s="186" t="s">
        <v>141</v>
      </c>
      <c r="F69" s="187">
        <v>202509020000014</v>
      </c>
      <c r="G69" s="188">
        <v>2979.18</v>
      </c>
      <c r="H69" s="64" t="s">
        <v>1257</v>
      </c>
      <c r="I69" s="64" t="s">
        <v>428</v>
      </c>
    </row>
    <row r="70" spans="1:9" ht="15.75" hidden="1" customHeight="1">
      <c r="A70" s="64"/>
      <c r="B70" s="189"/>
      <c r="C70" s="189"/>
      <c r="D70" s="189"/>
      <c r="E70" s="190" t="s">
        <v>143</v>
      </c>
      <c r="F70" s="190"/>
      <c r="G70" s="191"/>
      <c r="H70" s="64"/>
      <c r="I70" s="64"/>
    </row>
    <row r="71" spans="1:9" ht="15.75" customHeight="1">
      <c r="A71" s="179" t="s">
        <v>140</v>
      </c>
      <c r="B71" s="185">
        <v>45903</v>
      </c>
      <c r="C71" s="183">
        <v>0</v>
      </c>
      <c r="D71" s="183">
        <v>14138</v>
      </c>
      <c r="E71" s="186" t="s">
        <v>141</v>
      </c>
      <c r="F71" s="187">
        <v>202509020022140</v>
      </c>
      <c r="G71" s="188">
        <v>412.6</v>
      </c>
      <c r="H71" s="64" t="s">
        <v>1258</v>
      </c>
      <c r="I71" s="64" t="s">
        <v>428</v>
      </c>
    </row>
    <row r="72" spans="1:9" ht="15.75" hidden="1" customHeight="1">
      <c r="A72" s="64"/>
      <c r="B72" s="189"/>
      <c r="C72" s="189"/>
      <c r="D72" s="189"/>
      <c r="E72" s="190" t="s">
        <v>143</v>
      </c>
      <c r="F72" s="190"/>
      <c r="G72" s="191"/>
      <c r="H72" s="64"/>
      <c r="I72" s="64"/>
    </row>
    <row r="73" spans="1:9" ht="15.75" customHeight="1">
      <c r="A73" s="179" t="s">
        <v>140</v>
      </c>
      <c r="B73" s="185">
        <v>45903</v>
      </c>
      <c r="C73" s="183">
        <v>0</v>
      </c>
      <c r="D73" s="183">
        <v>14138</v>
      </c>
      <c r="E73" s="186" t="s">
        <v>141</v>
      </c>
      <c r="F73" s="187">
        <v>202509020022141</v>
      </c>
      <c r="G73" s="188">
        <v>1668.08</v>
      </c>
      <c r="H73" s="64" t="s">
        <v>1259</v>
      </c>
      <c r="I73" s="64" t="s">
        <v>428</v>
      </c>
    </row>
    <row r="74" spans="1:9" ht="15.75" hidden="1" customHeight="1">
      <c r="A74" s="64"/>
      <c r="B74" s="189"/>
      <c r="C74" s="189"/>
      <c r="D74" s="189"/>
      <c r="E74" s="190" t="s">
        <v>143</v>
      </c>
      <c r="F74" s="190"/>
      <c r="G74" s="191"/>
      <c r="H74" s="64"/>
      <c r="I74" s="64"/>
    </row>
    <row r="75" spans="1:9" ht="15.75" customHeight="1">
      <c r="A75" s="179" t="s">
        <v>140</v>
      </c>
      <c r="B75" s="185">
        <v>45903</v>
      </c>
      <c r="C75" s="183">
        <v>0</v>
      </c>
      <c r="D75" s="183">
        <v>14138</v>
      </c>
      <c r="E75" s="186" t="s">
        <v>141</v>
      </c>
      <c r="F75" s="187">
        <v>202509020022161</v>
      </c>
      <c r="G75" s="188">
        <v>1668.08</v>
      </c>
      <c r="H75" s="64" t="s">
        <v>1260</v>
      </c>
      <c r="I75" s="64" t="s">
        <v>428</v>
      </c>
    </row>
    <row r="76" spans="1:9" ht="15.75" hidden="1" customHeight="1">
      <c r="A76" s="64"/>
      <c r="B76" s="189"/>
      <c r="C76" s="189"/>
      <c r="D76" s="189"/>
      <c r="E76" s="190" t="s">
        <v>143</v>
      </c>
      <c r="F76" s="190"/>
      <c r="G76" s="191"/>
      <c r="H76" s="64"/>
      <c r="I76" s="64"/>
    </row>
    <row r="77" spans="1:9" ht="15.75" customHeight="1">
      <c r="A77" s="179" t="s">
        <v>140</v>
      </c>
      <c r="B77" s="185">
        <v>45903</v>
      </c>
      <c r="C77" s="183">
        <v>0</v>
      </c>
      <c r="D77" s="183">
        <v>14138</v>
      </c>
      <c r="E77" s="186" t="s">
        <v>141</v>
      </c>
      <c r="F77" s="187">
        <v>202509020022162</v>
      </c>
      <c r="G77" s="188">
        <v>2201.21</v>
      </c>
      <c r="H77" s="79" t="s">
        <v>1261</v>
      </c>
      <c r="I77" s="64" t="s">
        <v>428</v>
      </c>
    </row>
    <row r="78" spans="1:9" ht="15.75" hidden="1" customHeight="1">
      <c r="A78" s="64"/>
      <c r="B78" s="189"/>
      <c r="C78" s="189"/>
      <c r="D78" s="189"/>
      <c r="E78" s="190" t="s">
        <v>143</v>
      </c>
      <c r="F78" s="190"/>
      <c r="G78" s="191"/>
      <c r="H78" s="64"/>
      <c r="I78" s="64"/>
    </row>
    <row r="79" spans="1:9" ht="15.75" customHeight="1">
      <c r="A79" s="179" t="s">
        <v>140</v>
      </c>
      <c r="B79" s="185">
        <v>45903</v>
      </c>
      <c r="C79" s="183">
        <v>0</v>
      </c>
      <c r="D79" s="183">
        <v>14138</v>
      </c>
      <c r="E79" s="186" t="s">
        <v>141</v>
      </c>
      <c r="F79" s="187">
        <v>202509020022171</v>
      </c>
      <c r="G79" s="188">
        <v>1668.08</v>
      </c>
      <c r="H79" s="64" t="s">
        <v>1262</v>
      </c>
      <c r="I79" s="64" t="s">
        <v>428</v>
      </c>
    </row>
    <row r="80" spans="1:9" ht="15.75" hidden="1" customHeight="1">
      <c r="A80" s="64"/>
      <c r="B80" s="189"/>
      <c r="C80" s="189"/>
      <c r="D80" s="189"/>
      <c r="E80" s="190" t="s">
        <v>143</v>
      </c>
      <c r="F80" s="190"/>
      <c r="G80" s="191"/>
      <c r="H80" s="64"/>
      <c r="I80" s="64"/>
    </row>
    <row r="81" spans="1:9" ht="15.75" customHeight="1">
      <c r="A81" s="179" t="s">
        <v>140</v>
      </c>
      <c r="B81" s="185">
        <v>45903</v>
      </c>
      <c r="C81" s="183">
        <v>0</v>
      </c>
      <c r="D81" s="183">
        <v>14138</v>
      </c>
      <c r="E81" s="186" t="s">
        <v>141</v>
      </c>
      <c r="F81" s="187">
        <v>202509020022172</v>
      </c>
      <c r="G81" s="188">
        <v>2314.31</v>
      </c>
      <c r="H81" s="64" t="s">
        <v>1263</v>
      </c>
      <c r="I81" s="64" t="s">
        <v>428</v>
      </c>
    </row>
    <row r="82" spans="1:9" ht="15.75" hidden="1" customHeight="1">
      <c r="A82" s="64"/>
      <c r="B82" s="189"/>
      <c r="C82" s="189"/>
      <c r="D82" s="189"/>
      <c r="E82" s="190" t="s">
        <v>143</v>
      </c>
      <c r="F82" s="190"/>
      <c r="G82" s="191"/>
      <c r="H82" s="64"/>
      <c r="I82" s="64"/>
    </row>
    <row r="83" spans="1:9" ht="15.75" hidden="1" customHeight="1">
      <c r="A83" s="64"/>
      <c r="B83" s="185">
        <v>45903</v>
      </c>
      <c r="C83" s="183">
        <v>1533</v>
      </c>
      <c r="D83" s="183">
        <v>99015</v>
      </c>
      <c r="E83" s="186" t="s">
        <v>195</v>
      </c>
      <c r="F83" s="187">
        <v>551845000113366</v>
      </c>
      <c r="G83" s="192">
        <v>3605.31</v>
      </c>
      <c r="H83" s="64"/>
      <c r="I83" s="64"/>
    </row>
    <row r="84" spans="1:9" ht="15.75" hidden="1" customHeight="1">
      <c r="A84" s="64"/>
      <c r="B84" s="189"/>
      <c r="C84" s="189"/>
      <c r="D84" s="189"/>
      <c r="E84" s="190" t="s">
        <v>1264</v>
      </c>
      <c r="F84" s="190"/>
      <c r="G84" s="191"/>
      <c r="H84" s="64"/>
      <c r="I84" s="64"/>
    </row>
    <row r="85" spans="1:9" ht="15.75" hidden="1" customHeight="1">
      <c r="A85" s="64"/>
      <c r="B85" s="185">
        <v>45903</v>
      </c>
      <c r="C85" s="183">
        <v>1533</v>
      </c>
      <c r="D85" s="183">
        <v>99015</v>
      </c>
      <c r="E85" s="186" t="s">
        <v>195</v>
      </c>
      <c r="F85" s="187">
        <v>552035000108588</v>
      </c>
      <c r="G85" s="192">
        <v>4243</v>
      </c>
      <c r="H85" s="64"/>
      <c r="I85" s="64"/>
    </row>
    <row r="86" spans="1:9" ht="15.75" hidden="1" customHeight="1">
      <c r="A86" s="64"/>
      <c r="B86" s="189"/>
      <c r="C86" s="189"/>
      <c r="D86" s="189"/>
      <c r="E86" s="190" t="s">
        <v>1265</v>
      </c>
      <c r="F86" s="190"/>
      <c r="G86" s="191"/>
      <c r="H86" s="64"/>
      <c r="I86" s="64"/>
    </row>
    <row r="87" spans="1:9" ht="15.75" hidden="1" customHeight="1">
      <c r="A87" s="64"/>
      <c r="B87" s="185">
        <v>45903</v>
      </c>
      <c r="C87" s="183">
        <v>0</v>
      </c>
      <c r="D87" s="183">
        <v>13105</v>
      </c>
      <c r="E87" s="186" t="s">
        <v>31</v>
      </c>
      <c r="F87" s="187">
        <v>90301</v>
      </c>
      <c r="G87" s="192">
        <v>284.64999999999998</v>
      </c>
      <c r="H87" s="64"/>
      <c r="I87" s="64"/>
    </row>
    <row r="88" spans="1:9" ht="15.75" hidden="1" customHeight="1">
      <c r="A88" s="64"/>
      <c r="B88" s="189"/>
      <c r="C88" s="189"/>
      <c r="D88" s="189"/>
      <c r="E88" s="190" t="s">
        <v>111</v>
      </c>
      <c r="F88" s="190"/>
      <c r="G88" s="191"/>
      <c r="H88" s="64"/>
      <c r="I88" s="64"/>
    </row>
    <row r="89" spans="1:9" ht="15.75" hidden="1" customHeight="1">
      <c r="A89" s="64"/>
      <c r="B89" s="185">
        <v>45903</v>
      </c>
      <c r="C89" s="183">
        <v>0</v>
      </c>
      <c r="D89" s="183">
        <v>13105</v>
      </c>
      <c r="E89" s="186" t="s">
        <v>31</v>
      </c>
      <c r="F89" s="187">
        <v>90302</v>
      </c>
      <c r="G89" s="192">
        <v>226.14</v>
      </c>
      <c r="H89" s="64"/>
      <c r="I89" s="64"/>
    </row>
    <row r="90" spans="1:9" ht="15.75" hidden="1" customHeight="1">
      <c r="A90" s="64"/>
      <c r="B90" s="189"/>
      <c r="C90" s="189"/>
      <c r="D90" s="189"/>
      <c r="E90" s="190" t="s">
        <v>111</v>
      </c>
      <c r="F90" s="190"/>
      <c r="G90" s="191"/>
      <c r="H90" s="64"/>
      <c r="I90" s="64"/>
    </row>
    <row r="91" spans="1:9" ht="15.75" hidden="1" customHeight="1">
      <c r="A91" s="64"/>
      <c r="B91" s="185">
        <v>45903</v>
      </c>
      <c r="C91" s="183">
        <v>0</v>
      </c>
      <c r="D91" s="183">
        <v>13105</v>
      </c>
      <c r="E91" s="186" t="s">
        <v>31</v>
      </c>
      <c r="F91" s="187">
        <v>90303</v>
      </c>
      <c r="G91" s="192">
        <v>339.81</v>
      </c>
      <c r="H91" s="64"/>
      <c r="I91" s="64"/>
    </row>
    <row r="92" spans="1:9" ht="15.75" hidden="1" customHeight="1">
      <c r="A92" s="64"/>
      <c r="B92" s="189"/>
      <c r="C92" s="189"/>
      <c r="D92" s="189"/>
      <c r="E92" s="190" t="s">
        <v>50</v>
      </c>
      <c r="F92" s="190"/>
      <c r="G92" s="191"/>
      <c r="H92" s="64"/>
      <c r="I92" s="64"/>
    </row>
    <row r="93" spans="1:9" ht="15.75" hidden="1" customHeight="1">
      <c r="A93" s="64"/>
      <c r="B93" s="185">
        <v>45903</v>
      </c>
      <c r="C93" s="183">
        <v>0</v>
      </c>
      <c r="D93" s="183">
        <v>13105</v>
      </c>
      <c r="E93" s="186" t="s">
        <v>31</v>
      </c>
      <c r="F93" s="187">
        <v>90304</v>
      </c>
      <c r="G93" s="192">
        <v>659.8</v>
      </c>
      <c r="H93" s="64"/>
      <c r="I93" s="64"/>
    </row>
    <row r="94" spans="1:9" ht="15.75" hidden="1" customHeight="1">
      <c r="A94" s="64"/>
      <c r="B94" s="189"/>
      <c r="C94" s="189"/>
      <c r="D94" s="189"/>
      <c r="E94" s="190" t="s">
        <v>41</v>
      </c>
      <c r="F94" s="190"/>
      <c r="G94" s="191"/>
      <c r="H94" s="64"/>
      <c r="I94" s="64"/>
    </row>
    <row r="95" spans="1:9" ht="15.75" hidden="1" customHeight="1">
      <c r="A95" s="64"/>
      <c r="B95" s="185">
        <v>45903</v>
      </c>
      <c r="C95" s="183">
        <v>0</v>
      </c>
      <c r="D95" s="183">
        <v>13105</v>
      </c>
      <c r="E95" s="186" t="s">
        <v>31</v>
      </c>
      <c r="F95" s="187">
        <v>90305</v>
      </c>
      <c r="G95" s="192">
        <v>706.66</v>
      </c>
      <c r="H95" s="64"/>
      <c r="I95" s="64"/>
    </row>
    <row r="96" spans="1:9" ht="15.75" hidden="1" customHeight="1">
      <c r="A96" s="64"/>
      <c r="B96" s="189"/>
      <c r="C96" s="189"/>
      <c r="D96" s="189"/>
      <c r="E96" s="190" t="s">
        <v>66</v>
      </c>
      <c r="F96" s="190"/>
      <c r="G96" s="191"/>
      <c r="H96" s="64"/>
      <c r="I96" s="64"/>
    </row>
    <row r="97" spans="1:9" ht="15.75" hidden="1" customHeight="1">
      <c r="A97" s="64"/>
      <c r="B97" s="185">
        <v>45903</v>
      </c>
      <c r="C97" s="183">
        <v>0</v>
      </c>
      <c r="D97" s="183">
        <v>13105</v>
      </c>
      <c r="E97" s="186" t="s">
        <v>31</v>
      </c>
      <c r="F97" s="187">
        <v>90306</v>
      </c>
      <c r="G97" s="192">
        <v>849.45</v>
      </c>
      <c r="H97" s="64"/>
      <c r="I97" s="64"/>
    </row>
    <row r="98" spans="1:9" ht="15.75" hidden="1" customHeight="1">
      <c r="A98" s="64"/>
      <c r="B98" s="189"/>
      <c r="C98" s="189"/>
      <c r="D98" s="189"/>
      <c r="E98" s="190" t="s">
        <v>66</v>
      </c>
      <c r="F98" s="190"/>
      <c r="G98" s="191"/>
      <c r="H98" s="64"/>
      <c r="I98" s="64"/>
    </row>
    <row r="99" spans="1:9" ht="15.75" hidden="1" customHeight="1">
      <c r="A99" s="64"/>
      <c r="B99" s="185">
        <v>45903</v>
      </c>
      <c r="C99" s="183">
        <v>0</v>
      </c>
      <c r="D99" s="183">
        <v>13105</v>
      </c>
      <c r="E99" s="186" t="s">
        <v>31</v>
      </c>
      <c r="F99" s="187">
        <v>90307</v>
      </c>
      <c r="G99" s="192">
        <v>4914.67</v>
      </c>
      <c r="H99" s="64"/>
      <c r="I99" s="64"/>
    </row>
    <row r="100" spans="1:9" ht="15.75" hidden="1" customHeight="1">
      <c r="A100" s="64"/>
      <c r="B100" s="189"/>
      <c r="C100" s="189"/>
      <c r="D100" s="189"/>
      <c r="E100" s="190" t="s">
        <v>65</v>
      </c>
      <c r="F100" s="190"/>
      <c r="G100" s="191"/>
      <c r="H100" s="64"/>
      <c r="I100" s="64"/>
    </row>
    <row r="101" spans="1:9" ht="15.75" hidden="1" customHeight="1">
      <c r="A101" s="64"/>
      <c r="B101" s="185">
        <v>45903</v>
      </c>
      <c r="C101" s="183">
        <v>0</v>
      </c>
      <c r="D101" s="183">
        <v>13105</v>
      </c>
      <c r="E101" s="186" t="s">
        <v>31</v>
      </c>
      <c r="F101" s="187">
        <v>90308</v>
      </c>
      <c r="G101" s="192">
        <v>1518</v>
      </c>
      <c r="H101" s="64"/>
      <c r="I101" s="64"/>
    </row>
    <row r="102" spans="1:9" ht="15.75" hidden="1" customHeight="1">
      <c r="A102" s="64"/>
      <c r="B102" s="189"/>
      <c r="C102" s="189"/>
      <c r="D102" s="189"/>
      <c r="E102" s="190" t="s">
        <v>68</v>
      </c>
      <c r="F102" s="190"/>
      <c r="G102" s="191"/>
      <c r="H102" s="64"/>
      <c r="I102" s="64"/>
    </row>
    <row r="103" spans="1:9" ht="15.75" hidden="1" customHeight="1">
      <c r="A103" s="64"/>
      <c r="B103" s="185">
        <v>45903</v>
      </c>
      <c r="C103" s="183">
        <v>0</v>
      </c>
      <c r="D103" s="183">
        <v>13105</v>
      </c>
      <c r="E103" s="186" t="s">
        <v>31</v>
      </c>
      <c r="F103" s="187">
        <v>90309</v>
      </c>
      <c r="G103" s="192">
        <v>2195</v>
      </c>
      <c r="H103" s="64"/>
      <c r="I103" s="64"/>
    </row>
    <row r="104" spans="1:9" ht="15.75" hidden="1" customHeight="1">
      <c r="A104" s="64"/>
      <c r="B104" s="189"/>
      <c r="C104" s="189"/>
      <c r="D104" s="189"/>
      <c r="E104" s="190" t="s">
        <v>40</v>
      </c>
      <c r="F104" s="190"/>
      <c r="G104" s="191"/>
      <c r="H104" s="64"/>
      <c r="I104" s="64"/>
    </row>
    <row r="105" spans="1:9" ht="15.75" hidden="1" customHeight="1">
      <c r="A105" s="64"/>
      <c r="B105" s="185">
        <v>45903</v>
      </c>
      <c r="C105" s="183">
        <v>0</v>
      </c>
      <c r="D105" s="183">
        <v>13105</v>
      </c>
      <c r="E105" s="186" t="s">
        <v>31</v>
      </c>
      <c r="F105" s="187">
        <v>90310</v>
      </c>
      <c r="G105" s="192">
        <v>374.75</v>
      </c>
      <c r="H105" s="64"/>
      <c r="I105" s="64"/>
    </row>
    <row r="106" spans="1:9" ht="15.75" hidden="1" customHeight="1">
      <c r="A106" s="64"/>
      <c r="B106" s="189"/>
      <c r="C106" s="189"/>
      <c r="D106" s="189"/>
      <c r="E106" s="190" t="s">
        <v>41</v>
      </c>
      <c r="F106" s="190"/>
      <c r="G106" s="191"/>
      <c r="H106" s="64"/>
      <c r="I106" s="64"/>
    </row>
    <row r="107" spans="1:9" ht="15.75" hidden="1" customHeight="1">
      <c r="A107" s="64"/>
      <c r="B107" s="185">
        <v>45903</v>
      </c>
      <c r="C107" s="183">
        <v>0</v>
      </c>
      <c r="D107" s="183">
        <v>13105</v>
      </c>
      <c r="E107" s="186" t="s">
        <v>31</v>
      </c>
      <c r="F107" s="187">
        <v>90311</v>
      </c>
      <c r="G107" s="192">
        <v>274.5</v>
      </c>
      <c r="H107" s="64"/>
      <c r="I107" s="64"/>
    </row>
    <row r="108" spans="1:9" ht="15.75" hidden="1" customHeight="1">
      <c r="A108" s="64"/>
      <c r="B108" s="189"/>
      <c r="C108" s="189"/>
      <c r="D108" s="189"/>
      <c r="E108" s="190" t="s">
        <v>41</v>
      </c>
      <c r="F108" s="190"/>
      <c r="G108" s="191"/>
      <c r="H108" s="64"/>
      <c r="I108" s="64"/>
    </row>
    <row r="109" spans="1:9" ht="15.75" hidden="1" customHeight="1">
      <c r="A109" s="64"/>
      <c r="B109" s="185">
        <v>45903</v>
      </c>
      <c r="C109" s="183">
        <v>0</v>
      </c>
      <c r="D109" s="183">
        <v>0</v>
      </c>
      <c r="E109" s="186" t="s">
        <v>52</v>
      </c>
      <c r="F109" s="187">
        <v>9903</v>
      </c>
      <c r="G109" s="188">
        <v>6518.58</v>
      </c>
      <c r="H109" s="64"/>
      <c r="I109" s="64"/>
    </row>
    <row r="110" spans="1:9" ht="15.75" hidden="1" customHeight="1">
      <c r="A110" s="64"/>
      <c r="B110" s="189"/>
      <c r="C110" s="189"/>
      <c r="D110" s="189"/>
      <c r="E110" s="190" t="s">
        <v>53</v>
      </c>
      <c r="F110" s="190"/>
      <c r="G110" s="191"/>
      <c r="H110" s="64"/>
      <c r="I110" s="64"/>
    </row>
    <row r="111" spans="1:9" ht="15.75" hidden="1" customHeight="1">
      <c r="A111" s="64"/>
      <c r="B111" s="185">
        <v>45904</v>
      </c>
      <c r="C111" s="183">
        <v>0</v>
      </c>
      <c r="D111" s="183">
        <v>14175</v>
      </c>
      <c r="E111" s="186" t="s">
        <v>62</v>
      </c>
      <c r="F111" s="187">
        <v>393542980</v>
      </c>
      <c r="G111" s="188">
        <v>11000</v>
      </c>
      <c r="H111" s="64"/>
      <c r="I111" s="64"/>
    </row>
    <row r="112" spans="1:9" ht="15.75" hidden="1" customHeight="1">
      <c r="A112" s="64"/>
      <c r="B112" s="189"/>
      <c r="C112" s="189"/>
      <c r="D112" s="189"/>
      <c r="E112" s="190" t="s">
        <v>97</v>
      </c>
      <c r="F112" s="190"/>
      <c r="G112" s="191"/>
      <c r="H112" s="64"/>
      <c r="I112" s="64"/>
    </row>
    <row r="113" spans="1:9" ht="15.75" hidden="1" customHeight="1">
      <c r="A113" s="64"/>
      <c r="B113" s="185">
        <v>45904</v>
      </c>
      <c r="C113" s="183">
        <v>0</v>
      </c>
      <c r="D113" s="183">
        <v>14397</v>
      </c>
      <c r="E113" s="186" t="s">
        <v>57</v>
      </c>
      <c r="F113" s="187">
        <v>41213460307731</v>
      </c>
      <c r="G113" s="188">
        <v>800</v>
      </c>
      <c r="H113" s="64"/>
      <c r="I113" s="64"/>
    </row>
    <row r="114" spans="1:9" ht="15.75" hidden="1" customHeight="1">
      <c r="A114" s="64"/>
      <c r="B114" s="189"/>
      <c r="C114" s="189"/>
      <c r="D114" s="189"/>
      <c r="E114" s="190" t="s">
        <v>1266</v>
      </c>
      <c r="F114" s="190"/>
      <c r="G114" s="191"/>
      <c r="H114" s="64"/>
      <c r="I114" s="64"/>
    </row>
    <row r="115" spans="1:9" ht="15.75" customHeight="1">
      <c r="A115" s="179" t="s">
        <v>140</v>
      </c>
      <c r="B115" s="185">
        <v>45904</v>
      </c>
      <c r="C115" s="183">
        <v>0</v>
      </c>
      <c r="D115" s="183">
        <v>14138</v>
      </c>
      <c r="E115" s="186" t="s">
        <v>141</v>
      </c>
      <c r="F115" s="187">
        <v>202509030024527</v>
      </c>
      <c r="G115" s="188">
        <v>3509.06</v>
      </c>
      <c r="H115" s="79" t="s">
        <v>1267</v>
      </c>
      <c r="I115" s="64" t="s">
        <v>428</v>
      </c>
    </row>
    <row r="116" spans="1:9" ht="15.75" hidden="1" customHeight="1">
      <c r="A116" s="64"/>
      <c r="B116" s="189"/>
      <c r="C116" s="189"/>
      <c r="D116" s="189"/>
      <c r="E116" s="190" t="s">
        <v>143</v>
      </c>
      <c r="F116" s="190"/>
      <c r="G116" s="191"/>
      <c r="H116" s="64"/>
      <c r="I116" s="64"/>
    </row>
    <row r="117" spans="1:9" ht="15.75" customHeight="1">
      <c r="A117" s="179" t="s">
        <v>140</v>
      </c>
      <c r="B117" s="185">
        <v>45904</v>
      </c>
      <c r="C117" s="183">
        <v>0</v>
      </c>
      <c r="D117" s="183">
        <v>14138</v>
      </c>
      <c r="E117" s="186" t="s">
        <v>141</v>
      </c>
      <c r="F117" s="187">
        <v>202509030024534</v>
      </c>
      <c r="G117" s="188">
        <v>2411.6</v>
      </c>
      <c r="H117" s="64" t="s">
        <v>1268</v>
      </c>
      <c r="I117" s="64" t="s">
        <v>428</v>
      </c>
    </row>
    <row r="118" spans="1:9" ht="15.75" hidden="1" customHeight="1">
      <c r="A118" s="64"/>
      <c r="B118" s="189"/>
      <c r="C118" s="189"/>
      <c r="D118" s="189"/>
      <c r="E118" s="190" t="s">
        <v>143</v>
      </c>
      <c r="F118" s="190"/>
      <c r="G118" s="191"/>
      <c r="H118" s="64"/>
      <c r="I118" s="64"/>
    </row>
    <row r="119" spans="1:9" ht="15.75" hidden="1" customHeight="1">
      <c r="A119" s="64"/>
      <c r="B119" s="185">
        <v>45904</v>
      </c>
      <c r="C119" s="183">
        <v>1533</v>
      </c>
      <c r="D119" s="183">
        <v>99008</v>
      </c>
      <c r="E119" s="186" t="s">
        <v>29</v>
      </c>
      <c r="F119" s="187">
        <v>949958</v>
      </c>
      <c r="G119" s="192">
        <v>169</v>
      </c>
      <c r="H119" s="64"/>
      <c r="I119" s="64"/>
    </row>
    <row r="120" spans="1:9" ht="15.75" hidden="1" customHeight="1">
      <c r="A120" s="64"/>
      <c r="B120" s="189"/>
      <c r="C120" s="189"/>
      <c r="D120" s="189"/>
      <c r="E120" s="190" t="s">
        <v>1269</v>
      </c>
      <c r="F120" s="190"/>
      <c r="G120" s="191"/>
      <c r="H120" s="64"/>
      <c r="I120" s="64"/>
    </row>
    <row r="121" spans="1:9" ht="15.75" hidden="1" customHeight="1">
      <c r="A121" s="64"/>
      <c r="B121" s="185">
        <v>45904</v>
      </c>
      <c r="C121" s="183">
        <v>0</v>
      </c>
      <c r="D121" s="183">
        <v>13105</v>
      </c>
      <c r="E121" s="186" t="s">
        <v>31</v>
      </c>
      <c r="F121" s="187">
        <v>90401</v>
      </c>
      <c r="G121" s="192">
        <v>462.34</v>
      </c>
      <c r="H121" s="64"/>
      <c r="I121" s="64"/>
    </row>
    <row r="122" spans="1:9" ht="15.75" hidden="1" customHeight="1">
      <c r="A122" s="64"/>
      <c r="B122" s="189"/>
      <c r="C122" s="189"/>
      <c r="D122" s="189"/>
      <c r="E122" s="190" t="s">
        <v>46</v>
      </c>
      <c r="F122" s="190"/>
      <c r="G122" s="191"/>
      <c r="H122" s="64"/>
      <c r="I122" s="64"/>
    </row>
    <row r="123" spans="1:9" ht="15.75" hidden="1" customHeight="1">
      <c r="A123" s="64"/>
      <c r="B123" s="185">
        <v>45904</v>
      </c>
      <c r="C123" s="183">
        <v>0</v>
      </c>
      <c r="D123" s="183">
        <v>13105</v>
      </c>
      <c r="E123" s="186" t="s">
        <v>31</v>
      </c>
      <c r="F123" s="187">
        <v>90402</v>
      </c>
      <c r="G123" s="192">
        <v>257.38</v>
      </c>
      <c r="H123" s="64"/>
      <c r="I123" s="64"/>
    </row>
    <row r="124" spans="1:9" ht="15.75" hidden="1" customHeight="1">
      <c r="A124" s="64"/>
      <c r="B124" s="189"/>
      <c r="C124" s="189"/>
      <c r="D124" s="189"/>
      <c r="E124" s="190" t="s">
        <v>45</v>
      </c>
      <c r="F124" s="190"/>
      <c r="G124" s="191"/>
      <c r="H124" s="64"/>
      <c r="I124" s="64"/>
    </row>
    <row r="125" spans="1:9" ht="15.75" hidden="1" customHeight="1">
      <c r="A125" s="64"/>
      <c r="B125" s="185">
        <v>45904</v>
      </c>
      <c r="C125" s="183">
        <v>0</v>
      </c>
      <c r="D125" s="183">
        <v>13105</v>
      </c>
      <c r="E125" s="186" t="s">
        <v>31</v>
      </c>
      <c r="F125" s="187">
        <v>90403</v>
      </c>
      <c r="G125" s="192">
        <v>326.58999999999997</v>
      </c>
      <c r="H125" s="64"/>
      <c r="I125" s="64"/>
    </row>
    <row r="126" spans="1:9" ht="15.75" hidden="1" customHeight="1">
      <c r="A126" s="64"/>
      <c r="B126" s="189"/>
      <c r="C126" s="189"/>
      <c r="D126" s="189"/>
      <c r="E126" s="190" t="s">
        <v>45</v>
      </c>
      <c r="F126" s="190"/>
      <c r="G126" s="191"/>
      <c r="H126" s="64"/>
      <c r="I126" s="64"/>
    </row>
    <row r="127" spans="1:9" ht="15.75" hidden="1" customHeight="1">
      <c r="A127" s="64"/>
      <c r="B127" s="185">
        <v>45904</v>
      </c>
      <c r="C127" s="183">
        <v>0</v>
      </c>
      <c r="D127" s="183">
        <v>13105</v>
      </c>
      <c r="E127" s="186" t="s">
        <v>31</v>
      </c>
      <c r="F127" s="187">
        <v>90404</v>
      </c>
      <c r="G127" s="192">
        <v>230.25</v>
      </c>
      <c r="H127" s="64"/>
      <c r="I127" s="64"/>
    </row>
    <row r="128" spans="1:9" ht="15.75" hidden="1" customHeight="1">
      <c r="A128" s="64"/>
      <c r="B128" s="189"/>
      <c r="C128" s="189"/>
      <c r="D128" s="189"/>
      <c r="E128" s="190" t="s">
        <v>45</v>
      </c>
      <c r="F128" s="190"/>
      <c r="G128" s="191"/>
      <c r="H128" s="64"/>
      <c r="I128" s="64"/>
    </row>
    <row r="129" spans="1:9" ht="15.75" hidden="1" customHeight="1">
      <c r="A129" s="64"/>
      <c r="B129" s="185">
        <v>45904</v>
      </c>
      <c r="C129" s="183">
        <v>0</v>
      </c>
      <c r="D129" s="183">
        <v>13105</v>
      </c>
      <c r="E129" s="186" t="s">
        <v>31</v>
      </c>
      <c r="F129" s="187">
        <v>90405</v>
      </c>
      <c r="G129" s="192">
        <v>235.81</v>
      </c>
      <c r="H129" s="64"/>
      <c r="I129" s="64"/>
    </row>
    <row r="130" spans="1:9" ht="15.75" hidden="1" customHeight="1">
      <c r="A130" s="64"/>
      <c r="B130" s="189"/>
      <c r="C130" s="189"/>
      <c r="D130" s="189"/>
      <c r="E130" s="190" t="s">
        <v>47</v>
      </c>
      <c r="F130" s="190"/>
      <c r="G130" s="191"/>
      <c r="H130" s="64"/>
      <c r="I130" s="64"/>
    </row>
    <row r="131" spans="1:9" ht="15.75" hidden="1" customHeight="1">
      <c r="A131" s="64"/>
      <c r="B131" s="185">
        <v>45904</v>
      </c>
      <c r="C131" s="183">
        <v>0</v>
      </c>
      <c r="D131" s="183">
        <v>13105</v>
      </c>
      <c r="E131" s="186" t="s">
        <v>31</v>
      </c>
      <c r="F131" s="187">
        <v>90406</v>
      </c>
      <c r="G131" s="192">
        <v>384.28</v>
      </c>
      <c r="H131" s="64"/>
      <c r="I131" s="64"/>
    </row>
    <row r="132" spans="1:9" ht="15.75" hidden="1" customHeight="1">
      <c r="A132" s="64"/>
      <c r="B132" s="189"/>
      <c r="C132" s="189"/>
      <c r="D132" s="189"/>
      <c r="E132" s="190" t="s">
        <v>47</v>
      </c>
      <c r="F132" s="190"/>
      <c r="G132" s="191"/>
      <c r="H132" s="64"/>
      <c r="I132" s="64"/>
    </row>
    <row r="133" spans="1:9" ht="15.75" hidden="1" customHeight="1">
      <c r="A133" s="64"/>
      <c r="B133" s="185">
        <v>45904</v>
      </c>
      <c r="C133" s="183">
        <v>0</v>
      </c>
      <c r="D133" s="183">
        <v>13105</v>
      </c>
      <c r="E133" s="186" t="s">
        <v>31</v>
      </c>
      <c r="F133" s="187">
        <v>90407</v>
      </c>
      <c r="G133" s="192">
        <v>316.99</v>
      </c>
      <c r="H133" s="64"/>
      <c r="I133" s="64"/>
    </row>
    <row r="134" spans="1:9" ht="15.75" hidden="1" customHeight="1">
      <c r="A134" s="64"/>
      <c r="B134" s="189"/>
      <c r="C134" s="189"/>
      <c r="D134" s="189"/>
      <c r="E134" s="190" t="s">
        <v>1190</v>
      </c>
      <c r="F134" s="190"/>
      <c r="G134" s="191"/>
      <c r="H134" s="64"/>
      <c r="I134" s="64"/>
    </row>
    <row r="135" spans="1:9" ht="15.75" hidden="1" customHeight="1">
      <c r="A135" s="64"/>
      <c r="B135" s="185">
        <v>45904</v>
      </c>
      <c r="C135" s="183">
        <v>0</v>
      </c>
      <c r="D135" s="183">
        <v>13105</v>
      </c>
      <c r="E135" s="186" t="s">
        <v>31</v>
      </c>
      <c r="F135" s="187">
        <v>90408</v>
      </c>
      <c r="G135" s="192">
        <v>320.20999999999998</v>
      </c>
      <c r="H135" s="64"/>
      <c r="I135" s="64"/>
    </row>
    <row r="136" spans="1:9" ht="15.75" hidden="1" customHeight="1">
      <c r="A136" s="64"/>
      <c r="B136" s="189"/>
      <c r="C136" s="189"/>
      <c r="D136" s="189"/>
      <c r="E136" s="190" t="s">
        <v>111</v>
      </c>
      <c r="F136" s="190"/>
      <c r="G136" s="191"/>
      <c r="H136" s="64"/>
      <c r="I136" s="64"/>
    </row>
    <row r="137" spans="1:9" ht="15.75" hidden="1" customHeight="1">
      <c r="A137" s="64"/>
      <c r="B137" s="185">
        <v>45904</v>
      </c>
      <c r="C137" s="183">
        <v>0</v>
      </c>
      <c r="D137" s="183">
        <v>13105</v>
      </c>
      <c r="E137" s="186" t="s">
        <v>31</v>
      </c>
      <c r="F137" s="187">
        <v>90409</v>
      </c>
      <c r="G137" s="192">
        <v>198.21</v>
      </c>
      <c r="H137" s="64"/>
      <c r="I137" s="64"/>
    </row>
    <row r="138" spans="1:9" ht="15.75" hidden="1" customHeight="1">
      <c r="A138" s="64"/>
      <c r="B138" s="189"/>
      <c r="C138" s="189"/>
      <c r="D138" s="189"/>
      <c r="E138" s="190" t="s">
        <v>111</v>
      </c>
      <c r="F138" s="190"/>
      <c r="G138" s="191"/>
      <c r="H138" s="64"/>
      <c r="I138" s="64"/>
    </row>
    <row r="139" spans="1:9" ht="15.75" hidden="1" customHeight="1">
      <c r="A139" s="64"/>
      <c r="B139" s="185">
        <v>45904</v>
      </c>
      <c r="C139" s="183">
        <v>0</v>
      </c>
      <c r="D139" s="183">
        <v>13105</v>
      </c>
      <c r="E139" s="186" t="s">
        <v>31</v>
      </c>
      <c r="F139" s="187">
        <v>90410</v>
      </c>
      <c r="G139" s="192">
        <v>339.83</v>
      </c>
      <c r="H139" s="64"/>
      <c r="I139" s="64"/>
    </row>
    <row r="140" spans="1:9" ht="15.75" hidden="1" customHeight="1">
      <c r="A140" s="64"/>
      <c r="B140" s="189"/>
      <c r="C140" s="189"/>
      <c r="D140" s="189"/>
      <c r="E140" s="190" t="s">
        <v>50</v>
      </c>
      <c r="F140" s="190"/>
      <c r="G140" s="191"/>
      <c r="H140" s="64"/>
      <c r="I140" s="64"/>
    </row>
    <row r="141" spans="1:9" ht="15.75" hidden="1" customHeight="1">
      <c r="A141" s="64"/>
      <c r="B141" s="185">
        <v>45904</v>
      </c>
      <c r="C141" s="183">
        <v>0</v>
      </c>
      <c r="D141" s="183">
        <v>13105</v>
      </c>
      <c r="E141" s="186" t="s">
        <v>31</v>
      </c>
      <c r="F141" s="187">
        <v>90411</v>
      </c>
      <c r="G141" s="192">
        <v>173.35</v>
      </c>
      <c r="H141" s="64"/>
      <c r="I141" s="64"/>
    </row>
    <row r="142" spans="1:9" ht="15.75" hidden="1" customHeight="1">
      <c r="A142" s="64"/>
      <c r="B142" s="189"/>
      <c r="C142" s="189"/>
      <c r="D142" s="189"/>
      <c r="E142" s="190" t="s">
        <v>216</v>
      </c>
      <c r="F142" s="190"/>
      <c r="G142" s="191"/>
      <c r="H142" s="64"/>
      <c r="I142" s="64"/>
    </row>
    <row r="143" spans="1:9" ht="15.75" hidden="1" customHeight="1">
      <c r="A143" s="64"/>
      <c r="B143" s="185">
        <v>45904</v>
      </c>
      <c r="C143" s="183">
        <v>0</v>
      </c>
      <c r="D143" s="183">
        <v>13105</v>
      </c>
      <c r="E143" s="186" t="s">
        <v>31</v>
      </c>
      <c r="F143" s="187">
        <v>90412</v>
      </c>
      <c r="G143" s="192">
        <v>4001.11</v>
      </c>
      <c r="H143" s="64"/>
      <c r="I143" s="64"/>
    </row>
    <row r="144" spans="1:9" ht="15.75" hidden="1" customHeight="1">
      <c r="A144" s="64"/>
      <c r="B144" s="189"/>
      <c r="C144" s="189"/>
      <c r="D144" s="189"/>
      <c r="E144" s="190" t="s">
        <v>32</v>
      </c>
      <c r="F144" s="190"/>
      <c r="G144" s="191"/>
      <c r="H144" s="64"/>
      <c r="I144" s="64"/>
    </row>
    <row r="145" spans="1:9" ht="15.75" hidden="1" customHeight="1">
      <c r="A145" s="64"/>
      <c r="B145" s="185">
        <v>45904</v>
      </c>
      <c r="C145" s="183">
        <v>0</v>
      </c>
      <c r="D145" s="183">
        <v>13105</v>
      </c>
      <c r="E145" s="186" t="s">
        <v>31</v>
      </c>
      <c r="F145" s="187">
        <v>90413</v>
      </c>
      <c r="G145" s="192">
        <v>3150</v>
      </c>
      <c r="H145" s="64"/>
      <c r="I145" s="64"/>
    </row>
    <row r="146" spans="1:9" ht="15.75" hidden="1" customHeight="1">
      <c r="A146" s="64"/>
      <c r="B146" s="189"/>
      <c r="C146" s="189"/>
      <c r="D146" s="189"/>
      <c r="E146" s="190" t="s">
        <v>32</v>
      </c>
      <c r="F146" s="190"/>
      <c r="G146" s="191"/>
      <c r="H146" s="64"/>
      <c r="I146" s="64"/>
    </row>
    <row r="147" spans="1:9" ht="15.75" hidden="1" customHeight="1">
      <c r="A147" s="64"/>
      <c r="B147" s="185">
        <v>45904</v>
      </c>
      <c r="C147" s="183">
        <v>0</v>
      </c>
      <c r="D147" s="183">
        <v>13105</v>
      </c>
      <c r="E147" s="186" t="s">
        <v>31</v>
      </c>
      <c r="F147" s="187">
        <v>90414</v>
      </c>
      <c r="G147" s="192">
        <v>1458.33</v>
      </c>
      <c r="H147" s="64"/>
      <c r="I147" s="64"/>
    </row>
    <row r="148" spans="1:9" ht="15.75" hidden="1" customHeight="1">
      <c r="A148" s="64"/>
      <c r="B148" s="189"/>
      <c r="C148" s="189"/>
      <c r="D148" s="189"/>
      <c r="E148" s="190" t="s">
        <v>32</v>
      </c>
      <c r="F148" s="190"/>
      <c r="G148" s="191"/>
      <c r="H148" s="64"/>
      <c r="I148" s="64"/>
    </row>
    <row r="149" spans="1:9" ht="15.75" hidden="1" customHeight="1">
      <c r="A149" s="64"/>
      <c r="B149" s="185">
        <v>45904</v>
      </c>
      <c r="C149" s="183">
        <v>0</v>
      </c>
      <c r="D149" s="183">
        <v>13105</v>
      </c>
      <c r="E149" s="186" t="s">
        <v>31</v>
      </c>
      <c r="F149" s="187">
        <v>90415</v>
      </c>
      <c r="G149" s="192">
        <v>333</v>
      </c>
      <c r="H149" s="64"/>
      <c r="I149" s="64"/>
    </row>
    <row r="150" spans="1:9" ht="15.75" hidden="1" customHeight="1">
      <c r="A150" s="64"/>
      <c r="B150" s="189"/>
      <c r="C150" s="189"/>
      <c r="D150" s="189"/>
      <c r="E150" s="190" t="s">
        <v>41</v>
      </c>
      <c r="F150" s="190"/>
      <c r="G150" s="191"/>
      <c r="H150" s="64"/>
      <c r="I150" s="64"/>
    </row>
    <row r="151" spans="1:9" ht="15.75" hidden="1" customHeight="1">
      <c r="A151" s="64"/>
      <c r="B151" s="185">
        <v>45904</v>
      </c>
      <c r="C151" s="183">
        <v>0</v>
      </c>
      <c r="D151" s="183">
        <v>13105</v>
      </c>
      <c r="E151" s="186" t="s">
        <v>31</v>
      </c>
      <c r="F151" s="187">
        <v>90416</v>
      </c>
      <c r="G151" s="192">
        <v>329.5</v>
      </c>
      <c r="H151" s="64"/>
      <c r="I151" s="64"/>
    </row>
    <row r="152" spans="1:9" ht="15.75" hidden="1" customHeight="1">
      <c r="A152" s="64"/>
      <c r="B152" s="189"/>
      <c r="C152" s="189"/>
      <c r="D152" s="189"/>
      <c r="E152" s="190" t="s">
        <v>41</v>
      </c>
      <c r="F152" s="190"/>
      <c r="G152" s="191"/>
      <c r="H152" s="64"/>
      <c r="I152" s="64"/>
    </row>
    <row r="153" spans="1:9" ht="15.75" hidden="1" customHeight="1">
      <c r="A153" s="64"/>
      <c r="B153" s="185">
        <v>45904</v>
      </c>
      <c r="C153" s="183">
        <v>0</v>
      </c>
      <c r="D153" s="183">
        <v>13105</v>
      </c>
      <c r="E153" s="186" t="s">
        <v>31</v>
      </c>
      <c r="F153" s="187">
        <v>90417</v>
      </c>
      <c r="G153" s="192">
        <v>350</v>
      </c>
      <c r="H153" s="64"/>
      <c r="I153" s="64"/>
    </row>
    <row r="154" spans="1:9" ht="15.75" hidden="1" customHeight="1">
      <c r="A154" s="64"/>
      <c r="B154" s="189"/>
      <c r="C154" s="189"/>
      <c r="D154" s="189"/>
      <c r="E154" s="190" t="s">
        <v>41</v>
      </c>
      <c r="F154" s="190"/>
      <c r="G154" s="191"/>
      <c r="H154" s="64"/>
      <c r="I154" s="64"/>
    </row>
    <row r="155" spans="1:9" ht="15.75" hidden="1" customHeight="1">
      <c r="A155" s="64"/>
      <c r="B155" s="185">
        <v>45904</v>
      </c>
      <c r="C155" s="183">
        <v>0</v>
      </c>
      <c r="D155" s="183">
        <v>13105</v>
      </c>
      <c r="E155" s="186" t="s">
        <v>31</v>
      </c>
      <c r="F155" s="187">
        <v>90418</v>
      </c>
      <c r="G155" s="192">
        <v>396.67</v>
      </c>
      <c r="H155" s="64"/>
      <c r="I155" s="64"/>
    </row>
    <row r="156" spans="1:9" ht="15.75" hidden="1" customHeight="1">
      <c r="A156" s="64"/>
      <c r="B156" s="189"/>
      <c r="C156" s="189"/>
      <c r="D156" s="189"/>
      <c r="E156" s="190" t="s">
        <v>67</v>
      </c>
      <c r="F156" s="190"/>
      <c r="G156" s="191"/>
      <c r="H156" s="64"/>
      <c r="I156" s="64"/>
    </row>
    <row r="157" spans="1:9" ht="15.75" hidden="1" customHeight="1">
      <c r="A157" s="64"/>
      <c r="B157" s="185">
        <v>45904</v>
      </c>
      <c r="C157" s="183">
        <v>0</v>
      </c>
      <c r="D157" s="183">
        <v>13105</v>
      </c>
      <c r="E157" s="186" t="s">
        <v>31</v>
      </c>
      <c r="F157" s="187">
        <v>90419</v>
      </c>
      <c r="G157" s="192">
        <v>65.23</v>
      </c>
      <c r="H157" s="64"/>
      <c r="I157" s="64"/>
    </row>
    <row r="158" spans="1:9" ht="15.75" hidden="1" customHeight="1">
      <c r="A158" s="64"/>
      <c r="B158" s="189"/>
      <c r="C158" s="189"/>
      <c r="D158" s="189"/>
      <c r="E158" s="190" t="s">
        <v>46</v>
      </c>
      <c r="F158" s="190"/>
      <c r="G158" s="191"/>
      <c r="H158" s="64"/>
      <c r="I158" s="64"/>
    </row>
    <row r="159" spans="1:9" ht="15.75" hidden="1" customHeight="1">
      <c r="A159" s="64"/>
      <c r="B159" s="185">
        <v>45904</v>
      </c>
      <c r="C159" s="183">
        <v>0</v>
      </c>
      <c r="D159" s="183">
        <v>13105</v>
      </c>
      <c r="E159" s="186" t="s">
        <v>31</v>
      </c>
      <c r="F159" s="187">
        <v>90420</v>
      </c>
      <c r="G159" s="192">
        <v>657</v>
      </c>
      <c r="H159" s="64"/>
      <c r="I159" s="64"/>
    </row>
    <row r="160" spans="1:9" ht="15.75" hidden="1" customHeight="1">
      <c r="A160" s="64"/>
      <c r="B160" s="189"/>
      <c r="C160" s="189"/>
      <c r="D160" s="189"/>
      <c r="E160" s="190" t="s">
        <v>45</v>
      </c>
      <c r="F160" s="190"/>
      <c r="G160" s="191"/>
      <c r="H160" s="64"/>
      <c r="I160" s="64"/>
    </row>
    <row r="161" spans="1:9" ht="15.75" hidden="1" customHeight="1">
      <c r="A161" s="64"/>
      <c r="B161" s="185">
        <v>45904</v>
      </c>
      <c r="C161" s="183">
        <v>0</v>
      </c>
      <c r="D161" s="183">
        <v>13105</v>
      </c>
      <c r="E161" s="186" t="s">
        <v>31</v>
      </c>
      <c r="F161" s="187">
        <v>90421</v>
      </c>
      <c r="G161" s="192">
        <v>269.07</v>
      </c>
      <c r="H161" s="64"/>
      <c r="I161" s="64"/>
    </row>
    <row r="162" spans="1:9" ht="15.75" hidden="1" customHeight="1">
      <c r="A162" s="64"/>
      <c r="B162" s="189"/>
      <c r="C162" s="189"/>
      <c r="D162" s="189"/>
      <c r="E162" s="190" t="s">
        <v>45</v>
      </c>
      <c r="F162" s="190"/>
      <c r="G162" s="191"/>
      <c r="H162" s="64"/>
      <c r="I162" s="64"/>
    </row>
    <row r="163" spans="1:9" ht="15.75" hidden="1" customHeight="1">
      <c r="A163" s="64"/>
      <c r="B163" s="185">
        <v>45904</v>
      </c>
      <c r="C163" s="183">
        <v>0</v>
      </c>
      <c r="D163" s="183">
        <v>13105</v>
      </c>
      <c r="E163" s="186" t="s">
        <v>31</v>
      </c>
      <c r="F163" s="187">
        <v>90422</v>
      </c>
      <c r="G163" s="192">
        <v>286.17</v>
      </c>
      <c r="H163" s="64"/>
      <c r="I163" s="64"/>
    </row>
    <row r="164" spans="1:9" ht="15.75" hidden="1" customHeight="1">
      <c r="A164" s="64"/>
      <c r="B164" s="189"/>
      <c r="C164" s="189"/>
      <c r="D164" s="189"/>
      <c r="E164" s="190" t="s">
        <v>45</v>
      </c>
      <c r="F164" s="190"/>
      <c r="G164" s="191"/>
      <c r="H164" s="64"/>
      <c r="I164" s="64"/>
    </row>
    <row r="165" spans="1:9" ht="15.75" hidden="1" customHeight="1">
      <c r="A165" s="64"/>
      <c r="B165" s="185">
        <v>45904</v>
      </c>
      <c r="C165" s="183">
        <v>0</v>
      </c>
      <c r="D165" s="183">
        <v>13105</v>
      </c>
      <c r="E165" s="186" t="s">
        <v>31</v>
      </c>
      <c r="F165" s="187">
        <v>90423</v>
      </c>
      <c r="G165" s="192">
        <v>200.18</v>
      </c>
      <c r="H165" s="64"/>
      <c r="I165" s="64"/>
    </row>
    <row r="166" spans="1:9" ht="15.75" hidden="1" customHeight="1">
      <c r="A166" s="64"/>
      <c r="B166" s="189"/>
      <c r="C166" s="189"/>
      <c r="D166" s="189"/>
      <c r="E166" s="190" t="s">
        <v>111</v>
      </c>
      <c r="F166" s="190"/>
      <c r="G166" s="191"/>
      <c r="H166" s="64"/>
      <c r="I166" s="64"/>
    </row>
    <row r="167" spans="1:9" ht="15.75" hidden="1" customHeight="1">
      <c r="A167" s="64"/>
      <c r="B167" s="185">
        <v>45904</v>
      </c>
      <c r="C167" s="183">
        <v>0</v>
      </c>
      <c r="D167" s="183">
        <v>13105</v>
      </c>
      <c r="E167" s="186" t="s">
        <v>31</v>
      </c>
      <c r="F167" s="187">
        <v>90424</v>
      </c>
      <c r="G167" s="192">
        <v>316.61</v>
      </c>
      <c r="H167" s="64"/>
      <c r="I167" s="64"/>
    </row>
    <row r="168" spans="1:9" ht="15.75" hidden="1" customHeight="1">
      <c r="A168" s="64"/>
      <c r="B168" s="189"/>
      <c r="C168" s="189"/>
      <c r="D168" s="189"/>
      <c r="E168" s="190" t="s">
        <v>111</v>
      </c>
      <c r="F168" s="190"/>
      <c r="G168" s="191"/>
      <c r="H168" s="64"/>
      <c r="I168" s="64"/>
    </row>
    <row r="169" spans="1:9" ht="15.75" hidden="1" customHeight="1">
      <c r="A169" s="64"/>
      <c r="B169" s="185">
        <v>45904</v>
      </c>
      <c r="C169" s="183">
        <v>0</v>
      </c>
      <c r="D169" s="183">
        <v>13105</v>
      </c>
      <c r="E169" s="186" t="s">
        <v>31</v>
      </c>
      <c r="F169" s="187">
        <v>90425</v>
      </c>
      <c r="G169" s="192">
        <v>390.8</v>
      </c>
      <c r="H169" s="64"/>
      <c r="I169" s="64"/>
    </row>
    <row r="170" spans="1:9" ht="15.75" hidden="1" customHeight="1">
      <c r="A170" s="64"/>
      <c r="B170" s="189"/>
      <c r="C170" s="189"/>
      <c r="D170" s="189"/>
      <c r="E170" s="190" t="s">
        <v>340</v>
      </c>
      <c r="F170" s="190"/>
      <c r="G170" s="191"/>
      <c r="H170" s="64"/>
      <c r="I170" s="64"/>
    </row>
    <row r="171" spans="1:9" ht="15.75" hidden="1" customHeight="1">
      <c r="A171" s="64"/>
      <c r="B171" s="185">
        <v>45904</v>
      </c>
      <c r="C171" s="183">
        <v>0</v>
      </c>
      <c r="D171" s="183">
        <v>13105</v>
      </c>
      <c r="E171" s="186" t="s">
        <v>31</v>
      </c>
      <c r="F171" s="187">
        <v>90426</v>
      </c>
      <c r="G171" s="192">
        <v>872.06</v>
      </c>
      <c r="H171" s="64"/>
      <c r="I171" s="64"/>
    </row>
    <row r="172" spans="1:9" ht="15.75" hidden="1" customHeight="1">
      <c r="A172" s="64"/>
      <c r="B172" s="189"/>
      <c r="C172" s="189"/>
      <c r="D172" s="189"/>
      <c r="E172" s="190" t="s">
        <v>165</v>
      </c>
      <c r="F172" s="190"/>
      <c r="G172" s="191"/>
      <c r="H172" s="64"/>
      <c r="I172" s="64"/>
    </row>
    <row r="173" spans="1:9" ht="15.75" hidden="1" customHeight="1">
      <c r="A173" s="64"/>
      <c r="B173" s="185">
        <v>45904</v>
      </c>
      <c r="C173" s="183">
        <v>0</v>
      </c>
      <c r="D173" s="183">
        <v>13105</v>
      </c>
      <c r="E173" s="186" t="s">
        <v>31</v>
      </c>
      <c r="F173" s="187">
        <v>90427</v>
      </c>
      <c r="G173" s="192">
        <v>1317.34</v>
      </c>
      <c r="H173" s="64"/>
      <c r="I173" s="64"/>
    </row>
    <row r="174" spans="1:9" ht="15.75" hidden="1" customHeight="1">
      <c r="A174" s="64"/>
      <c r="B174" s="189"/>
      <c r="C174" s="189"/>
      <c r="D174" s="189"/>
      <c r="E174" s="190" t="s">
        <v>165</v>
      </c>
      <c r="F174" s="190"/>
      <c r="G174" s="191"/>
      <c r="H174" s="64"/>
      <c r="I174" s="64"/>
    </row>
    <row r="175" spans="1:9" ht="15.75" hidden="1" customHeight="1">
      <c r="A175" s="64"/>
      <c r="B175" s="185">
        <v>45904</v>
      </c>
      <c r="C175" s="183">
        <v>0</v>
      </c>
      <c r="D175" s="183">
        <v>13105</v>
      </c>
      <c r="E175" s="186" t="s">
        <v>31</v>
      </c>
      <c r="F175" s="187">
        <v>90428</v>
      </c>
      <c r="G175" s="192">
        <v>319.07</v>
      </c>
      <c r="H175" s="64"/>
      <c r="I175" s="64"/>
    </row>
    <row r="176" spans="1:9" ht="15.75" hidden="1" customHeight="1">
      <c r="A176" s="64"/>
      <c r="B176" s="189"/>
      <c r="C176" s="189"/>
      <c r="D176" s="189"/>
      <c r="E176" s="190" t="s">
        <v>231</v>
      </c>
      <c r="F176" s="190"/>
      <c r="G176" s="191"/>
      <c r="H176" s="64"/>
      <c r="I176" s="64"/>
    </row>
    <row r="177" spans="1:9" ht="15.75" hidden="1" customHeight="1">
      <c r="A177" s="64"/>
      <c r="B177" s="185">
        <v>45904</v>
      </c>
      <c r="C177" s="183">
        <v>0</v>
      </c>
      <c r="D177" s="183">
        <v>13105</v>
      </c>
      <c r="E177" s="186" t="s">
        <v>31</v>
      </c>
      <c r="F177" s="187">
        <v>90429</v>
      </c>
      <c r="G177" s="192">
        <v>352.81</v>
      </c>
      <c r="H177" s="64"/>
      <c r="I177" s="64"/>
    </row>
    <row r="178" spans="1:9" ht="15.75" hidden="1" customHeight="1">
      <c r="A178" s="64"/>
      <c r="B178" s="189"/>
      <c r="C178" s="189"/>
      <c r="D178" s="189"/>
      <c r="E178" s="190" t="s">
        <v>231</v>
      </c>
      <c r="F178" s="190"/>
      <c r="G178" s="191"/>
      <c r="H178" s="64"/>
      <c r="I178" s="64"/>
    </row>
    <row r="179" spans="1:9" ht="15.75" hidden="1" customHeight="1">
      <c r="A179" s="64"/>
      <c r="B179" s="185">
        <v>45904</v>
      </c>
      <c r="C179" s="183">
        <v>0</v>
      </c>
      <c r="D179" s="183">
        <v>0</v>
      </c>
      <c r="E179" s="186" t="s">
        <v>52</v>
      </c>
      <c r="F179" s="187">
        <v>9903</v>
      </c>
      <c r="G179" s="188">
        <v>758.53</v>
      </c>
      <c r="H179" s="64"/>
      <c r="I179" s="64"/>
    </row>
    <row r="180" spans="1:9" ht="15.75" hidden="1" customHeight="1">
      <c r="A180" s="64"/>
      <c r="B180" s="189"/>
      <c r="C180" s="189"/>
      <c r="D180" s="189"/>
      <c r="E180" s="190" t="s">
        <v>53</v>
      </c>
      <c r="F180" s="190"/>
      <c r="G180" s="191"/>
      <c r="H180" s="64"/>
      <c r="I180" s="64"/>
    </row>
    <row r="181" spans="1:9" ht="15.75" hidden="1" customHeight="1">
      <c r="A181" s="64"/>
      <c r="B181" s="185">
        <v>45905</v>
      </c>
      <c r="C181" s="183">
        <v>0</v>
      </c>
      <c r="D181" s="183">
        <v>14397</v>
      </c>
      <c r="E181" s="186" t="s">
        <v>57</v>
      </c>
      <c r="F181" s="187">
        <v>51613353588431</v>
      </c>
      <c r="G181" s="188">
        <v>503.6</v>
      </c>
      <c r="H181" s="64"/>
      <c r="I181" s="64"/>
    </row>
    <row r="182" spans="1:9" ht="15.75" hidden="1" customHeight="1">
      <c r="A182" s="64"/>
      <c r="B182" s="189"/>
      <c r="C182" s="189"/>
      <c r="D182" s="189"/>
      <c r="E182" s="190" t="s">
        <v>1270</v>
      </c>
      <c r="F182" s="190"/>
      <c r="G182" s="191"/>
      <c r="H182" s="64"/>
      <c r="I182" s="64"/>
    </row>
    <row r="183" spans="1:9" ht="15.75" hidden="1" customHeight="1">
      <c r="A183" s="64"/>
      <c r="B183" s="185">
        <v>45905</v>
      </c>
      <c r="C183" s="183">
        <v>0</v>
      </c>
      <c r="D183" s="183">
        <v>14397</v>
      </c>
      <c r="E183" s="186" t="s">
        <v>57</v>
      </c>
      <c r="F183" s="187">
        <v>51730591384802</v>
      </c>
      <c r="G183" s="188">
        <v>252</v>
      </c>
      <c r="H183" s="64"/>
      <c r="I183" s="64"/>
    </row>
    <row r="184" spans="1:9" ht="15.75" hidden="1" customHeight="1">
      <c r="A184" s="64"/>
      <c r="B184" s="189"/>
      <c r="C184" s="189"/>
      <c r="D184" s="189"/>
      <c r="E184" s="190" t="s">
        <v>1271</v>
      </c>
      <c r="F184" s="190"/>
      <c r="G184" s="191"/>
      <c r="H184" s="64"/>
      <c r="I184" s="64"/>
    </row>
    <row r="185" spans="1:9" ht="15.75" customHeight="1">
      <c r="A185" s="179" t="s">
        <v>140</v>
      </c>
      <c r="B185" s="185">
        <v>45905</v>
      </c>
      <c r="C185" s="183">
        <v>0</v>
      </c>
      <c r="D185" s="183">
        <v>14138</v>
      </c>
      <c r="E185" s="186" t="s">
        <v>141</v>
      </c>
      <c r="F185" s="187">
        <v>202509040011101</v>
      </c>
      <c r="G185" s="188">
        <v>1668.08</v>
      </c>
      <c r="H185" s="64" t="s">
        <v>1272</v>
      </c>
      <c r="I185" s="64" t="s">
        <v>428</v>
      </c>
    </row>
    <row r="186" spans="1:9" ht="15.75" hidden="1" customHeight="1">
      <c r="A186" s="64"/>
      <c r="B186" s="189"/>
      <c r="C186" s="189"/>
      <c r="D186" s="189"/>
      <c r="E186" s="190" t="s">
        <v>143</v>
      </c>
      <c r="F186" s="190"/>
      <c r="G186" s="191"/>
      <c r="H186" s="64"/>
      <c r="I186" s="64"/>
    </row>
    <row r="187" spans="1:9" ht="15.75" customHeight="1">
      <c r="A187" s="179" t="s">
        <v>140</v>
      </c>
      <c r="B187" s="185">
        <v>45905</v>
      </c>
      <c r="C187" s="183">
        <v>0</v>
      </c>
      <c r="D187" s="183">
        <v>14138</v>
      </c>
      <c r="E187" s="186" t="s">
        <v>141</v>
      </c>
      <c r="F187" s="187">
        <v>202509040025293</v>
      </c>
      <c r="G187" s="188">
        <v>3274.49</v>
      </c>
      <c r="H187" s="64" t="s">
        <v>1273</v>
      </c>
      <c r="I187" s="64" t="s">
        <v>428</v>
      </c>
    </row>
    <row r="188" spans="1:9" ht="15.75" hidden="1" customHeight="1">
      <c r="A188" s="64"/>
      <c r="B188" s="189"/>
      <c r="C188" s="189"/>
      <c r="D188" s="189"/>
      <c r="E188" s="190" t="s">
        <v>143</v>
      </c>
      <c r="F188" s="190"/>
      <c r="G188" s="191"/>
      <c r="H188" s="64"/>
      <c r="I188" s="64"/>
    </row>
    <row r="189" spans="1:9" ht="15.75" hidden="1" customHeight="1">
      <c r="A189" s="64"/>
      <c r="B189" s="185">
        <v>45905</v>
      </c>
      <c r="C189" s="183">
        <v>0</v>
      </c>
      <c r="D189" s="183">
        <v>13105</v>
      </c>
      <c r="E189" s="186" t="s">
        <v>80</v>
      </c>
      <c r="F189" s="187">
        <v>90501</v>
      </c>
      <c r="G189" s="192">
        <v>4172.3599999999997</v>
      </c>
      <c r="H189" s="64"/>
      <c r="I189" s="64"/>
    </row>
    <row r="190" spans="1:9" ht="15.75" hidden="1" customHeight="1">
      <c r="A190" s="64"/>
      <c r="B190" s="189"/>
      <c r="C190" s="189"/>
      <c r="D190" s="189"/>
      <c r="E190" s="190" t="s">
        <v>81</v>
      </c>
      <c r="F190" s="190"/>
      <c r="G190" s="191"/>
      <c r="H190" s="64"/>
      <c r="I190" s="64"/>
    </row>
    <row r="191" spans="1:9" ht="15.75" hidden="1" customHeight="1">
      <c r="A191" s="64"/>
      <c r="B191" s="185">
        <v>45905</v>
      </c>
      <c r="C191" s="183">
        <v>0</v>
      </c>
      <c r="D191" s="183">
        <v>13113</v>
      </c>
      <c r="E191" s="186" t="s">
        <v>72</v>
      </c>
      <c r="F191" s="187">
        <v>872481202107610</v>
      </c>
      <c r="G191" s="192">
        <v>81.400000000000006</v>
      </c>
      <c r="H191" s="64"/>
      <c r="I191" s="64"/>
    </row>
    <row r="192" spans="1:9" ht="15.75" hidden="1" customHeight="1">
      <c r="A192" s="64"/>
      <c r="B192" s="189"/>
      <c r="C192" s="189"/>
      <c r="D192" s="189"/>
      <c r="E192" s="190" t="s">
        <v>1274</v>
      </c>
      <c r="F192" s="190"/>
      <c r="G192" s="191"/>
      <c r="H192" s="64"/>
      <c r="I192" s="64"/>
    </row>
    <row r="193" spans="1:9" ht="15.75" hidden="1" customHeight="1">
      <c r="A193" s="64"/>
      <c r="B193" s="185">
        <v>45905</v>
      </c>
      <c r="C193" s="183">
        <v>0</v>
      </c>
      <c r="D193" s="183">
        <v>0</v>
      </c>
      <c r="E193" s="186" t="s">
        <v>59</v>
      </c>
      <c r="F193" s="187">
        <v>9903</v>
      </c>
      <c r="G193" s="192">
        <v>1444.41</v>
      </c>
      <c r="H193" s="64"/>
      <c r="I193" s="64"/>
    </row>
    <row r="194" spans="1:9" ht="15.75" hidden="1" customHeight="1">
      <c r="A194" s="64"/>
      <c r="B194" s="189"/>
      <c r="C194" s="189"/>
      <c r="D194" s="189"/>
      <c r="E194" s="190" t="s">
        <v>53</v>
      </c>
      <c r="F194" s="190"/>
      <c r="G194" s="191"/>
      <c r="H194" s="64"/>
      <c r="I194" s="64"/>
    </row>
    <row r="195" spans="1:9" ht="15.75" customHeight="1">
      <c r="A195" s="179" t="s">
        <v>140</v>
      </c>
      <c r="B195" s="185">
        <v>45908</v>
      </c>
      <c r="C195" s="183">
        <v>0</v>
      </c>
      <c r="D195" s="183">
        <v>14138</v>
      </c>
      <c r="E195" s="186" t="s">
        <v>141</v>
      </c>
      <c r="F195" s="187">
        <v>202509050023527</v>
      </c>
      <c r="G195" s="188">
        <v>4474.97</v>
      </c>
      <c r="H195" s="64" t="s">
        <v>1275</v>
      </c>
      <c r="I195" s="64" t="s">
        <v>428</v>
      </c>
    </row>
    <row r="196" spans="1:9" ht="15.75" hidden="1" customHeight="1">
      <c r="A196" s="64"/>
      <c r="B196" s="189"/>
      <c r="C196" s="189"/>
      <c r="D196" s="189"/>
      <c r="E196" s="190" t="s">
        <v>143</v>
      </c>
      <c r="F196" s="190"/>
      <c r="G196" s="191"/>
      <c r="H196" s="64"/>
      <c r="I196" s="64"/>
    </row>
    <row r="197" spans="1:9" ht="15.75" hidden="1" customHeight="1">
      <c r="A197" s="64"/>
      <c r="B197" s="185">
        <v>45908</v>
      </c>
      <c r="C197" s="183">
        <v>1533</v>
      </c>
      <c r="D197" s="183">
        <v>99008</v>
      </c>
      <c r="E197" s="186" t="s">
        <v>29</v>
      </c>
      <c r="F197" s="187">
        <v>834799</v>
      </c>
      <c r="G197" s="192">
        <v>200.48</v>
      </c>
      <c r="H197" s="64"/>
      <c r="I197" s="64"/>
    </row>
    <row r="198" spans="1:9" ht="15.75" hidden="1" customHeight="1">
      <c r="A198" s="64"/>
      <c r="B198" s="189"/>
      <c r="C198" s="189"/>
      <c r="D198" s="189"/>
      <c r="E198" s="190" t="s">
        <v>1276</v>
      </c>
      <c r="F198" s="190"/>
      <c r="G198" s="191"/>
      <c r="H198" s="64"/>
      <c r="I198" s="64"/>
    </row>
    <row r="199" spans="1:9" ht="15.75" hidden="1" customHeight="1">
      <c r="A199" s="64"/>
      <c r="B199" s="185">
        <v>45908</v>
      </c>
      <c r="C199" s="183">
        <v>0</v>
      </c>
      <c r="D199" s="183">
        <v>13105</v>
      </c>
      <c r="E199" s="186" t="s">
        <v>31</v>
      </c>
      <c r="F199" s="187">
        <v>90801</v>
      </c>
      <c r="G199" s="192">
        <v>283.64999999999998</v>
      </c>
      <c r="H199" s="64"/>
      <c r="I199" s="64"/>
    </row>
    <row r="200" spans="1:9" ht="15.75" hidden="1" customHeight="1">
      <c r="A200" s="64"/>
      <c r="B200" s="189"/>
      <c r="C200" s="189"/>
      <c r="D200" s="189"/>
      <c r="E200" s="190" t="s">
        <v>51</v>
      </c>
      <c r="F200" s="190"/>
      <c r="G200" s="191"/>
      <c r="H200" s="64"/>
      <c r="I200" s="64"/>
    </row>
    <row r="201" spans="1:9" ht="15.75" hidden="1" customHeight="1">
      <c r="A201" s="64"/>
      <c r="B201" s="185">
        <v>45908</v>
      </c>
      <c r="C201" s="183">
        <v>0</v>
      </c>
      <c r="D201" s="183">
        <v>13105</v>
      </c>
      <c r="E201" s="186" t="s">
        <v>31</v>
      </c>
      <c r="F201" s="187">
        <v>90802</v>
      </c>
      <c r="G201" s="192">
        <v>607.35</v>
      </c>
      <c r="H201" s="64"/>
      <c r="I201" s="64"/>
    </row>
    <row r="202" spans="1:9" ht="15.75" hidden="1" customHeight="1">
      <c r="A202" s="64"/>
      <c r="B202" s="189"/>
      <c r="C202" s="189"/>
      <c r="D202" s="189"/>
      <c r="E202" s="190" t="s">
        <v>46</v>
      </c>
      <c r="F202" s="190"/>
      <c r="G202" s="191"/>
      <c r="H202" s="64"/>
      <c r="I202" s="64"/>
    </row>
    <row r="203" spans="1:9" ht="15.75" hidden="1" customHeight="1">
      <c r="A203" s="64"/>
      <c r="B203" s="185">
        <v>45908</v>
      </c>
      <c r="C203" s="183">
        <v>0</v>
      </c>
      <c r="D203" s="183">
        <v>13105</v>
      </c>
      <c r="E203" s="186" t="s">
        <v>31</v>
      </c>
      <c r="F203" s="187">
        <v>90803</v>
      </c>
      <c r="G203" s="192">
        <v>108.13</v>
      </c>
      <c r="H203" s="64"/>
      <c r="I203" s="64"/>
    </row>
    <row r="204" spans="1:9" ht="15.75" hidden="1" customHeight="1">
      <c r="A204" s="64"/>
      <c r="B204" s="189"/>
      <c r="C204" s="189"/>
      <c r="D204" s="189"/>
      <c r="E204" s="190" t="s">
        <v>56</v>
      </c>
      <c r="F204" s="190"/>
      <c r="G204" s="191"/>
      <c r="H204" s="64"/>
      <c r="I204" s="64"/>
    </row>
    <row r="205" spans="1:9" ht="15.75" hidden="1" customHeight="1">
      <c r="A205" s="64"/>
      <c r="B205" s="185">
        <v>45908</v>
      </c>
      <c r="C205" s="183">
        <v>0</v>
      </c>
      <c r="D205" s="183">
        <v>13105</v>
      </c>
      <c r="E205" s="186" t="s">
        <v>31</v>
      </c>
      <c r="F205" s="187">
        <v>90804</v>
      </c>
      <c r="G205" s="192">
        <v>375</v>
      </c>
      <c r="H205" s="64"/>
      <c r="I205" s="64"/>
    </row>
    <row r="206" spans="1:9" ht="15.75" hidden="1" customHeight="1">
      <c r="A206" s="64"/>
      <c r="B206" s="189"/>
      <c r="C206" s="189"/>
      <c r="D206" s="189"/>
      <c r="E206" s="190" t="s">
        <v>716</v>
      </c>
      <c r="F206" s="190"/>
      <c r="G206" s="191"/>
      <c r="H206" s="64"/>
      <c r="I206" s="64"/>
    </row>
    <row r="207" spans="1:9" ht="15.75" hidden="1" customHeight="1">
      <c r="A207" s="64"/>
      <c r="B207" s="185">
        <v>45908</v>
      </c>
      <c r="C207" s="183">
        <v>0</v>
      </c>
      <c r="D207" s="183">
        <v>13105</v>
      </c>
      <c r="E207" s="186" t="s">
        <v>31</v>
      </c>
      <c r="F207" s="187">
        <v>90805</v>
      </c>
      <c r="G207" s="192">
        <v>1056</v>
      </c>
      <c r="H207" s="64"/>
      <c r="I207" s="64"/>
    </row>
    <row r="208" spans="1:9" ht="15.75" hidden="1" customHeight="1">
      <c r="A208" s="64"/>
      <c r="B208" s="189"/>
      <c r="C208" s="189"/>
      <c r="D208" s="189"/>
      <c r="E208" s="190" t="s">
        <v>769</v>
      </c>
      <c r="F208" s="190"/>
      <c r="G208" s="191"/>
      <c r="H208" s="64"/>
      <c r="I208" s="64"/>
    </row>
    <row r="209" spans="1:9" ht="15.75" hidden="1" customHeight="1">
      <c r="A209" s="64"/>
      <c r="B209" s="185">
        <v>45908</v>
      </c>
      <c r="C209" s="183">
        <v>0</v>
      </c>
      <c r="D209" s="183">
        <v>13105</v>
      </c>
      <c r="E209" s="186" t="s">
        <v>31</v>
      </c>
      <c r="F209" s="187">
        <v>90806</v>
      </c>
      <c r="G209" s="192">
        <v>3395.88</v>
      </c>
      <c r="H209" s="64"/>
      <c r="I209" s="64"/>
    </row>
    <row r="210" spans="1:9" ht="15.75" hidden="1" customHeight="1">
      <c r="A210" s="64"/>
      <c r="B210" s="189"/>
      <c r="C210" s="189"/>
      <c r="D210" s="189"/>
      <c r="E210" s="190" t="s">
        <v>65</v>
      </c>
      <c r="F210" s="190"/>
      <c r="G210" s="191"/>
      <c r="H210" s="64"/>
      <c r="I210" s="64"/>
    </row>
    <row r="211" spans="1:9" ht="15.75" hidden="1" customHeight="1">
      <c r="A211" s="64"/>
      <c r="B211" s="185">
        <v>45908</v>
      </c>
      <c r="C211" s="183">
        <v>0</v>
      </c>
      <c r="D211" s="183">
        <v>0</v>
      </c>
      <c r="E211" s="186" t="s">
        <v>52</v>
      </c>
      <c r="F211" s="187">
        <v>9903</v>
      </c>
      <c r="G211" s="188">
        <v>1551.52</v>
      </c>
      <c r="H211" s="64"/>
      <c r="I211" s="64"/>
    </row>
    <row r="212" spans="1:9" ht="15.75" hidden="1" customHeight="1">
      <c r="A212" s="64"/>
      <c r="B212" s="189"/>
      <c r="C212" s="189"/>
      <c r="D212" s="189"/>
      <c r="E212" s="190" t="s">
        <v>53</v>
      </c>
      <c r="F212" s="190"/>
      <c r="G212" s="191"/>
      <c r="H212" s="64"/>
      <c r="I212" s="64"/>
    </row>
    <row r="213" spans="1:9" ht="15.75" hidden="1" customHeight="1">
      <c r="A213" s="64"/>
      <c r="B213" s="185">
        <v>45909</v>
      </c>
      <c r="C213" s="183">
        <v>3525</v>
      </c>
      <c r="D213" s="183">
        <v>99021</v>
      </c>
      <c r="E213" s="186" t="s">
        <v>27</v>
      </c>
      <c r="F213" s="187">
        <v>613525000032047</v>
      </c>
      <c r="G213" s="188">
        <v>233.64</v>
      </c>
      <c r="H213" s="64"/>
      <c r="I213" s="64"/>
    </row>
    <row r="214" spans="1:9" ht="15.75" hidden="1" customHeight="1">
      <c r="A214" s="64"/>
      <c r="B214" s="189"/>
      <c r="C214" s="189"/>
      <c r="D214" s="189"/>
      <c r="E214" s="190" t="s">
        <v>1277</v>
      </c>
      <c r="F214" s="190"/>
      <c r="G214" s="191"/>
      <c r="H214" s="64"/>
      <c r="I214" s="64"/>
    </row>
    <row r="215" spans="1:9" ht="15.75" hidden="1" customHeight="1">
      <c r="A215" s="64"/>
      <c r="B215" s="185">
        <v>45909</v>
      </c>
      <c r="C215" s="183">
        <v>0</v>
      </c>
      <c r="D215" s="183">
        <v>14175</v>
      </c>
      <c r="E215" s="186" t="s">
        <v>62</v>
      </c>
      <c r="F215" s="187">
        <v>33570870</v>
      </c>
      <c r="G215" s="188">
        <v>11424</v>
      </c>
      <c r="H215" s="64"/>
      <c r="I215" s="64"/>
    </row>
    <row r="216" spans="1:9" ht="15.75" hidden="1" customHeight="1">
      <c r="A216" s="64"/>
      <c r="B216" s="189"/>
      <c r="C216" s="189"/>
      <c r="D216" s="189"/>
      <c r="E216" s="190" t="s">
        <v>698</v>
      </c>
      <c r="F216" s="190"/>
      <c r="G216" s="191"/>
      <c r="H216" s="64"/>
      <c r="I216" s="64"/>
    </row>
    <row r="217" spans="1:9" ht="15.75" hidden="1" customHeight="1">
      <c r="A217" s="64"/>
      <c r="B217" s="185">
        <v>45909</v>
      </c>
      <c r="C217" s="183">
        <v>0</v>
      </c>
      <c r="D217" s="183">
        <v>14175</v>
      </c>
      <c r="E217" s="186" t="s">
        <v>62</v>
      </c>
      <c r="F217" s="187">
        <v>33881579</v>
      </c>
      <c r="G217" s="188">
        <v>11424</v>
      </c>
      <c r="H217" s="64"/>
      <c r="I217" s="64"/>
    </row>
    <row r="218" spans="1:9" ht="15.75" hidden="1" customHeight="1">
      <c r="A218" s="64"/>
      <c r="B218" s="189"/>
      <c r="C218" s="189"/>
      <c r="D218" s="189"/>
      <c r="E218" s="190" t="s">
        <v>301</v>
      </c>
      <c r="F218" s="190"/>
      <c r="G218" s="191"/>
      <c r="H218" s="64"/>
      <c r="I218" s="64"/>
    </row>
    <row r="219" spans="1:9" ht="15.75" hidden="1" customHeight="1">
      <c r="A219" s="64"/>
      <c r="B219" s="185">
        <v>45909</v>
      </c>
      <c r="C219" s="183">
        <v>0</v>
      </c>
      <c r="D219" s="183">
        <v>14175</v>
      </c>
      <c r="E219" s="186" t="s">
        <v>62</v>
      </c>
      <c r="F219" s="187">
        <v>394267752</v>
      </c>
      <c r="G219" s="188">
        <v>10000</v>
      </c>
      <c r="H219" s="64"/>
      <c r="I219" s="64"/>
    </row>
    <row r="220" spans="1:9" ht="15.75" hidden="1" customHeight="1">
      <c r="A220" s="64"/>
      <c r="B220" s="189"/>
      <c r="C220" s="189"/>
      <c r="D220" s="189"/>
      <c r="E220" s="190" t="s">
        <v>97</v>
      </c>
      <c r="F220" s="190"/>
      <c r="G220" s="191"/>
      <c r="H220" s="64"/>
      <c r="I220" s="64"/>
    </row>
    <row r="221" spans="1:9" ht="15.75" hidden="1" customHeight="1">
      <c r="A221" s="64"/>
      <c r="B221" s="185">
        <v>45909</v>
      </c>
      <c r="C221" s="183">
        <v>0</v>
      </c>
      <c r="D221" s="183">
        <v>14397</v>
      </c>
      <c r="E221" s="186" t="s">
        <v>57</v>
      </c>
      <c r="F221" s="187">
        <v>91042529925192</v>
      </c>
      <c r="G221" s="188">
        <v>376.45</v>
      </c>
      <c r="H221" s="64"/>
      <c r="I221" s="64"/>
    </row>
    <row r="222" spans="1:9" ht="15.75" hidden="1" customHeight="1">
      <c r="A222" s="64"/>
      <c r="B222" s="189"/>
      <c r="C222" s="189"/>
      <c r="D222" s="189"/>
      <c r="E222" s="190" t="s">
        <v>1278</v>
      </c>
      <c r="F222" s="190"/>
      <c r="G222" s="191"/>
      <c r="H222" s="64"/>
      <c r="I222" s="64"/>
    </row>
    <row r="223" spans="1:9" ht="15.75" customHeight="1">
      <c r="A223" s="179" t="s">
        <v>140</v>
      </c>
      <c r="B223" s="185">
        <v>45909</v>
      </c>
      <c r="C223" s="183">
        <v>0</v>
      </c>
      <c r="D223" s="183">
        <v>14138</v>
      </c>
      <c r="E223" s="186" t="s">
        <v>141</v>
      </c>
      <c r="F223" s="187">
        <v>202509080018697</v>
      </c>
      <c r="G223" s="188">
        <v>1736.92</v>
      </c>
      <c r="H223" s="79" t="s">
        <v>1279</v>
      </c>
      <c r="I223" s="64" t="s">
        <v>419</v>
      </c>
    </row>
    <row r="224" spans="1:9" ht="22.5" hidden="1" customHeight="1">
      <c r="A224" s="64"/>
      <c r="B224" s="189"/>
      <c r="C224" s="189"/>
      <c r="D224" s="189"/>
      <c r="E224" s="190" t="s">
        <v>143</v>
      </c>
      <c r="F224" s="190"/>
      <c r="G224" s="191"/>
      <c r="H224" s="64"/>
      <c r="I224" s="64"/>
    </row>
    <row r="225" spans="1:9" ht="15.75" hidden="1" customHeight="1">
      <c r="A225" s="64"/>
      <c r="B225" s="185">
        <v>45909</v>
      </c>
      <c r="C225" s="183">
        <v>1533</v>
      </c>
      <c r="D225" s="183">
        <v>99008</v>
      </c>
      <c r="E225" s="186" t="s">
        <v>29</v>
      </c>
      <c r="F225" s="187">
        <v>555916</v>
      </c>
      <c r="G225" s="192">
        <v>125.1</v>
      </c>
      <c r="H225" s="64"/>
      <c r="I225" s="64"/>
    </row>
    <row r="226" spans="1:9" ht="15.75" hidden="1" customHeight="1">
      <c r="A226" s="64"/>
      <c r="B226" s="189"/>
      <c r="C226" s="189"/>
      <c r="D226" s="189"/>
      <c r="E226" s="190" t="s">
        <v>1280</v>
      </c>
      <c r="F226" s="190"/>
      <c r="G226" s="191"/>
      <c r="H226" s="64"/>
      <c r="I226" s="64"/>
    </row>
    <row r="227" spans="1:9" ht="15.75" hidden="1" customHeight="1">
      <c r="A227" s="64"/>
      <c r="B227" s="185">
        <v>45909</v>
      </c>
      <c r="C227" s="183">
        <v>0</v>
      </c>
      <c r="D227" s="183">
        <v>13105</v>
      </c>
      <c r="E227" s="186" t="s">
        <v>118</v>
      </c>
      <c r="F227" s="187">
        <v>90901</v>
      </c>
      <c r="G227" s="192">
        <v>11424</v>
      </c>
      <c r="H227" s="64"/>
      <c r="I227" s="64"/>
    </row>
    <row r="228" spans="1:9" ht="15.75" hidden="1" customHeight="1">
      <c r="A228" s="64"/>
      <c r="B228" s="189"/>
      <c r="C228" s="189"/>
      <c r="D228" s="189"/>
      <c r="E228" s="190" t="s">
        <v>1281</v>
      </c>
      <c r="F228" s="190"/>
      <c r="G228" s="191"/>
      <c r="H228" s="64"/>
      <c r="I228" s="64"/>
    </row>
    <row r="229" spans="1:9" ht="15.75" hidden="1" customHeight="1">
      <c r="A229" s="64"/>
      <c r="B229" s="185">
        <v>45909</v>
      </c>
      <c r="C229" s="183">
        <v>0</v>
      </c>
      <c r="D229" s="183">
        <v>13105</v>
      </c>
      <c r="E229" s="186" t="s">
        <v>31</v>
      </c>
      <c r="F229" s="187">
        <v>90902</v>
      </c>
      <c r="G229" s="192">
        <v>2524.7199999999998</v>
      </c>
      <c r="H229" s="64"/>
      <c r="I229" s="64"/>
    </row>
    <row r="230" spans="1:9" ht="15.75" hidden="1" customHeight="1">
      <c r="A230" s="64"/>
      <c r="B230" s="189"/>
      <c r="C230" s="189"/>
      <c r="D230" s="189"/>
      <c r="E230" s="190" t="s">
        <v>163</v>
      </c>
      <c r="F230" s="190"/>
      <c r="G230" s="191"/>
      <c r="H230" s="64"/>
      <c r="I230" s="64"/>
    </row>
    <row r="231" spans="1:9" ht="15.75" hidden="1" customHeight="1">
      <c r="A231" s="64"/>
      <c r="B231" s="185">
        <v>45909</v>
      </c>
      <c r="C231" s="183">
        <v>0</v>
      </c>
      <c r="D231" s="183">
        <v>13105</v>
      </c>
      <c r="E231" s="186" t="s">
        <v>31</v>
      </c>
      <c r="F231" s="187">
        <v>90903</v>
      </c>
      <c r="G231" s="192">
        <v>5916.67</v>
      </c>
      <c r="H231" s="64"/>
      <c r="I231" s="64"/>
    </row>
    <row r="232" spans="1:9" ht="15.75" hidden="1" customHeight="1">
      <c r="A232" s="64"/>
      <c r="B232" s="189"/>
      <c r="C232" s="189"/>
      <c r="D232" s="189"/>
      <c r="E232" s="190" t="s">
        <v>32</v>
      </c>
      <c r="F232" s="190"/>
      <c r="G232" s="191"/>
      <c r="H232" s="64"/>
      <c r="I232" s="64"/>
    </row>
    <row r="233" spans="1:9" ht="15.75" hidden="1" customHeight="1">
      <c r="A233" s="64"/>
      <c r="B233" s="185">
        <v>45909</v>
      </c>
      <c r="C233" s="183">
        <v>0</v>
      </c>
      <c r="D233" s="183">
        <v>13105</v>
      </c>
      <c r="E233" s="186" t="s">
        <v>31</v>
      </c>
      <c r="F233" s="187">
        <v>90904</v>
      </c>
      <c r="G233" s="192">
        <v>2499.56</v>
      </c>
      <c r="H233" s="64"/>
      <c r="I233" s="64"/>
    </row>
    <row r="234" spans="1:9" ht="15.75" hidden="1" customHeight="1">
      <c r="A234" s="64"/>
      <c r="B234" s="189"/>
      <c r="C234" s="189"/>
      <c r="D234" s="189"/>
      <c r="E234" s="190" t="s">
        <v>348</v>
      </c>
      <c r="F234" s="190"/>
      <c r="G234" s="191"/>
      <c r="H234" s="64"/>
      <c r="I234" s="64"/>
    </row>
    <row r="235" spans="1:9" ht="15.75" hidden="1" customHeight="1">
      <c r="A235" s="64"/>
      <c r="B235" s="185">
        <v>45909</v>
      </c>
      <c r="C235" s="183">
        <v>0</v>
      </c>
      <c r="D235" s="183">
        <v>13105</v>
      </c>
      <c r="E235" s="186" t="s">
        <v>80</v>
      </c>
      <c r="F235" s="187">
        <v>90905</v>
      </c>
      <c r="G235" s="192">
        <v>313.05</v>
      </c>
      <c r="H235" s="64"/>
      <c r="I235" s="64"/>
    </row>
    <row r="236" spans="1:9" ht="15.75" hidden="1" customHeight="1">
      <c r="A236" s="64"/>
      <c r="B236" s="189"/>
      <c r="C236" s="189"/>
      <c r="D236" s="189"/>
      <c r="E236" s="190" t="s">
        <v>81</v>
      </c>
      <c r="F236" s="190"/>
      <c r="G236" s="191"/>
      <c r="H236" s="64"/>
      <c r="I236" s="64"/>
    </row>
    <row r="237" spans="1:9" ht="15.75" hidden="1" customHeight="1">
      <c r="A237" s="64"/>
      <c r="B237" s="185">
        <v>45909</v>
      </c>
      <c r="C237" s="183">
        <v>0</v>
      </c>
      <c r="D237" s="183">
        <v>13105</v>
      </c>
      <c r="E237" s="186" t="s">
        <v>31</v>
      </c>
      <c r="F237" s="187">
        <v>90906</v>
      </c>
      <c r="G237" s="192">
        <v>169.99</v>
      </c>
      <c r="H237" s="64"/>
      <c r="I237" s="64"/>
    </row>
    <row r="238" spans="1:9" ht="15.75" hidden="1" customHeight="1">
      <c r="A238" s="64"/>
      <c r="B238" s="189"/>
      <c r="C238" s="189"/>
      <c r="D238" s="189"/>
      <c r="E238" s="190" t="s">
        <v>126</v>
      </c>
      <c r="F238" s="190"/>
      <c r="G238" s="191"/>
      <c r="H238" s="64"/>
      <c r="I238" s="64"/>
    </row>
    <row r="239" spans="1:9" ht="15.75" hidden="1" customHeight="1">
      <c r="A239" s="64"/>
      <c r="B239" s="185">
        <v>45909</v>
      </c>
      <c r="C239" s="183">
        <v>0</v>
      </c>
      <c r="D239" s="183">
        <v>13105</v>
      </c>
      <c r="E239" s="186" t="s">
        <v>31</v>
      </c>
      <c r="F239" s="187">
        <v>90907</v>
      </c>
      <c r="G239" s="192">
        <v>359.33</v>
      </c>
      <c r="H239" s="64"/>
      <c r="I239" s="64"/>
    </row>
    <row r="240" spans="1:9" ht="15.75" hidden="1" customHeight="1">
      <c r="A240" s="64"/>
      <c r="B240" s="189"/>
      <c r="C240" s="189"/>
      <c r="D240" s="189"/>
      <c r="E240" s="190" t="s">
        <v>67</v>
      </c>
      <c r="F240" s="190"/>
      <c r="G240" s="191"/>
      <c r="H240" s="64"/>
      <c r="I240" s="64"/>
    </row>
    <row r="241" spans="1:9" ht="15.75" hidden="1" customHeight="1">
      <c r="A241" s="64"/>
      <c r="B241" s="185">
        <v>45909</v>
      </c>
      <c r="C241" s="183">
        <v>0</v>
      </c>
      <c r="D241" s="183">
        <v>13105</v>
      </c>
      <c r="E241" s="186" t="s">
        <v>31</v>
      </c>
      <c r="F241" s="187">
        <v>90908</v>
      </c>
      <c r="G241" s="192">
        <v>170</v>
      </c>
      <c r="H241" s="64"/>
      <c r="I241" s="64"/>
    </row>
    <row r="242" spans="1:9" ht="15.75" hidden="1" customHeight="1">
      <c r="A242" s="64"/>
      <c r="B242" s="189"/>
      <c r="C242" s="189"/>
      <c r="D242" s="189"/>
      <c r="E242" s="190" t="s">
        <v>41</v>
      </c>
      <c r="F242" s="190"/>
      <c r="G242" s="191"/>
      <c r="H242" s="64"/>
      <c r="I242" s="64"/>
    </row>
    <row r="243" spans="1:9" ht="15.75" hidden="1" customHeight="1">
      <c r="A243" s="64"/>
      <c r="B243" s="185">
        <v>45909</v>
      </c>
      <c r="C243" s="183">
        <v>0</v>
      </c>
      <c r="D243" s="183">
        <v>13105</v>
      </c>
      <c r="E243" s="186" t="s">
        <v>31</v>
      </c>
      <c r="F243" s="187">
        <v>90909</v>
      </c>
      <c r="G243" s="192">
        <v>307</v>
      </c>
      <c r="H243" s="64"/>
      <c r="I243" s="64"/>
    </row>
    <row r="244" spans="1:9" ht="15.75" hidden="1" customHeight="1">
      <c r="A244" s="64"/>
      <c r="B244" s="189"/>
      <c r="C244" s="189"/>
      <c r="D244" s="189"/>
      <c r="E244" s="190" t="s">
        <v>41</v>
      </c>
      <c r="F244" s="190"/>
      <c r="G244" s="191"/>
      <c r="H244" s="64"/>
      <c r="I244" s="64"/>
    </row>
    <row r="245" spans="1:9" ht="15.75" hidden="1" customHeight="1">
      <c r="A245" s="64"/>
      <c r="B245" s="185">
        <v>45909</v>
      </c>
      <c r="C245" s="183">
        <v>0</v>
      </c>
      <c r="D245" s="183">
        <v>13105</v>
      </c>
      <c r="E245" s="186" t="s">
        <v>31</v>
      </c>
      <c r="F245" s="187">
        <v>90910</v>
      </c>
      <c r="G245" s="192">
        <v>170</v>
      </c>
      <c r="H245" s="64"/>
      <c r="I245" s="64"/>
    </row>
    <row r="246" spans="1:9" ht="15.75" hidden="1" customHeight="1">
      <c r="A246" s="64"/>
      <c r="B246" s="189"/>
      <c r="C246" s="189"/>
      <c r="D246" s="189"/>
      <c r="E246" s="190" t="s">
        <v>41</v>
      </c>
      <c r="F246" s="190"/>
      <c r="G246" s="191"/>
      <c r="H246" s="64"/>
      <c r="I246" s="64"/>
    </row>
    <row r="247" spans="1:9" ht="15.75" hidden="1" customHeight="1">
      <c r="A247" s="64"/>
      <c r="B247" s="185">
        <v>45909</v>
      </c>
      <c r="C247" s="183">
        <v>0</v>
      </c>
      <c r="D247" s="183">
        <v>13105</v>
      </c>
      <c r="E247" s="186" t="s">
        <v>31</v>
      </c>
      <c r="F247" s="187">
        <v>90911</v>
      </c>
      <c r="G247" s="192">
        <v>877.49</v>
      </c>
      <c r="H247" s="64"/>
      <c r="I247" s="64"/>
    </row>
    <row r="248" spans="1:9" ht="15.75" hidden="1" customHeight="1">
      <c r="A248" s="64"/>
      <c r="B248" s="189"/>
      <c r="C248" s="189"/>
      <c r="D248" s="189"/>
      <c r="E248" s="190" t="s">
        <v>46</v>
      </c>
      <c r="F248" s="190"/>
      <c r="G248" s="191"/>
      <c r="H248" s="64"/>
      <c r="I248" s="64"/>
    </row>
    <row r="249" spans="1:9" ht="15.75" hidden="1" customHeight="1">
      <c r="A249" s="64"/>
      <c r="B249" s="185">
        <v>45909</v>
      </c>
      <c r="C249" s="183">
        <v>0</v>
      </c>
      <c r="D249" s="183">
        <v>13105</v>
      </c>
      <c r="E249" s="186" t="s">
        <v>31</v>
      </c>
      <c r="F249" s="187">
        <v>90912</v>
      </c>
      <c r="G249" s="192">
        <v>397.04</v>
      </c>
      <c r="H249" s="64"/>
      <c r="I249" s="64"/>
    </row>
    <row r="250" spans="1:9" ht="15.75" hidden="1" customHeight="1">
      <c r="A250" s="64"/>
      <c r="B250" s="189"/>
      <c r="C250" s="189"/>
      <c r="D250" s="189"/>
      <c r="E250" s="190" t="s">
        <v>45</v>
      </c>
      <c r="F250" s="190"/>
      <c r="G250" s="191"/>
      <c r="H250" s="64"/>
      <c r="I250" s="64"/>
    </row>
    <row r="251" spans="1:9" ht="15.75" hidden="1" customHeight="1">
      <c r="A251" s="64"/>
      <c r="B251" s="185">
        <v>45909</v>
      </c>
      <c r="C251" s="183">
        <v>0</v>
      </c>
      <c r="D251" s="183">
        <v>13105</v>
      </c>
      <c r="E251" s="186" t="s">
        <v>31</v>
      </c>
      <c r="F251" s="187">
        <v>90913</v>
      </c>
      <c r="G251" s="192">
        <v>558.20000000000005</v>
      </c>
      <c r="H251" s="64"/>
      <c r="I251" s="64"/>
    </row>
    <row r="252" spans="1:9" ht="15.75" hidden="1" customHeight="1">
      <c r="A252" s="64"/>
      <c r="B252" s="189"/>
      <c r="C252" s="189"/>
      <c r="D252" s="189"/>
      <c r="E252" s="190" t="s">
        <v>340</v>
      </c>
      <c r="F252" s="190"/>
      <c r="G252" s="191"/>
      <c r="H252" s="64"/>
      <c r="I252" s="64"/>
    </row>
    <row r="253" spans="1:9" ht="15.75" hidden="1" customHeight="1">
      <c r="A253" s="64"/>
      <c r="B253" s="185">
        <v>45909</v>
      </c>
      <c r="C253" s="183">
        <v>0</v>
      </c>
      <c r="D253" s="183">
        <v>13105</v>
      </c>
      <c r="E253" s="186" t="s">
        <v>31</v>
      </c>
      <c r="F253" s="187">
        <v>90914</v>
      </c>
      <c r="G253" s="192">
        <v>414.09</v>
      </c>
      <c r="H253" s="64"/>
      <c r="I253" s="64"/>
    </row>
    <row r="254" spans="1:9" ht="15.75" hidden="1" customHeight="1">
      <c r="A254" s="64"/>
      <c r="B254" s="189"/>
      <c r="C254" s="189"/>
      <c r="D254" s="189"/>
      <c r="E254" s="190" t="s">
        <v>200</v>
      </c>
      <c r="F254" s="190"/>
      <c r="G254" s="191"/>
      <c r="H254" s="64"/>
      <c r="I254" s="64"/>
    </row>
    <row r="255" spans="1:9" ht="15.75" hidden="1" customHeight="1">
      <c r="A255" s="64"/>
      <c r="B255" s="185">
        <v>45909</v>
      </c>
      <c r="C255" s="183">
        <v>0</v>
      </c>
      <c r="D255" s="183">
        <v>13105</v>
      </c>
      <c r="E255" s="186" t="s">
        <v>31</v>
      </c>
      <c r="F255" s="187">
        <v>90915</v>
      </c>
      <c r="G255" s="192">
        <v>211.2</v>
      </c>
      <c r="H255" s="64"/>
      <c r="I255" s="64"/>
    </row>
    <row r="256" spans="1:9" ht="15.75" hidden="1" customHeight="1">
      <c r="A256" s="64"/>
      <c r="B256" s="189"/>
      <c r="C256" s="189"/>
      <c r="D256" s="189"/>
      <c r="E256" s="190" t="s">
        <v>111</v>
      </c>
      <c r="F256" s="190"/>
      <c r="G256" s="191"/>
      <c r="H256" s="64"/>
      <c r="I256" s="64"/>
    </row>
    <row r="257" spans="1:9" ht="15.75" hidden="1" customHeight="1">
      <c r="A257" s="64"/>
      <c r="B257" s="185">
        <v>45909</v>
      </c>
      <c r="C257" s="183">
        <v>0</v>
      </c>
      <c r="D257" s="183">
        <v>0</v>
      </c>
      <c r="E257" s="186" t="s">
        <v>59</v>
      </c>
      <c r="F257" s="187">
        <v>9903</v>
      </c>
      <c r="G257" s="192">
        <v>8757.57</v>
      </c>
      <c r="H257" s="64"/>
      <c r="I257" s="64"/>
    </row>
    <row r="258" spans="1:9" ht="15.75" hidden="1" customHeight="1">
      <c r="A258" s="64"/>
      <c r="B258" s="189"/>
      <c r="C258" s="189"/>
      <c r="D258" s="189"/>
      <c r="E258" s="190" t="s">
        <v>53</v>
      </c>
      <c r="F258" s="190"/>
      <c r="G258" s="191"/>
      <c r="H258" s="64"/>
      <c r="I258" s="64"/>
    </row>
    <row r="259" spans="1:9" ht="15.75" hidden="1" customHeight="1">
      <c r="A259" s="64"/>
      <c r="B259" s="185">
        <v>45910</v>
      </c>
      <c r="C259" s="183">
        <v>984</v>
      </c>
      <c r="D259" s="183">
        <v>99015</v>
      </c>
      <c r="E259" s="186" t="s">
        <v>27</v>
      </c>
      <c r="F259" s="187">
        <v>550984000024887</v>
      </c>
      <c r="G259" s="188">
        <v>2665.6</v>
      </c>
      <c r="H259" s="64"/>
      <c r="I259" s="64"/>
    </row>
    <row r="260" spans="1:9" ht="15.75" hidden="1" customHeight="1">
      <c r="A260" s="64"/>
      <c r="B260" s="189"/>
      <c r="C260" s="189"/>
      <c r="D260" s="189"/>
      <c r="E260" s="190" t="s">
        <v>1282</v>
      </c>
      <c r="F260" s="190"/>
      <c r="G260" s="191"/>
      <c r="H260" s="64"/>
      <c r="I260" s="64"/>
    </row>
    <row r="261" spans="1:9" ht="15.75" hidden="1" customHeight="1">
      <c r="A261" s="64"/>
      <c r="B261" s="185">
        <v>45910</v>
      </c>
      <c r="C261" s="183">
        <v>0</v>
      </c>
      <c r="D261" s="183">
        <v>14175</v>
      </c>
      <c r="E261" s="186" t="s">
        <v>62</v>
      </c>
      <c r="F261" s="187">
        <v>394394491</v>
      </c>
      <c r="G261" s="188">
        <v>1000</v>
      </c>
      <c r="H261" s="64"/>
      <c r="I261" s="64"/>
    </row>
    <row r="262" spans="1:9" ht="15.75" hidden="1" customHeight="1">
      <c r="A262" s="64"/>
      <c r="B262" s="189"/>
      <c r="C262" s="189"/>
      <c r="D262" s="189"/>
      <c r="E262" s="190" t="s">
        <v>97</v>
      </c>
      <c r="F262" s="190"/>
      <c r="G262" s="191"/>
      <c r="H262" s="64"/>
      <c r="I262" s="64"/>
    </row>
    <row r="263" spans="1:9" ht="15.75" hidden="1" customHeight="1">
      <c r="A263" s="64"/>
      <c r="B263" s="185">
        <v>45910</v>
      </c>
      <c r="C263" s="183">
        <v>0</v>
      </c>
      <c r="D263" s="183">
        <v>14397</v>
      </c>
      <c r="E263" s="186" t="s">
        <v>57</v>
      </c>
      <c r="F263" s="187">
        <v>101014267659652</v>
      </c>
      <c r="G263" s="188">
        <v>6500</v>
      </c>
      <c r="H263" s="64"/>
      <c r="I263" s="64"/>
    </row>
    <row r="264" spans="1:9" ht="15.75" hidden="1" customHeight="1">
      <c r="A264" s="64"/>
      <c r="B264" s="189"/>
      <c r="C264" s="189"/>
      <c r="D264" s="189"/>
      <c r="E264" s="190" t="s">
        <v>1283</v>
      </c>
      <c r="F264" s="190"/>
      <c r="G264" s="191"/>
      <c r="H264" s="64"/>
      <c r="I264" s="64"/>
    </row>
    <row r="265" spans="1:9" ht="15.75" hidden="1" customHeight="1">
      <c r="A265" s="64"/>
      <c r="B265" s="185">
        <v>45910</v>
      </c>
      <c r="C265" s="183">
        <v>0</v>
      </c>
      <c r="D265" s="183">
        <v>14397</v>
      </c>
      <c r="E265" s="186" t="s">
        <v>57</v>
      </c>
      <c r="F265" s="187">
        <v>101443076877251</v>
      </c>
      <c r="G265" s="188">
        <v>3221.95</v>
      </c>
      <c r="H265" s="64"/>
      <c r="I265" s="64"/>
    </row>
    <row r="266" spans="1:9" ht="15.75" hidden="1" customHeight="1">
      <c r="A266" s="64"/>
      <c r="B266" s="189"/>
      <c r="C266" s="189"/>
      <c r="D266" s="189"/>
      <c r="E266" s="190" t="s">
        <v>1284</v>
      </c>
      <c r="F266" s="190"/>
      <c r="G266" s="191"/>
      <c r="H266" s="64"/>
      <c r="I266" s="64"/>
    </row>
    <row r="267" spans="1:9" ht="15.75" hidden="1" customHeight="1">
      <c r="A267" s="64"/>
      <c r="B267" s="185">
        <v>45910</v>
      </c>
      <c r="C267" s="183">
        <v>0</v>
      </c>
      <c r="D267" s="183">
        <v>14397</v>
      </c>
      <c r="E267" s="186" t="s">
        <v>57</v>
      </c>
      <c r="F267" s="187">
        <v>101454577764982</v>
      </c>
      <c r="G267" s="188">
        <v>221.28</v>
      </c>
      <c r="H267" s="64"/>
      <c r="I267" s="64"/>
    </row>
    <row r="268" spans="1:9" ht="15.75" hidden="1" customHeight="1">
      <c r="A268" s="64"/>
      <c r="B268" s="189"/>
      <c r="C268" s="189"/>
      <c r="D268" s="189"/>
      <c r="E268" s="190" t="s">
        <v>1285</v>
      </c>
      <c r="F268" s="190"/>
      <c r="G268" s="191"/>
      <c r="H268" s="64"/>
      <c r="I268" s="64"/>
    </row>
    <row r="269" spans="1:9" ht="15.75" hidden="1" customHeight="1">
      <c r="A269" s="64"/>
      <c r="B269" s="185">
        <v>45910</v>
      </c>
      <c r="C269" s="183">
        <v>0</v>
      </c>
      <c r="D269" s="183">
        <v>14397</v>
      </c>
      <c r="E269" s="186" t="s">
        <v>57</v>
      </c>
      <c r="F269" s="187">
        <v>101711353849061</v>
      </c>
      <c r="G269" s="188">
        <v>1808</v>
      </c>
      <c r="H269" s="64"/>
      <c r="I269" s="64"/>
    </row>
    <row r="270" spans="1:9" ht="15.75" hidden="1" customHeight="1">
      <c r="A270" s="64"/>
      <c r="B270" s="189"/>
      <c r="C270" s="189"/>
      <c r="D270" s="189"/>
      <c r="E270" s="190" t="s">
        <v>1286</v>
      </c>
      <c r="F270" s="190"/>
      <c r="G270" s="191"/>
      <c r="H270" s="64"/>
      <c r="I270" s="64"/>
    </row>
    <row r="271" spans="1:9" ht="15.75" customHeight="1">
      <c r="A271" s="179" t="s">
        <v>140</v>
      </c>
      <c r="B271" s="185">
        <v>45910</v>
      </c>
      <c r="C271" s="183">
        <v>0</v>
      </c>
      <c r="D271" s="183">
        <v>14138</v>
      </c>
      <c r="E271" s="186" t="s">
        <v>141</v>
      </c>
      <c r="F271" s="187">
        <v>202509090001968</v>
      </c>
      <c r="G271" s="188">
        <v>651.77</v>
      </c>
      <c r="H271" s="64" t="s">
        <v>1287</v>
      </c>
      <c r="I271" s="64" t="s">
        <v>419</v>
      </c>
    </row>
    <row r="272" spans="1:9" ht="15.75" hidden="1" customHeight="1">
      <c r="A272" s="64"/>
      <c r="B272" s="189"/>
      <c r="C272" s="189"/>
      <c r="D272" s="189"/>
      <c r="E272" s="190" t="s">
        <v>143</v>
      </c>
      <c r="F272" s="190"/>
      <c r="G272" s="191"/>
      <c r="H272" s="64"/>
      <c r="I272" s="64"/>
    </row>
    <row r="273" spans="1:9" ht="15.75" customHeight="1">
      <c r="A273" s="179" t="s">
        <v>140</v>
      </c>
      <c r="B273" s="185">
        <v>45910</v>
      </c>
      <c r="C273" s="183">
        <v>0</v>
      </c>
      <c r="D273" s="183">
        <v>14138</v>
      </c>
      <c r="E273" s="186" t="s">
        <v>141</v>
      </c>
      <c r="F273" s="187">
        <v>202509090056904</v>
      </c>
      <c r="G273" s="188">
        <v>603.04</v>
      </c>
      <c r="H273" s="64" t="s">
        <v>1288</v>
      </c>
      <c r="I273" s="64" t="s">
        <v>419</v>
      </c>
    </row>
    <row r="274" spans="1:9" ht="15.75" hidden="1" customHeight="1">
      <c r="A274" s="64"/>
      <c r="B274" s="189"/>
      <c r="C274" s="189"/>
      <c r="D274" s="189"/>
      <c r="E274" s="190" t="s">
        <v>143</v>
      </c>
      <c r="F274" s="190"/>
      <c r="G274" s="191"/>
      <c r="H274" s="64"/>
      <c r="I274" s="64"/>
    </row>
    <row r="275" spans="1:9" ht="15.75" hidden="1" customHeight="1">
      <c r="A275" s="64"/>
      <c r="B275" s="185">
        <v>45910</v>
      </c>
      <c r="C275" s="183">
        <v>0</v>
      </c>
      <c r="D275" s="183">
        <v>13105</v>
      </c>
      <c r="E275" s="186" t="s">
        <v>80</v>
      </c>
      <c r="F275" s="187">
        <v>91001</v>
      </c>
      <c r="G275" s="192">
        <v>790</v>
      </c>
      <c r="H275" s="64"/>
      <c r="I275" s="64"/>
    </row>
    <row r="276" spans="1:9" ht="15.75" hidden="1" customHeight="1">
      <c r="A276" s="64"/>
      <c r="B276" s="189"/>
      <c r="C276" s="189"/>
      <c r="D276" s="189"/>
      <c r="E276" s="190" t="s">
        <v>84</v>
      </c>
      <c r="F276" s="190"/>
      <c r="G276" s="191"/>
      <c r="H276" s="64"/>
      <c r="I276" s="64"/>
    </row>
    <row r="277" spans="1:9" ht="15.75" hidden="1" customHeight="1">
      <c r="A277" s="64"/>
      <c r="B277" s="185">
        <v>45910</v>
      </c>
      <c r="C277" s="183">
        <v>0</v>
      </c>
      <c r="D277" s="183">
        <v>13105</v>
      </c>
      <c r="E277" s="186" t="s">
        <v>31</v>
      </c>
      <c r="F277" s="187">
        <v>91002</v>
      </c>
      <c r="G277" s="192">
        <v>50</v>
      </c>
      <c r="H277" s="64"/>
      <c r="I277" s="64"/>
    </row>
    <row r="278" spans="1:9" ht="15.75" hidden="1" customHeight="1">
      <c r="A278" s="64"/>
      <c r="B278" s="189"/>
      <c r="C278" s="189"/>
      <c r="D278" s="189"/>
      <c r="E278" s="190" t="s">
        <v>866</v>
      </c>
      <c r="F278" s="190"/>
      <c r="G278" s="191"/>
      <c r="H278" s="64"/>
      <c r="I278" s="64"/>
    </row>
    <row r="279" spans="1:9" ht="15.75" hidden="1" customHeight="1">
      <c r="A279" s="64"/>
      <c r="B279" s="185">
        <v>45910</v>
      </c>
      <c r="C279" s="183">
        <v>0</v>
      </c>
      <c r="D279" s="183">
        <v>13105</v>
      </c>
      <c r="E279" s="186" t="s">
        <v>31</v>
      </c>
      <c r="F279" s="187">
        <v>91003</v>
      </c>
      <c r="G279" s="192">
        <v>50</v>
      </c>
      <c r="H279" s="64"/>
      <c r="I279" s="64"/>
    </row>
    <row r="280" spans="1:9" ht="15.75" hidden="1" customHeight="1">
      <c r="A280" s="64"/>
      <c r="B280" s="189"/>
      <c r="C280" s="189"/>
      <c r="D280" s="189"/>
      <c r="E280" s="190" t="s">
        <v>866</v>
      </c>
      <c r="F280" s="190"/>
      <c r="G280" s="191"/>
      <c r="H280" s="64"/>
      <c r="I280" s="64"/>
    </row>
    <row r="281" spans="1:9" ht="15.75" hidden="1" customHeight="1">
      <c r="A281" s="64"/>
      <c r="B281" s="185">
        <v>45910</v>
      </c>
      <c r="C281" s="183">
        <v>0</v>
      </c>
      <c r="D281" s="183">
        <v>13105</v>
      </c>
      <c r="E281" s="186" t="s">
        <v>31</v>
      </c>
      <c r="F281" s="187">
        <v>91004</v>
      </c>
      <c r="G281" s="192">
        <v>300</v>
      </c>
      <c r="H281" s="64"/>
      <c r="I281" s="64"/>
    </row>
    <row r="282" spans="1:9" ht="15.75" hidden="1" customHeight="1">
      <c r="A282" s="64"/>
      <c r="B282" s="189"/>
      <c r="C282" s="189"/>
      <c r="D282" s="189"/>
      <c r="E282" s="190" t="s">
        <v>86</v>
      </c>
      <c r="F282" s="190"/>
      <c r="G282" s="191"/>
      <c r="H282" s="64"/>
      <c r="I282" s="64"/>
    </row>
    <row r="283" spans="1:9" ht="15.75" hidden="1" customHeight="1">
      <c r="A283" s="64"/>
      <c r="B283" s="185">
        <v>45910</v>
      </c>
      <c r="C283" s="183">
        <v>0</v>
      </c>
      <c r="D283" s="183">
        <v>13105</v>
      </c>
      <c r="E283" s="186" t="s">
        <v>34</v>
      </c>
      <c r="F283" s="187">
        <v>91005</v>
      </c>
      <c r="G283" s="192">
        <v>1068.45</v>
      </c>
      <c r="H283" s="64"/>
      <c r="I283" s="64"/>
    </row>
    <row r="284" spans="1:9" ht="15.75" hidden="1" customHeight="1">
      <c r="A284" s="64"/>
      <c r="B284" s="189"/>
      <c r="C284" s="189"/>
      <c r="D284" s="189"/>
      <c r="E284" s="190" t="s">
        <v>207</v>
      </c>
      <c r="F284" s="190"/>
      <c r="G284" s="191"/>
      <c r="H284" s="64"/>
      <c r="I284" s="64"/>
    </row>
    <row r="285" spans="1:9" ht="15.75" hidden="1" customHeight="1">
      <c r="A285" s="64"/>
      <c r="B285" s="185">
        <v>45910</v>
      </c>
      <c r="C285" s="183">
        <v>0</v>
      </c>
      <c r="D285" s="183">
        <v>13105</v>
      </c>
      <c r="E285" s="186" t="s">
        <v>31</v>
      </c>
      <c r="F285" s="187">
        <v>91006</v>
      </c>
      <c r="G285" s="192">
        <v>1980</v>
      </c>
      <c r="H285" s="64"/>
      <c r="I285" s="64"/>
    </row>
    <row r="286" spans="1:9" ht="15.75" hidden="1" customHeight="1">
      <c r="A286" s="64"/>
      <c r="B286" s="189"/>
      <c r="C286" s="189"/>
      <c r="D286" s="189"/>
      <c r="E286" s="190" t="s">
        <v>587</v>
      </c>
      <c r="F286" s="190"/>
      <c r="G286" s="191"/>
      <c r="H286" s="64"/>
      <c r="I286" s="64"/>
    </row>
    <row r="287" spans="1:9" ht="15.75" hidden="1" customHeight="1">
      <c r="A287" s="64"/>
      <c r="B287" s="185">
        <v>45910</v>
      </c>
      <c r="C287" s="183">
        <v>0</v>
      </c>
      <c r="D287" s="183">
        <v>13105</v>
      </c>
      <c r="E287" s="186" t="s">
        <v>31</v>
      </c>
      <c r="F287" s="187">
        <v>91007</v>
      </c>
      <c r="G287" s="192">
        <v>2200</v>
      </c>
      <c r="H287" s="64"/>
      <c r="I287" s="64"/>
    </row>
    <row r="288" spans="1:9" ht="15.75" hidden="1" customHeight="1">
      <c r="A288" s="64"/>
      <c r="B288" s="189"/>
      <c r="C288" s="189"/>
      <c r="D288" s="189"/>
      <c r="E288" s="190" t="s">
        <v>1109</v>
      </c>
      <c r="F288" s="190"/>
      <c r="G288" s="191"/>
      <c r="H288" s="64"/>
      <c r="I288" s="64"/>
    </row>
    <row r="289" spans="1:9" ht="15.75" hidden="1" customHeight="1">
      <c r="A289" s="64"/>
      <c r="B289" s="185">
        <v>45910</v>
      </c>
      <c r="C289" s="183">
        <v>0</v>
      </c>
      <c r="D289" s="183">
        <v>13105</v>
      </c>
      <c r="E289" s="186" t="s">
        <v>31</v>
      </c>
      <c r="F289" s="187">
        <v>91008</v>
      </c>
      <c r="G289" s="192">
        <v>261.7</v>
      </c>
      <c r="H289" s="64"/>
      <c r="I289" s="64"/>
    </row>
    <row r="290" spans="1:9" ht="15.75" hidden="1" customHeight="1">
      <c r="A290" s="64"/>
      <c r="B290" s="189"/>
      <c r="C290" s="189"/>
      <c r="D290" s="189"/>
      <c r="E290" s="190" t="s">
        <v>231</v>
      </c>
      <c r="F290" s="190"/>
      <c r="G290" s="191"/>
      <c r="H290" s="64"/>
      <c r="I290" s="64"/>
    </row>
    <row r="291" spans="1:9" ht="15.75" hidden="1" customHeight="1">
      <c r="A291" s="64"/>
      <c r="B291" s="185">
        <v>45910</v>
      </c>
      <c r="C291" s="183">
        <v>0</v>
      </c>
      <c r="D291" s="183">
        <v>13105</v>
      </c>
      <c r="E291" s="186" t="s">
        <v>31</v>
      </c>
      <c r="F291" s="187">
        <v>91009</v>
      </c>
      <c r="G291" s="192">
        <v>253.42</v>
      </c>
      <c r="H291" s="64"/>
      <c r="I291" s="64"/>
    </row>
    <row r="292" spans="1:9" ht="15.75" hidden="1" customHeight="1">
      <c r="A292" s="64"/>
      <c r="B292" s="189"/>
      <c r="C292" s="189"/>
      <c r="D292" s="189"/>
      <c r="E292" s="190" t="s">
        <v>45</v>
      </c>
      <c r="F292" s="190"/>
      <c r="G292" s="191"/>
      <c r="H292" s="64"/>
      <c r="I292" s="64"/>
    </row>
    <row r="293" spans="1:9" ht="15.75" hidden="1" customHeight="1">
      <c r="A293" s="64"/>
      <c r="B293" s="185">
        <v>45910</v>
      </c>
      <c r="C293" s="183">
        <v>0</v>
      </c>
      <c r="D293" s="183">
        <v>13105</v>
      </c>
      <c r="E293" s="186" t="s">
        <v>31</v>
      </c>
      <c r="F293" s="187">
        <v>91010</v>
      </c>
      <c r="G293" s="192">
        <v>196.7</v>
      </c>
      <c r="H293" s="64"/>
      <c r="I293" s="64"/>
    </row>
    <row r="294" spans="1:9" ht="15.75" hidden="1" customHeight="1">
      <c r="A294" s="64"/>
      <c r="B294" s="189"/>
      <c r="C294" s="189"/>
      <c r="D294" s="189"/>
      <c r="E294" s="190" t="s">
        <v>46</v>
      </c>
      <c r="F294" s="190"/>
      <c r="G294" s="191"/>
      <c r="H294" s="64"/>
      <c r="I294" s="64"/>
    </row>
    <row r="295" spans="1:9" ht="15.75" hidden="1" customHeight="1">
      <c r="A295" s="64"/>
      <c r="B295" s="185">
        <v>45910</v>
      </c>
      <c r="C295" s="183">
        <v>0</v>
      </c>
      <c r="D295" s="183">
        <v>13105</v>
      </c>
      <c r="E295" s="186" t="s">
        <v>31</v>
      </c>
      <c r="F295" s="187">
        <v>91011</v>
      </c>
      <c r="G295" s="192">
        <v>197.87</v>
      </c>
      <c r="H295" s="64"/>
      <c r="I295" s="64"/>
    </row>
    <row r="296" spans="1:9" ht="15.75" hidden="1" customHeight="1">
      <c r="A296" s="64"/>
      <c r="B296" s="189"/>
      <c r="C296" s="189"/>
      <c r="D296" s="189"/>
      <c r="E296" s="190" t="s">
        <v>111</v>
      </c>
      <c r="F296" s="190"/>
      <c r="G296" s="191"/>
      <c r="H296" s="64"/>
      <c r="I296" s="64"/>
    </row>
    <row r="297" spans="1:9" ht="15.75" hidden="1" customHeight="1">
      <c r="A297" s="64"/>
      <c r="B297" s="185">
        <v>45910</v>
      </c>
      <c r="C297" s="183">
        <v>0</v>
      </c>
      <c r="D297" s="183">
        <v>13105</v>
      </c>
      <c r="E297" s="186" t="s">
        <v>31</v>
      </c>
      <c r="F297" s="187">
        <v>91012</v>
      </c>
      <c r="G297" s="192">
        <v>229.6</v>
      </c>
      <c r="H297" s="64"/>
      <c r="I297" s="64"/>
    </row>
    <row r="298" spans="1:9" ht="15.75" hidden="1" customHeight="1">
      <c r="A298" s="64"/>
      <c r="B298" s="189"/>
      <c r="C298" s="189"/>
      <c r="D298" s="189"/>
      <c r="E298" s="190" t="s">
        <v>111</v>
      </c>
      <c r="F298" s="190"/>
      <c r="G298" s="191"/>
      <c r="H298" s="64"/>
      <c r="I298" s="64"/>
    </row>
    <row r="299" spans="1:9" ht="15.75" hidden="1" customHeight="1">
      <c r="A299" s="64"/>
      <c r="B299" s="185">
        <v>45910</v>
      </c>
      <c r="C299" s="183">
        <v>0</v>
      </c>
      <c r="D299" s="183">
        <v>13105</v>
      </c>
      <c r="E299" s="186" t="s">
        <v>31</v>
      </c>
      <c r="F299" s="187">
        <v>91013</v>
      </c>
      <c r="G299" s="192">
        <v>360.42</v>
      </c>
      <c r="H299" s="64"/>
      <c r="I299" s="64"/>
    </row>
    <row r="300" spans="1:9" ht="15.75" hidden="1" customHeight="1">
      <c r="A300" s="64"/>
      <c r="B300" s="189"/>
      <c r="C300" s="189"/>
      <c r="D300" s="189"/>
      <c r="E300" s="190" t="s">
        <v>50</v>
      </c>
      <c r="F300" s="190"/>
      <c r="G300" s="191"/>
      <c r="H300" s="64"/>
      <c r="I300" s="64"/>
    </row>
    <row r="301" spans="1:9" ht="15.75" hidden="1" customHeight="1">
      <c r="A301" s="64"/>
      <c r="B301" s="185">
        <v>45910</v>
      </c>
      <c r="C301" s="183">
        <v>0</v>
      </c>
      <c r="D301" s="183">
        <v>13105</v>
      </c>
      <c r="E301" s="186" t="s">
        <v>31</v>
      </c>
      <c r="F301" s="187">
        <v>91014</v>
      </c>
      <c r="G301" s="192">
        <v>386.59</v>
      </c>
      <c r="H301" s="64"/>
      <c r="I301" s="64"/>
    </row>
    <row r="302" spans="1:9" ht="15.75" hidden="1" customHeight="1">
      <c r="A302" s="64"/>
      <c r="B302" s="189"/>
      <c r="C302" s="189"/>
      <c r="D302" s="189"/>
      <c r="E302" s="190" t="s">
        <v>110</v>
      </c>
      <c r="F302" s="190"/>
      <c r="G302" s="191"/>
      <c r="H302" s="64"/>
      <c r="I302" s="64"/>
    </row>
    <row r="303" spans="1:9" ht="15.75" hidden="1" customHeight="1">
      <c r="A303" s="64"/>
      <c r="B303" s="185">
        <v>45910</v>
      </c>
      <c r="C303" s="183">
        <v>0</v>
      </c>
      <c r="D303" s="183">
        <v>13013</v>
      </c>
      <c r="E303" s="186" t="s">
        <v>87</v>
      </c>
      <c r="F303" s="187">
        <v>46301</v>
      </c>
      <c r="G303" s="192">
        <v>54.12</v>
      </c>
      <c r="H303" s="64"/>
      <c r="I303" s="64"/>
    </row>
    <row r="304" spans="1:9" ht="15.75" hidden="1" customHeight="1">
      <c r="A304" s="64"/>
      <c r="B304" s="189"/>
      <c r="C304" s="189"/>
      <c r="D304" s="189"/>
      <c r="E304" s="190" t="s">
        <v>88</v>
      </c>
      <c r="F304" s="190"/>
      <c r="G304" s="191"/>
      <c r="H304" s="64"/>
      <c r="I304" s="64"/>
    </row>
    <row r="305" spans="1:9" ht="15.75" hidden="1" customHeight="1">
      <c r="A305" s="64"/>
      <c r="B305" s="185">
        <v>45910</v>
      </c>
      <c r="C305" s="183">
        <v>0</v>
      </c>
      <c r="D305" s="183">
        <v>13013</v>
      </c>
      <c r="E305" s="186" t="s">
        <v>1289</v>
      </c>
      <c r="F305" s="187">
        <v>14033</v>
      </c>
      <c r="G305" s="192">
        <v>11714.98</v>
      </c>
      <c r="H305" s="64"/>
      <c r="I305" s="64"/>
    </row>
    <row r="306" spans="1:9" ht="15.75" hidden="1" customHeight="1">
      <c r="A306" s="64"/>
      <c r="B306" s="189"/>
      <c r="C306" s="189"/>
      <c r="D306" s="189"/>
      <c r="E306" s="190" t="s">
        <v>1290</v>
      </c>
      <c r="F306" s="190"/>
      <c r="G306" s="191"/>
      <c r="H306" s="64"/>
      <c r="I306" s="64"/>
    </row>
    <row r="307" spans="1:9" ht="15.75" hidden="1" customHeight="1">
      <c r="A307" s="64"/>
      <c r="B307" s="185">
        <v>45910</v>
      </c>
      <c r="C307" s="183">
        <v>0</v>
      </c>
      <c r="D307" s="183">
        <v>0</v>
      </c>
      <c r="E307" s="186" t="s">
        <v>52</v>
      </c>
      <c r="F307" s="187">
        <v>9903</v>
      </c>
      <c r="G307" s="188">
        <v>3422.21</v>
      </c>
      <c r="H307" s="64"/>
      <c r="I307" s="64"/>
    </row>
    <row r="308" spans="1:9" ht="15.75" hidden="1" customHeight="1">
      <c r="A308" s="64"/>
      <c r="B308" s="189"/>
      <c r="C308" s="189"/>
      <c r="D308" s="189"/>
      <c r="E308" s="190" t="s">
        <v>53</v>
      </c>
      <c r="F308" s="190"/>
      <c r="G308" s="191"/>
      <c r="H308" s="64"/>
      <c r="I308" s="64"/>
    </row>
    <row r="309" spans="1:9" ht="15.75" customHeight="1">
      <c r="A309" s="179" t="s">
        <v>140</v>
      </c>
      <c r="B309" s="185">
        <v>45911</v>
      </c>
      <c r="C309" s="183">
        <v>0</v>
      </c>
      <c r="D309" s="183">
        <v>14138</v>
      </c>
      <c r="E309" s="186" t="s">
        <v>141</v>
      </c>
      <c r="F309" s="187">
        <v>202509100018171</v>
      </c>
      <c r="G309" s="188">
        <v>323.92</v>
      </c>
      <c r="H309" s="64" t="s">
        <v>1291</v>
      </c>
      <c r="I309" s="64" t="s">
        <v>419</v>
      </c>
    </row>
    <row r="310" spans="1:9" ht="15.75" hidden="1" customHeight="1">
      <c r="A310" s="64"/>
      <c r="B310" s="189"/>
      <c r="C310" s="189"/>
      <c r="D310" s="189"/>
      <c r="E310" s="190" t="s">
        <v>143</v>
      </c>
      <c r="F310" s="190"/>
      <c r="G310" s="191"/>
      <c r="H310" s="64"/>
      <c r="I310" s="64"/>
    </row>
    <row r="311" spans="1:9" ht="15.75" customHeight="1">
      <c r="A311" s="179" t="s">
        <v>140</v>
      </c>
      <c r="B311" s="185">
        <v>45911</v>
      </c>
      <c r="C311" s="183">
        <v>0</v>
      </c>
      <c r="D311" s="183">
        <v>14138</v>
      </c>
      <c r="E311" s="186" t="s">
        <v>141</v>
      </c>
      <c r="F311" s="187">
        <v>202509100018173</v>
      </c>
      <c r="G311" s="188">
        <v>609.28</v>
      </c>
      <c r="H311" s="64" t="s">
        <v>1292</v>
      </c>
      <c r="I311" s="64" t="s">
        <v>419</v>
      </c>
    </row>
    <row r="312" spans="1:9" ht="15.75" hidden="1" customHeight="1">
      <c r="A312" s="64"/>
      <c r="B312" s="189"/>
      <c r="C312" s="189"/>
      <c r="D312" s="189"/>
      <c r="E312" s="190" t="s">
        <v>143</v>
      </c>
      <c r="F312" s="190"/>
      <c r="G312" s="191"/>
      <c r="H312" s="64"/>
      <c r="I312" s="64"/>
    </row>
    <row r="313" spans="1:9" ht="15.75" customHeight="1">
      <c r="A313" s="179" t="s">
        <v>140</v>
      </c>
      <c r="B313" s="185">
        <v>45911</v>
      </c>
      <c r="C313" s="183">
        <v>0</v>
      </c>
      <c r="D313" s="183">
        <v>14138</v>
      </c>
      <c r="E313" s="186" t="s">
        <v>141</v>
      </c>
      <c r="F313" s="187">
        <v>202509100018175</v>
      </c>
      <c r="G313" s="188">
        <v>609.28</v>
      </c>
      <c r="H313" s="64" t="s">
        <v>1293</v>
      </c>
      <c r="I313" s="64" t="s">
        <v>419</v>
      </c>
    </row>
    <row r="314" spans="1:9" ht="15.75" hidden="1" customHeight="1">
      <c r="A314" s="64"/>
      <c r="B314" s="189"/>
      <c r="C314" s="189"/>
      <c r="D314" s="189"/>
      <c r="E314" s="190" t="s">
        <v>143</v>
      </c>
      <c r="F314" s="190"/>
      <c r="G314" s="191"/>
      <c r="H314" s="64"/>
      <c r="I314" s="64"/>
    </row>
    <row r="315" spans="1:9" ht="15.75" customHeight="1">
      <c r="A315" s="173" t="s">
        <v>423</v>
      </c>
      <c r="B315" s="185">
        <v>45911</v>
      </c>
      <c r="C315" s="183">
        <v>0</v>
      </c>
      <c r="D315" s="183">
        <v>14138</v>
      </c>
      <c r="E315" s="186" t="s">
        <v>141</v>
      </c>
      <c r="F315" s="187">
        <v>202509100035677</v>
      </c>
      <c r="G315" s="188">
        <v>5154.28</v>
      </c>
      <c r="H315" s="64" t="s">
        <v>1294</v>
      </c>
      <c r="I315" s="64"/>
    </row>
    <row r="316" spans="1:9" ht="15.75" hidden="1" customHeight="1">
      <c r="A316" s="64"/>
      <c r="B316" s="189"/>
      <c r="C316" s="189"/>
      <c r="D316" s="189"/>
      <c r="E316" s="190" t="s">
        <v>143</v>
      </c>
      <c r="F316" s="190"/>
      <c r="G316" s="191"/>
      <c r="H316" s="64"/>
      <c r="I316" s="64"/>
    </row>
    <row r="317" spans="1:9" ht="14.25" customHeight="1">
      <c r="A317" s="173" t="s">
        <v>423</v>
      </c>
      <c r="B317" s="185">
        <v>45911</v>
      </c>
      <c r="C317" s="183">
        <v>0</v>
      </c>
      <c r="D317" s="183">
        <v>14138</v>
      </c>
      <c r="E317" s="186" t="s">
        <v>141</v>
      </c>
      <c r="F317" s="187">
        <v>202509100035678</v>
      </c>
      <c r="G317" s="188">
        <v>5540.75</v>
      </c>
      <c r="H317" s="64" t="s">
        <v>1294</v>
      </c>
      <c r="I317" s="64"/>
    </row>
    <row r="318" spans="1:9" ht="15.75" hidden="1" customHeight="1">
      <c r="A318" s="64"/>
      <c r="B318" s="189"/>
      <c r="C318" s="189"/>
      <c r="D318" s="189"/>
      <c r="E318" s="190" t="s">
        <v>143</v>
      </c>
      <c r="F318" s="190"/>
      <c r="G318" s="191"/>
      <c r="H318" s="64"/>
      <c r="I318" s="64"/>
    </row>
    <row r="319" spans="1:9" ht="15.75" hidden="1" customHeight="1">
      <c r="A319" s="64"/>
      <c r="B319" s="185">
        <v>45911</v>
      </c>
      <c r="C319" s="183">
        <v>0</v>
      </c>
      <c r="D319" s="183">
        <v>13105</v>
      </c>
      <c r="E319" s="186" t="s">
        <v>80</v>
      </c>
      <c r="F319" s="187">
        <v>91101</v>
      </c>
      <c r="G319" s="192">
        <v>275.11</v>
      </c>
      <c r="H319" s="64"/>
      <c r="I319" s="64"/>
    </row>
    <row r="320" spans="1:9" ht="15.75" hidden="1" customHeight="1">
      <c r="A320" s="64"/>
      <c r="B320" s="189"/>
      <c r="C320" s="189"/>
      <c r="D320" s="189"/>
      <c r="E320" s="190" t="s">
        <v>81</v>
      </c>
      <c r="F320" s="190"/>
      <c r="G320" s="191"/>
      <c r="H320" s="64"/>
      <c r="I320" s="64"/>
    </row>
    <row r="321" spans="1:9" ht="15.75" hidden="1" customHeight="1">
      <c r="A321" s="64"/>
      <c r="B321" s="185">
        <v>45911</v>
      </c>
      <c r="C321" s="183">
        <v>0</v>
      </c>
      <c r="D321" s="183">
        <v>13105</v>
      </c>
      <c r="E321" s="186" t="s">
        <v>123</v>
      </c>
      <c r="F321" s="187">
        <v>91102</v>
      </c>
      <c r="G321" s="192">
        <v>176.16</v>
      </c>
      <c r="H321" s="64"/>
      <c r="I321" s="64"/>
    </row>
    <row r="322" spans="1:9" ht="15.75" hidden="1" customHeight="1">
      <c r="A322" s="64"/>
      <c r="B322" s="189"/>
      <c r="C322" s="189"/>
      <c r="D322" s="189"/>
      <c r="E322" s="190" t="s">
        <v>124</v>
      </c>
      <c r="F322" s="190"/>
      <c r="G322" s="191"/>
      <c r="H322" s="64"/>
      <c r="I322" s="64"/>
    </row>
    <row r="323" spans="1:9" ht="15.75" hidden="1" customHeight="1">
      <c r="A323" s="64"/>
      <c r="B323" s="185">
        <v>45911</v>
      </c>
      <c r="C323" s="183">
        <v>0</v>
      </c>
      <c r="D323" s="183">
        <v>13105</v>
      </c>
      <c r="E323" s="186" t="s">
        <v>31</v>
      </c>
      <c r="F323" s="187">
        <v>91103</v>
      </c>
      <c r="G323" s="192">
        <v>342</v>
      </c>
      <c r="H323" s="64"/>
      <c r="I323" s="64"/>
    </row>
    <row r="324" spans="1:9" ht="15.75" hidden="1" customHeight="1">
      <c r="A324" s="64"/>
      <c r="B324" s="189"/>
      <c r="C324" s="189"/>
      <c r="D324" s="189"/>
      <c r="E324" s="190" t="s">
        <v>41</v>
      </c>
      <c r="F324" s="190"/>
      <c r="G324" s="191"/>
      <c r="H324" s="64"/>
      <c r="I324" s="64"/>
    </row>
    <row r="325" spans="1:9" ht="15.75" hidden="1" customHeight="1">
      <c r="A325" s="64"/>
      <c r="B325" s="185">
        <v>45911</v>
      </c>
      <c r="C325" s="183">
        <v>0</v>
      </c>
      <c r="D325" s="183">
        <v>13105</v>
      </c>
      <c r="E325" s="186" t="s">
        <v>31</v>
      </c>
      <c r="F325" s="187">
        <v>91104</v>
      </c>
      <c r="G325" s="192">
        <v>7191.26</v>
      </c>
      <c r="H325" s="64"/>
      <c r="I325" s="64"/>
    </row>
    <row r="326" spans="1:9" ht="15.75" hidden="1" customHeight="1">
      <c r="A326" s="64"/>
      <c r="B326" s="189"/>
      <c r="C326" s="189"/>
      <c r="D326" s="189"/>
      <c r="E326" s="190" t="s">
        <v>441</v>
      </c>
      <c r="F326" s="190"/>
      <c r="G326" s="191"/>
      <c r="H326" s="64"/>
      <c r="I326" s="64"/>
    </row>
    <row r="327" spans="1:9" ht="15.75" hidden="1" customHeight="1">
      <c r="A327" s="64"/>
      <c r="B327" s="185">
        <v>45911</v>
      </c>
      <c r="C327" s="183">
        <v>0</v>
      </c>
      <c r="D327" s="183">
        <v>13105</v>
      </c>
      <c r="E327" s="186" t="s">
        <v>31</v>
      </c>
      <c r="F327" s="187">
        <v>91105</v>
      </c>
      <c r="G327" s="192">
        <v>3600</v>
      </c>
      <c r="H327" s="64"/>
      <c r="I327" s="64"/>
    </row>
    <row r="328" spans="1:9" ht="15.75" hidden="1" customHeight="1">
      <c r="A328" s="64"/>
      <c r="B328" s="189"/>
      <c r="C328" s="189"/>
      <c r="D328" s="189"/>
      <c r="E328" s="190" t="s">
        <v>37</v>
      </c>
      <c r="F328" s="190"/>
      <c r="G328" s="191"/>
      <c r="H328" s="64"/>
      <c r="I328" s="64"/>
    </row>
    <row r="329" spans="1:9" ht="15.75" hidden="1" customHeight="1">
      <c r="A329" s="64"/>
      <c r="B329" s="185">
        <v>45911</v>
      </c>
      <c r="C329" s="183">
        <v>0</v>
      </c>
      <c r="D329" s="183">
        <v>13105</v>
      </c>
      <c r="E329" s="186" t="s">
        <v>34</v>
      </c>
      <c r="F329" s="187">
        <v>91106</v>
      </c>
      <c r="G329" s="192">
        <v>100.99</v>
      </c>
      <c r="H329" s="64"/>
      <c r="I329" s="64"/>
    </row>
    <row r="330" spans="1:9" ht="15.75" hidden="1" customHeight="1">
      <c r="A330" s="64"/>
      <c r="B330" s="189"/>
      <c r="C330" s="189"/>
      <c r="D330" s="189"/>
      <c r="E330" s="190" t="s">
        <v>1110</v>
      </c>
      <c r="F330" s="190"/>
      <c r="G330" s="191"/>
      <c r="H330" s="64"/>
      <c r="I330" s="64"/>
    </row>
    <row r="331" spans="1:9" ht="15.75" hidden="1" customHeight="1">
      <c r="A331" s="64"/>
      <c r="B331" s="185">
        <v>45911</v>
      </c>
      <c r="C331" s="183">
        <v>0</v>
      </c>
      <c r="D331" s="183">
        <v>13105</v>
      </c>
      <c r="E331" s="186" t="s">
        <v>31</v>
      </c>
      <c r="F331" s="187">
        <v>91107</v>
      </c>
      <c r="G331" s="192">
        <v>635.95000000000005</v>
      </c>
      <c r="H331" s="64"/>
      <c r="I331" s="64"/>
    </row>
    <row r="332" spans="1:9" ht="15.75" hidden="1" customHeight="1">
      <c r="A332" s="64"/>
      <c r="B332" s="189"/>
      <c r="C332" s="189"/>
      <c r="D332" s="189"/>
      <c r="E332" s="190" t="s">
        <v>507</v>
      </c>
      <c r="F332" s="190"/>
      <c r="G332" s="191"/>
      <c r="H332" s="64"/>
      <c r="I332" s="64"/>
    </row>
    <row r="333" spans="1:9" ht="15.75" hidden="1" customHeight="1">
      <c r="A333" s="64"/>
      <c r="B333" s="185">
        <v>45911</v>
      </c>
      <c r="C333" s="183">
        <v>0</v>
      </c>
      <c r="D333" s="183">
        <v>13105</v>
      </c>
      <c r="E333" s="186" t="s">
        <v>31</v>
      </c>
      <c r="F333" s="187">
        <v>91108</v>
      </c>
      <c r="G333" s="192">
        <v>1320</v>
      </c>
      <c r="H333" s="64"/>
      <c r="I333" s="64"/>
    </row>
    <row r="334" spans="1:9" ht="15.75" hidden="1" customHeight="1">
      <c r="A334" s="64"/>
      <c r="B334" s="189"/>
      <c r="C334" s="189"/>
      <c r="D334" s="189"/>
      <c r="E334" s="190" t="s">
        <v>769</v>
      </c>
      <c r="F334" s="190"/>
      <c r="G334" s="191"/>
      <c r="H334" s="64"/>
      <c r="I334" s="64"/>
    </row>
    <row r="335" spans="1:9" ht="15.75" hidden="1" customHeight="1">
      <c r="A335" s="64"/>
      <c r="B335" s="185">
        <v>45911</v>
      </c>
      <c r="C335" s="183">
        <v>0</v>
      </c>
      <c r="D335" s="183">
        <v>13105</v>
      </c>
      <c r="E335" s="186" t="s">
        <v>31</v>
      </c>
      <c r="F335" s="187">
        <v>91109</v>
      </c>
      <c r="G335" s="192">
        <v>255.57</v>
      </c>
      <c r="H335" s="64"/>
      <c r="I335" s="64"/>
    </row>
    <row r="336" spans="1:9" ht="15.75" hidden="1" customHeight="1">
      <c r="A336" s="64"/>
      <c r="B336" s="189"/>
      <c r="C336" s="189"/>
      <c r="D336" s="189"/>
      <c r="E336" s="190" t="s">
        <v>111</v>
      </c>
      <c r="F336" s="190"/>
      <c r="G336" s="191"/>
      <c r="H336" s="64"/>
      <c r="I336" s="64"/>
    </row>
    <row r="337" spans="1:9" ht="15.75" hidden="1" customHeight="1">
      <c r="A337" s="64"/>
      <c r="B337" s="185">
        <v>45911</v>
      </c>
      <c r="C337" s="183">
        <v>0</v>
      </c>
      <c r="D337" s="183">
        <v>13105</v>
      </c>
      <c r="E337" s="186" t="s">
        <v>31</v>
      </c>
      <c r="F337" s="187">
        <v>91110</v>
      </c>
      <c r="G337" s="192">
        <v>360.42</v>
      </c>
      <c r="H337" s="64"/>
      <c r="I337" s="64"/>
    </row>
    <row r="338" spans="1:9" ht="15.75" hidden="1" customHeight="1">
      <c r="A338" s="64"/>
      <c r="B338" s="189"/>
      <c r="C338" s="189"/>
      <c r="D338" s="189"/>
      <c r="E338" s="190" t="s">
        <v>50</v>
      </c>
      <c r="F338" s="190"/>
      <c r="G338" s="191"/>
      <c r="H338" s="64"/>
      <c r="I338" s="64"/>
    </row>
    <row r="339" spans="1:9" ht="15.75" hidden="1" customHeight="1">
      <c r="A339" s="64"/>
      <c r="B339" s="185">
        <v>45911</v>
      </c>
      <c r="C339" s="183">
        <v>0</v>
      </c>
      <c r="D339" s="183">
        <v>13105</v>
      </c>
      <c r="E339" s="186" t="s">
        <v>31</v>
      </c>
      <c r="F339" s="187">
        <v>91111</v>
      </c>
      <c r="G339" s="192">
        <v>115.93</v>
      </c>
      <c r="H339" s="64"/>
      <c r="I339" s="64"/>
    </row>
    <row r="340" spans="1:9" ht="15.75" hidden="1" customHeight="1">
      <c r="A340" s="64"/>
      <c r="B340" s="189"/>
      <c r="C340" s="189"/>
      <c r="D340" s="189"/>
      <c r="E340" s="190" t="s">
        <v>1295</v>
      </c>
      <c r="F340" s="190"/>
      <c r="G340" s="191"/>
      <c r="H340" s="64"/>
      <c r="I340" s="64"/>
    </row>
    <row r="341" spans="1:9" ht="15.75" hidden="1" customHeight="1">
      <c r="A341" s="64"/>
      <c r="B341" s="185">
        <v>45911</v>
      </c>
      <c r="C341" s="183">
        <v>0</v>
      </c>
      <c r="D341" s="183">
        <v>13105</v>
      </c>
      <c r="E341" s="186" t="s">
        <v>31</v>
      </c>
      <c r="F341" s="187">
        <v>91112</v>
      </c>
      <c r="G341" s="192">
        <v>888.94</v>
      </c>
      <c r="H341" s="64"/>
      <c r="I341" s="64"/>
    </row>
    <row r="342" spans="1:9" ht="15.75" hidden="1" customHeight="1">
      <c r="A342" s="64"/>
      <c r="B342" s="189"/>
      <c r="C342" s="189"/>
      <c r="D342" s="189"/>
      <c r="E342" s="190" t="s">
        <v>46</v>
      </c>
      <c r="F342" s="190"/>
      <c r="G342" s="191"/>
      <c r="H342" s="64"/>
      <c r="I342" s="64"/>
    </row>
    <row r="343" spans="1:9" ht="15.75" hidden="1" customHeight="1">
      <c r="A343" s="64"/>
      <c r="B343" s="185">
        <v>45911</v>
      </c>
      <c r="C343" s="183">
        <v>0</v>
      </c>
      <c r="D343" s="183">
        <v>13105</v>
      </c>
      <c r="E343" s="186" t="s">
        <v>778</v>
      </c>
      <c r="F343" s="187">
        <v>91113</v>
      </c>
      <c r="G343" s="192">
        <v>135.62</v>
      </c>
      <c r="H343" s="64"/>
      <c r="I343" s="64"/>
    </row>
    <row r="344" spans="1:9" ht="15.75" hidden="1" customHeight="1">
      <c r="A344" s="64"/>
      <c r="B344" s="189"/>
      <c r="C344" s="189"/>
      <c r="D344" s="189"/>
      <c r="E344" s="190" t="s">
        <v>1296</v>
      </c>
      <c r="F344" s="190"/>
      <c r="G344" s="191"/>
      <c r="H344" s="64"/>
      <c r="I344" s="64"/>
    </row>
    <row r="345" spans="1:9" ht="15.75" hidden="1" customHeight="1">
      <c r="A345" s="64"/>
      <c r="B345" s="185">
        <v>45911</v>
      </c>
      <c r="C345" s="183">
        <v>0</v>
      </c>
      <c r="D345" s="183">
        <v>13105</v>
      </c>
      <c r="E345" s="186" t="s">
        <v>31</v>
      </c>
      <c r="F345" s="187">
        <v>91114</v>
      </c>
      <c r="G345" s="192">
        <v>229.32</v>
      </c>
      <c r="H345" s="64"/>
      <c r="I345" s="64"/>
    </row>
    <row r="346" spans="1:9" ht="15.75" hidden="1" customHeight="1">
      <c r="A346" s="64"/>
      <c r="B346" s="189"/>
      <c r="C346" s="189"/>
      <c r="D346" s="189"/>
      <c r="E346" s="190" t="s">
        <v>51</v>
      </c>
      <c r="F346" s="190"/>
      <c r="G346" s="191"/>
      <c r="H346" s="64"/>
      <c r="I346" s="64"/>
    </row>
    <row r="347" spans="1:9" ht="15.75" hidden="1" customHeight="1">
      <c r="A347" s="64"/>
      <c r="B347" s="185">
        <v>45911</v>
      </c>
      <c r="C347" s="183">
        <v>0</v>
      </c>
      <c r="D347" s="183">
        <v>0</v>
      </c>
      <c r="E347" s="186" t="s">
        <v>52</v>
      </c>
      <c r="F347" s="187">
        <v>9903</v>
      </c>
      <c r="G347" s="188">
        <v>3389.76</v>
      </c>
      <c r="H347" s="64"/>
      <c r="I347" s="64"/>
    </row>
    <row r="348" spans="1:9" ht="15.75" hidden="1" customHeight="1">
      <c r="A348" s="64"/>
      <c r="B348" s="189"/>
      <c r="C348" s="189"/>
      <c r="D348" s="189"/>
      <c r="E348" s="190" t="s">
        <v>53</v>
      </c>
      <c r="F348" s="190"/>
      <c r="G348" s="191"/>
      <c r="H348" s="64"/>
      <c r="I348" s="64"/>
    </row>
    <row r="349" spans="1:9" ht="15.75" hidden="1" customHeight="1">
      <c r="A349" s="64"/>
      <c r="B349" s="185">
        <v>45912</v>
      </c>
      <c r="C349" s="183">
        <v>0</v>
      </c>
      <c r="D349" s="183">
        <v>14175</v>
      </c>
      <c r="E349" s="186" t="s">
        <v>62</v>
      </c>
      <c r="F349" s="187">
        <v>394623839</v>
      </c>
      <c r="G349" s="188">
        <v>7134</v>
      </c>
      <c r="H349" s="64"/>
      <c r="I349" s="64"/>
    </row>
    <row r="350" spans="1:9" ht="15.75" hidden="1" customHeight="1">
      <c r="A350" s="64"/>
      <c r="B350" s="189"/>
      <c r="C350" s="189"/>
      <c r="D350" s="189"/>
      <c r="E350" s="190" t="s">
        <v>97</v>
      </c>
      <c r="F350" s="190"/>
      <c r="G350" s="191"/>
      <c r="H350" s="64"/>
      <c r="I350" s="64"/>
    </row>
    <row r="351" spans="1:9" ht="15.75" hidden="1" customHeight="1">
      <c r="A351" s="64"/>
      <c r="B351" s="185">
        <v>45912</v>
      </c>
      <c r="C351" s="183">
        <v>0</v>
      </c>
      <c r="D351" s="183">
        <v>14397</v>
      </c>
      <c r="E351" s="186" t="s">
        <v>57</v>
      </c>
      <c r="F351" s="187">
        <v>120757262747902</v>
      </c>
      <c r="G351" s="188">
        <v>358.6</v>
      </c>
      <c r="H351" s="64"/>
      <c r="I351" s="64"/>
    </row>
    <row r="352" spans="1:9" ht="15.75" hidden="1" customHeight="1">
      <c r="A352" s="64"/>
      <c r="B352" s="189"/>
      <c r="C352" s="189"/>
      <c r="D352" s="189"/>
      <c r="E352" s="190" t="s">
        <v>1297</v>
      </c>
      <c r="F352" s="190"/>
      <c r="G352" s="191"/>
      <c r="H352" s="64"/>
      <c r="I352" s="64"/>
    </row>
    <row r="353" spans="1:9" ht="15.75" hidden="1" customHeight="1">
      <c r="A353" s="64"/>
      <c r="B353" s="185">
        <v>45912</v>
      </c>
      <c r="C353" s="183">
        <v>0</v>
      </c>
      <c r="D353" s="183">
        <v>14397</v>
      </c>
      <c r="E353" s="186" t="s">
        <v>57</v>
      </c>
      <c r="F353" s="187">
        <v>121507340625551</v>
      </c>
      <c r="G353" s="188">
        <v>503.6</v>
      </c>
      <c r="H353" s="64"/>
      <c r="I353" s="64"/>
    </row>
    <row r="354" spans="1:9" ht="15.75" hidden="1" customHeight="1">
      <c r="A354" s="64"/>
      <c r="B354" s="189"/>
      <c r="C354" s="189"/>
      <c r="D354" s="189"/>
      <c r="E354" s="190" t="s">
        <v>1298</v>
      </c>
      <c r="F354" s="190"/>
      <c r="G354" s="191"/>
      <c r="H354" s="64"/>
      <c r="I354" s="64"/>
    </row>
    <row r="355" spans="1:9" ht="15.75" hidden="1" customHeight="1">
      <c r="A355" s="64"/>
      <c r="B355" s="185">
        <v>45912</v>
      </c>
      <c r="C355" s="183">
        <v>0</v>
      </c>
      <c r="D355" s="183">
        <v>13105</v>
      </c>
      <c r="E355" s="186" t="s">
        <v>31</v>
      </c>
      <c r="F355" s="187">
        <v>91201</v>
      </c>
      <c r="G355" s="192">
        <v>4890</v>
      </c>
      <c r="H355" s="64"/>
      <c r="I355" s="64"/>
    </row>
    <row r="356" spans="1:9" ht="15.75" hidden="1" customHeight="1">
      <c r="A356" s="64"/>
      <c r="B356" s="189"/>
      <c r="C356" s="189"/>
      <c r="D356" s="189"/>
      <c r="E356" s="190" t="s">
        <v>32</v>
      </c>
      <c r="F356" s="190"/>
      <c r="G356" s="191"/>
      <c r="H356" s="64"/>
      <c r="I356" s="64"/>
    </row>
    <row r="357" spans="1:9" ht="15.75" hidden="1" customHeight="1">
      <c r="A357" s="64"/>
      <c r="B357" s="185">
        <v>45912</v>
      </c>
      <c r="C357" s="183">
        <v>0</v>
      </c>
      <c r="D357" s="183">
        <v>13105</v>
      </c>
      <c r="E357" s="186" t="s">
        <v>31</v>
      </c>
      <c r="F357" s="187">
        <v>91202</v>
      </c>
      <c r="G357" s="192">
        <v>2388</v>
      </c>
      <c r="H357" s="64"/>
      <c r="I357" s="64"/>
    </row>
    <row r="358" spans="1:9" ht="15.75" hidden="1" customHeight="1">
      <c r="A358" s="64"/>
      <c r="B358" s="189"/>
      <c r="C358" s="189"/>
      <c r="D358" s="189"/>
      <c r="E358" s="190" t="s">
        <v>32</v>
      </c>
      <c r="F358" s="190"/>
      <c r="G358" s="191"/>
      <c r="H358" s="64"/>
      <c r="I358" s="64"/>
    </row>
    <row r="359" spans="1:9" ht="15.75" hidden="1" customHeight="1">
      <c r="A359" s="64"/>
      <c r="B359" s="185">
        <v>45912</v>
      </c>
      <c r="C359" s="183">
        <v>0</v>
      </c>
      <c r="D359" s="183">
        <v>13105</v>
      </c>
      <c r="E359" s="186" t="s">
        <v>31</v>
      </c>
      <c r="F359" s="187">
        <v>91203</v>
      </c>
      <c r="G359" s="192">
        <v>233.5</v>
      </c>
      <c r="H359" s="64"/>
      <c r="I359" s="64"/>
    </row>
    <row r="360" spans="1:9" ht="15.75" hidden="1" customHeight="1">
      <c r="A360" s="64"/>
      <c r="B360" s="189"/>
      <c r="C360" s="189"/>
      <c r="D360" s="189"/>
      <c r="E360" s="190" t="s">
        <v>200</v>
      </c>
      <c r="F360" s="190"/>
      <c r="G360" s="191"/>
      <c r="H360" s="64"/>
      <c r="I360" s="64"/>
    </row>
    <row r="361" spans="1:9" ht="15.75" hidden="1" customHeight="1">
      <c r="A361" s="64"/>
      <c r="B361" s="185">
        <v>45912</v>
      </c>
      <c r="C361" s="183">
        <v>0</v>
      </c>
      <c r="D361" s="183">
        <v>13105</v>
      </c>
      <c r="E361" s="186" t="s">
        <v>31</v>
      </c>
      <c r="F361" s="187">
        <v>91204</v>
      </c>
      <c r="G361" s="192">
        <v>181.67</v>
      </c>
      <c r="H361" s="64"/>
      <c r="I361" s="64"/>
    </row>
    <row r="362" spans="1:9" ht="15.75" hidden="1" customHeight="1">
      <c r="A362" s="64"/>
      <c r="B362" s="189"/>
      <c r="C362" s="189"/>
      <c r="D362" s="189"/>
      <c r="E362" s="190" t="s">
        <v>67</v>
      </c>
      <c r="F362" s="190"/>
      <c r="G362" s="191"/>
      <c r="H362" s="64"/>
      <c r="I362" s="64"/>
    </row>
    <row r="363" spans="1:9" ht="15.75" hidden="1" customHeight="1">
      <c r="A363" s="64"/>
      <c r="B363" s="185">
        <v>45912</v>
      </c>
      <c r="C363" s="183">
        <v>0</v>
      </c>
      <c r="D363" s="183">
        <v>13105</v>
      </c>
      <c r="E363" s="186" t="s">
        <v>31</v>
      </c>
      <c r="F363" s="187">
        <v>91205</v>
      </c>
      <c r="G363" s="192">
        <v>453.78</v>
      </c>
      <c r="H363" s="64"/>
      <c r="I363" s="64"/>
    </row>
    <row r="364" spans="1:9" ht="15.75" hidden="1" customHeight="1">
      <c r="A364" s="64"/>
      <c r="B364" s="189"/>
      <c r="C364" s="189"/>
      <c r="D364" s="189"/>
      <c r="E364" s="190" t="s">
        <v>45</v>
      </c>
      <c r="F364" s="190"/>
      <c r="G364" s="191"/>
      <c r="H364" s="64"/>
      <c r="I364" s="64"/>
    </row>
    <row r="365" spans="1:9" ht="15.75" hidden="1" customHeight="1">
      <c r="A365" s="64"/>
      <c r="B365" s="185">
        <v>45912</v>
      </c>
      <c r="C365" s="183">
        <v>0</v>
      </c>
      <c r="D365" s="183">
        <v>13105</v>
      </c>
      <c r="E365" s="186" t="s">
        <v>31</v>
      </c>
      <c r="F365" s="187">
        <v>91206</v>
      </c>
      <c r="G365" s="192">
        <v>332.88</v>
      </c>
      <c r="H365" s="64"/>
      <c r="I365" s="64"/>
    </row>
    <row r="366" spans="1:9" ht="15.75" hidden="1" customHeight="1">
      <c r="A366" s="64"/>
      <c r="B366" s="189"/>
      <c r="C366" s="189"/>
      <c r="D366" s="189"/>
      <c r="E366" s="190" t="s">
        <v>45</v>
      </c>
      <c r="F366" s="190"/>
      <c r="G366" s="191"/>
      <c r="H366" s="64"/>
      <c r="I366" s="64"/>
    </row>
    <row r="367" spans="1:9" ht="15.75" hidden="1" customHeight="1">
      <c r="A367" s="64"/>
      <c r="B367" s="185">
        <v>45912</v>
      </c>
      <c r="C367" s="183">
        <v>0</v>
      </c>
      <c r="D367" s="183">
        <v>13105</v>
      </c>
      <c r="E367" s="186" t="s">
        <v>31</v>
      </c>
      <c r="F367" s="187">
        <v>91207</v>
      </c>
      <c r="G367" s="192">
        <v>210.74</v>
      </c>
      <c r="H367" s="64"/>
      <c r="I367" s="64"/>
    </row>
    <row r="368" spans="1:9" ht="15.75" hidden="1" customHeight="1">
      <c r="A368" s="64"/>
      <c r="B368" s="189"/>
      <c r="C368" s="189"/>
      <c r="D368" s="189"/>
      <c r="E368" s="190" t="s">
        <v>45</v>
      </c>
      <c r="F368" s="190"/>
      <c r="G368" s="191"/>
      <c r="H368" s="64"/>
      <c r="I368" s="64"/>
    </row>
    <row r="369" spans="1:9" ht="15.75" hidden="1" customHeight="1">
      <c r="A369" s="64"/>
      <c r="B369" s="185">
        <v>45912</v>
      </c>
      <c r="C369" s="183">
        <v>0</v>
      </c>
      <c r="D369" s="183">
        <v>13105</v>
      </c>
      <c r="E369" s="186" t="s">
        <v>31</v>
      </c>
      <c r="F369" s="187">
        <v>91208</v>
      </c>
      <c r="G369" s="192">
        <v>446.74</v>
      </c>
      <c r="H369" s="64"/>
      <c r="I369" s="64"/>
    </row>
    <row r="370" spans="1:9" ht="15.75" hidden="1" customHeight="1">
      <c r="A370" s="64"/>
      <c r="B370" s="189"/>
      <c r="C370" s="189"/>
      <c r="D370" s="189"/>
      <c r="E370" s="190" t="s">
        <v>45</v>
      </c>
      <c r="F370" s="190"/>
      <c r="G370" s="191"/>
      <c r="H370" s="64"/>
      <c r="I370" s="64"/>
    </row>
    <row r="371" spans="1:9" ht="15.75" hidden="1" customHeight="1">
      <c r="A371" s="64"/>
      <c r="B371" s="185">
        <v>45912</v>
      </c>
      <c r="C371" s="183">
        <v>0</v>
      </c>
      <c r="D371" s="183">
        <v>13105</v>
      </c>
      <c r="E371" s="186" t="s">
        <v>31</v>
      </c>
      <c r="F371" s="187">
        <v>91209</v>
      </c>
      <c r="G371" s="192">
        <v>268.14999999999998</v>
      </c>
      <c r="H371" s="64"/>
      <c r="I371" s="64"/>
    </row>
    <row r="372" spans="1:9" ht="15.75" hidden="1" customHeight="1">
      <c r="A372" s="64"/>
      <c r="B372" s="189"/>
      <c r="C372" s="189"/>
      <c r="D372" s="189"/>
      <c r="E372" s="190" t="s">
        <v>46</v>
      </c>
      <c r="F372" s="190"/>
      <c r="G372" s="191"/>
      <c r="H372" s="64"/>
      <c r="I372" s="64"/>
    </row>
    <row r="373" spans="1:9" ht="15.75" hidden="1" customHeight="1">
      <c r="A373" s="64"/>
      <c r="B373" s="185">
        <v>45912</v>
      </c>
      <c r="C373" s="183">
        <v>0</v>
      </c>
      <c r="D373" s="183">
        <v>13105</v>
      </c>
      <c r="E373" s="186" t="s">
        <v>31</v>
      </c>
      <c r="F373" s="187">
        <v>91210</v>
      </c>
      <c r="G373" s="192">
        <v>223.24</v>
      </c>
      <c r="H373" s="64"/>
      <c r="I373" s="64"/>
    </row>
    <row r="374" spans="1:9" ht="15.75" hidden="1" customHeight="1">
      <c r="A374" s="64"/>
      <c r="B374" s="189"/>
      <c r="C374" s="189"/>
      <c r="D374" s="189"/>
      <c r="E374" s="190" t="s">
        <v>46</v>
      </c>
      <c r="F374" s="190"/>
      <c r="G374" s="191"/>
      <c r="H374" s="64"/>
      <c r="I374" s="64"/>
    </row>
    <row r="375" spans="1:9" ht="15.75" hidden="1" customHeight="1">
      <c r="A375" s="64"/>
      <c r="B375" s="185">
        <v>45912</v>
      </c>
      <c r="C375" s="183">
        <v>0</v>
      </c>
      <c r="D375" s="183">
        <v>13105</v>
      </c>
      <c r="E375" s="186" t="s">
        <v>31</v>
      </c>
      <c r="F375" s="187">
        <v>91211</v>
      </c>
      <c r="G375" s="192">
        <v>360.43</v>
      </c>
      <c r="H375" s="64"/>
      <c r="I375" s="64"/>
    </row>
    <row r="376" spans="1:9" ht="15.75" hidden="1" customHeight="1">
      <c r="A376" s="64"/>
      <c r="B376" s="189"/>
      <c r="C376" s="189"/>
      <c r="D376" s="189"/>
      <c r="E376" s="190" t="s">
        <v>50</v>
      </c>
      <c r="F376" s="190"/>
      <c r="G376" s="191"/>
      <c r="H376" s="64"/>
      <c r="I376" s="64"/>
    </row>
    <row r="377" spans="1:9" ht="15.75" hidden="1" customHeight="1">
      <c r="A377" s="64"/>
      <c r="B377" s="185">
        <v>45912</v>
      </c>
      <c r="C377" s="183">
        <v>0</v>
      </c>
      <c r="D377" s="183">
        <v>13105</v>
      </c>
      <c r="E377" s="186" t="s">
        <v>31</v>
      </c>
      <c r="F377" s="187">
        <v>91212</v>
      </c>
      <c r="G377" s="192">
        <v>202.52</v>
      </c>
      <c r="H377" s="64"/>
      <c r="I377" s="64"/>
    </row>
    <row r="378" spans="1:9" ht="15.75" hidden="1" customHeight="1">
      <c r="A378" s="64"/>
      <c r="B378" s="189"/>
      <c r="C378" s="189"/>
      <c r="D378" s="189"/>
      <c r="E378" s="190" t="s">
        <v>111</v>
      </c>
      <c r="F378" s="190"/>
      <c r="G378" s="191"/>
      <c r="H378" s="64"/>
      <c r="I378" s="64"/>
    </row>
    <row r="379" spans="1:9" ht="15.75" hidden="1" customHeight="1">
      <c r="A379" s="64"/>
      <c r="B379" s="185">
        <v>45912</v>
      </c>
      <c r="C379" s="183">
        <v>0</v>
      </c>
      <c r="D379" s="183">
        <v>0</v>
      </c>
      <c r="E379" s="186" t="s">
        <v>52</v>
      </c>
      <c r="F379" s="187">
        <v>9903</v>
      </c>
      <c r="G379" s="188">
        <v>2195.4499999999998</v>
      </c>
      <c r="H379" s="64"/>
      <c r="I379" s="64"/>
    </row>
    <row r="380" spans="1:9" ht="15.75" hidden="1" customHeight="1">
      <c r="A380" s="64"/>
      <c r="B380" s="189"/>
      <c r="C380" s="189"/>
      <c r="D380" s="189"/>
      <c r="E380" s="190" t="s">
        <v>53</v>
      </c>
      <c r="F380" s="190"/>
      <c r="G380" s="191"/>
      <c r="H380" s="64"/>
      <c r="I380" s="64"/>
    </row>
    <row r="381" spans="1:9" ht="15.75" hidden="1" customHeight="1">
      <c r="A381" s="64"/>
      <c r="B381" s="185">
        <v>45915</v>
      </c>
      <c r="C381" s="183">
        <v>1845</v>
      </c>
      <c r="D381" s="183">
        <v>99021</v>
      </c>
      <c r="E381" s="186" t="s">
        <v>27</v>
      </c>
      <c r="F381" s="187">
        <v>611845000040070</v>
      </c>
      <c r="G381" s="188">
        <v>291.33999999999997</v>
      </c>
      <c r="H381" s="64"/>
      <c r="I381" s="64"/>
    </row>
    <row r="382" spans="1:9" ht="15.75" hidden="1" customHeight="1">
      <c r="A382" s="64"/>
      <c r="B382" s="189"/>
      <c r="C382" s="189"/>
      <c r="D382" s="189"/>
      <c r="E382" s="190" t="s">
        <v>1299</v>
      </c>
      <c r="F382" s="190"/>
      <c r="G382" s="191"/>
      <c r="H382" s="64"/>
      <c r="I382" s="64"/>
    </row>
    <row r="383" spans="1:9" ht="15.75" hidden="1" customHeight="1">
      <c r="A383" s="64"/>
      <c r="B383" s="185">
        <v>45915</v>
      </c>
      <c r="C383" s="183">
        <v>2256</v>
      </c>
      <c r="D383" s="183">
        <v>99021</v>
      </c>
      <c r="E383" s="186" t="s">
        <v>27</v>
      </c>
      <c r="F383" s="187">
        <v>612256000106555</v>
      </c>
      <c r="G383" s="188">
        <v>50</v>
      </c>
      <c r="H383" s="64"/>
      <c r="I383" s="64"/>
    </row>
    <row r="384" spans="1:9" ht="15.75" hidden="1" customHeight="1">
      <c r="A384" s="64"/>
      <c r="B384" s="189"/>
      <c r="C384" s="189"/>
      <c r="D384" s="189"/>
      <c r="E384" s="190" t="s">
        <v>1300</v>
      </c>
      <c r="F384" s="190"/>
      <c r="G384" s="191"/>
      <c r="H384" s="64"/>
      <c r="I384" s="64"/>
    </row>
    <row r="385" spans="1:10" ht="15.75" hidden="1" customHeight="1">
      <c r="A385" s="64"/>
      <c r="B385" s="185">
        <v>45915</v>
      </c>
      <c r="C385" s="183">
        <v>0</v>
      </c>
      <c r="D385" s="183">
        <v>14175</v>
      </c>
      <c r="E385" s="186" t="s">
        <v>62</v>
      </c>
      <c r="F385" s="187">
        <v>394676504</v>
      </c>
      <c r="G385" s="188">
        <v>160</v>
      </c>
      <c r="H385" s="64"/>
      <c r="I385" s="64"/>
    </row>
    <row r="386" spans="1:10" ht="15.75" hidden="1" customHeight="1">
      <c r="A386" s="64"/>
      <c r="B386" s="189"/>
      <c r="C386" s="189"/>
      <c r="D386" s="189"/>
      <c r="E386" s="190" t="s">
        <v>1301</v>
      </c>
      <c r="F386" s="190"/>
      <c r="G386" s="191"/>
      <c r="H386" s="64"/>
      <c r="I386" s="64"/>
    </row>
    <row r="387" spans="1:10" ht="15.75" hidden="1" customHeight="1">
      <c r="A387" s="64"/>
      <c r="B387" s="185">
        <v>45915</v>
      </c>
      <c r="C387" s="183">
        <v>0</v>
      </c>
      <c r="D387" s="183">
        <v>14175</v>
      </c>
      <c r="E387" s="186" t="s">
        <v>62</v>
      </c>
      <c r="F387" s="187">
        <v>394807060</v>
      </c>
      <c r="G387" s="188">
        <v>7584</v>
      </c>
      <c r="H387" s="64"/>
      <c r="I387" s="64"/>
    </row>
    <row r="388" spans="1:10" ht="15.75" hidden="1" customHeight="1">
      <c r="A388" s="64"/>
      <c r="B388" s="189"/>
      <c r="C388" s="189"/>
      <c r="D388" s="189"/>
      <c r="E388" s="190" t="s">
        <v>97</v>
      </c>
      <c r="F388" s="190"/>
      <c r="G388" s="191"/>
      <c r="H388" s="64"/>
      <c r="I388" s="64"/>
    </row>
    <row r="389" spans="1:10" ht="15.75" hidden="1" customHeight="1">
      <c r="A389" s="64"/>
      <c r="B389" s="185">
        <v>45915</v>
      </c>
      <c r="C389" s="183">
        <v>0</v>
      </c>
      <c r="D389" s="183">
        <v>14397</v>
      </c>
      <c r="E389" s="186" t="s">
        <v>57</v>
      </c>
      <c r="F389" s="187">
        <v>151058472242752</v>
      </c>
      <c r="G389" s="188">
        <v>522.97</v>
      </c>
      <c r="H389" s="64"/>
      <c r="I389" s="64"/>
    </row>
    <row r="390" spans="1:10" ht="15.75" hidden="1" customHeight="1">
      <c r="A390" s="64"/>
      <c r="B390" s="189"/>
      <c r="C390" s="189"/>
      <c r="D390" s="189"/>
      <c r="E390" s="190" t="s">
        <v>1302</v>
      </c>
      <c r="F390" s="190"/>
      <c r="G390" s="191"/>
      <c r="H390" s="64"/>
      <c r="I390" s="64"/>
    </row>
    <row r="391" spans="1:10" ht="15.75" hidden="1" customHeight="1">
      <c r="A391" s="64"/>
      <c r="B391" s="185">
        <v>45915</v>
      </c>
      <c r="C391" s="183">
        <v>0</v>
      </c>
      <c r="D391" s="183">
        <v>14397</v>
      </c>
      <c r="E391" s="186" t="s">
        <v>57</v>
      </c>
      <c r="F391" s="187">
        <v>151629363056762</v>
      </c>
      <c r="G391" s="188">
        <v>12717.39</v>
      </c>
      <c r="H391" s="64"/>
      <c r="I391" s="64"/>
    </row>
    <row r="392" spans="1:10" ht="15.75" hidden="1" customHeight="1">
      <c r="A392" s="64"/>
      <c r="B392" s="189"/>
      <c r="C392" s="189"/>
      <c r="D392" s="189"/>
      <c r="E392" s="190" t="s">
        <v>1303</v>
      </c>
      <c r="F392" s="190"/>
      <c r="G392" s="191"/>
      <c r="H392" s="64"/>
      <c r="I392" s="64"/>
    </row>
    <row r="393" spans="1:10" ht="15.75" hidden="1" customHeight="1">
      <c r="A393" s="64"/>
      <c r="B393" s="185">
        <v>45915</v>
      </c>
      <c r="C393" s="183">
        <v>0</v>
      </c>
      <c r="D393" s="183">
        <v>14397</v>
      </c>
      <c r="E393" s="186" t="s">
        <v>57</v>
      </c>
      <c r="F393" s="187">
        <v>151654163944981</v>
      </c>
      <c r="G393" s="188">
        <v>620.02</v>
      </c>
      <c r="H393" s="64"/>
      <c r="I393" s="64"/>
    </row>
    <row r="394" spans="1:10" ht="15.75" hidden="1" customHeight="1">
      <c r="A394" s="64"/>
      <c r="B394" s="189"/>
      <c r="C394" s="189"/>
      <c r="D394" s="189"/>
      <c r="E394" s="190" t="s">
        <v>1304</v>
      </c>
      <c r="F394" s="190"/>
      <c r="G394" s="191"/>
      <c r="H394" s="64"/>
      <c r="I394" s="64"/>
    </row>
    <row r="395" spans="1:10" ht="15.75" customHeight="1">
      <c r="A395" s="179" t="s">
        <v>140</v>
      </c>
      <c r="B395" s="185">
        <v>45915</v>
      </c>
      <c r="C395" s="183">
        <v>0</v>
      </c>
      <c r="D395" s="183">
        <v>14138</v>
      </c>
      <c r="E395" s="186" t="s">
        <v>141</v>
      </c>
      <c r="F395" s="187">
        <v>202509120024577</v>
      </c>
      <c r="G395" s="188">
        <v>632.32000000000005</v>
      </c>
      <c r="H395" s="64" t="s">
        <v>1305</v>
      </c>
      <c r="I395" s="64" t="s">
        <v>419</v>
      </c>
    </row>
    <row r="396" spans="1:10" ht="15.75" hidden="1" customHeight="1">
      <c r="A396" s="64"/>
      <c r="B396" s="189"/>
      <c r="C396" s="189"/>
      <c r="D396" s="189"/>
      <c r="E396" s="190" t="s">
        <v>143</v>
      </c>
      <c r="F396" s="190"/>
      <c r="G396" s="191"/>
      <c r="H396" s="64"/>
      <c r="I396" s="64"/>
    </row>
    <row r="397" spans="1:10" ht="15.75" customHeight="1">
      <c r="A397" s="179" t="s">
        <v>140</v>
      </c>
      <c r="B397" s="185">
        <v>45915</v>
      </c>
      <c r="C397" s="183">
        <v>0</v>
      </c>
      <c r="D397" s="183">
        <v>14138</v>
      </c>
      <c r="E397" s="186" t="s">
        <v>141</v>
      </c>
      <c r="F397" s="187">
        <v>202509120024579</v>
      </c>
      <c r="G397" s="188">
        <v>356.17</v>
      </c>
      <c r="H397" s="79" t="s">
        <v>1306</v>
      </c>
      <c r="I397" s="64" t="s">
        <v>419</v>
      </c>
    </row>
    <row r="398" spans="1:10" ht="15.75" hidden="1" customHeight="1">
      <c r="A398" s="64"/>
      <c r="B398" s="189"/>
      <c r="C398" s="189"/>
      <c r="D398" s="189"/>
      <c r="E398" s="190" t="s">
        <v>143</v>
      </c>
      <c r="F398" s="190"/>
      <c r="G398" s="191"/>
      <c r="H398" s="64"/>
      <c r="I398" s="64"/>
    </row>
    <row r="399" spans="1:10" ht="15.75" customHeight="1">
      <c r="A399" s="173" t="s">
        <v>423</v>
      </c>
      <c r="B399" s="194">
        <v>45915</v>
      </c>
      <c r="C399" s="195">
        <v>0</v>
      </c>
      <c r="D399" s="195">
        <v>14138</v>
      </c>
      <c r="E399" s="196" t="s">
        <v>141</v>
      </c>
      <c r="F399" s="197">
        <v>202509120024590</v>
      </c>
      <c r="G399" s="198">
        <v>685.56</v>
      </c>
      <c r="H399" s="100" t="s">
        <v>1307</v>
      </c>
      <c r="I399" s="100" t="s">
        <v>428</v>
      </c>
      <c r="J399" s="100" t="s">
        <v>1308</v>
      </c>
    </row>
    <row r="400" spans="1:10" ht="15.75" hidden="1" customHeight="1">
      <c r="A400" s="64"/>
      <c r="B400" s="189"/>
      <c r="C400" s="189"/>
      <c r="D400" s="189"/>
      <c r="E400" s="190" t="s">
        <v>143</v>
      </c>
      <c r="F400" s="190"/>
      <c r="G400" s="191"/>
      <c r="H400" s="64"/>
      <c r="I400" s="64"/>
    </row>
    <row r="401" spans="1:9" ht="15.75" hidden="1" customHeight="1">
      <c r="A401" s="64"/>
      <c r="B401" s="185">
        <v>45915</v>
      </c>
      <c r="C401" s="183">
        <v>1533</v>
      </c>
      <c r="D401" s="183">
        <v>99008</v>
      </c>
      <c r="E401" s="186" t="s">
        <v>29</v>
      </c>
      <c r="F401" s="187">
        <v>827350</v>
      </c>
      <c r="G401" s="192">
        <v>191.44</v>
      </c>
      <c r="H401" s="64"/>
      <c r="I401" s="64"/>
    </row>
    <row r="402" spans="1:9" ht="15.75" hidden="1" customHeight="1">
      <c r="A402" s="64"/>
      <c r="B402" s="189"/>
      <c r="C402" s="189"/>
      <c r="D402" s="189"/>
      <c r="E402" s="190" t="s">
        <v>1309</v>
      </c>
      <c r="F402" s="190"/>
      <c r="G402" s="191"/>
      <c r="H402" s="64"/>
      <c r="I402" s="64"/>
    </row>
    <row r="403" spans="1:9" ht="15.75" hidden="1" customHeight="1">
      <c r="A403" s="64"/>
      <c r="B403" s="185">
        <v>45915</v>
      </c>
      <c r="C403" s="183">
        <v>0</v>
      </c>
      <c r="D403" s="183">
        <v>13105</v>
      </c>
      <c r="E403" s="186" t="s">
        <v>80</v>
      </c>
      <c r="F403" s="187">
        <v>91501</v>
      </c>
      <c r="G403" s="192">
        <v>601.48</v>
      </c>
      <c r="H403" s="64"/>
      <c r="I403" s="64"/>
    </row>
    <row r="404" spans="1:9" ht="15.75" hidden="1" customHeight="1">
      <c r="A404" s="64"/>
      <c r="B404" s="189"/>
      <c r="C404" s="189"/>
      <c r="D404" s="189"/>
      <c r="E404" s="190" t="s">
        <v>81</v>
      </c>
      <c r="F404" s="190"/>
      <c r="G404" s="191"/>
      <c r="H404" s="64"/>
      <c r="I404" s="64"/>
    </row>
    <row r="405" spans="1:9" ht="15.75" hidden="1" customHeight="1">
      <c r="A405" s="64"/>
      <c r="B405" s="185">
        <v>45915</v>
      </c>
      <c r="C405" s="183">
        <v>0</v>
      </c>
      <c r="D405" s="183">
        <v>13105</v>
      </c>
      <c r="E405" s="186" t="s">
        <v>80</v>
      </c>
      <c r="F405" s="187">
        <v>91502</v>
      </c>
      <c r="G405" s="192">
        <v>9956.1200000000008</v>
      </c>
      <c r="H405" s="64"/>
      <c r="I405" s="64"/>
    </row>
    <row r="406" spans="1:9" ht="15.75" hidden="1" customHeight="1">
      <c r="A406" s="64"/>
      <c r="B406" s="189"/>
      <c r="C406" s="189"/>
      <c r="D406" s="189"/>
      <c r="E406" s="190" t="s">
        <v>81</v>
      </c>
      <c r="F406" s="190"/>
      <c r="G406" s="191"/>
      <c r="H406" s="64"/>
      <c r="I406" s="64"/>
    </row>
    <row r="407" spans="1:9" ht="15.75" hidden="1" customHeight="1">
      <c r="A407" s="64"/>
      <c r="B407" s="185">
        <v>45915</v>
      </c>
      <c r="C407" s="183">
        <v>0</v>
      </c>
      <c r="D407" s="183">
        <v>13105</v>
      </c>
      <c r="E407" s="186" t="s">
        <v>80</v>
      </c>
      <c r="F407" s="187">
        <v>91503</v>
      </c>
      <c r="G407" s="192">
        <v>319.97000000000003</v>
      </c>
      <c r="H407" s="64"/>
      <c r="I407" s="64"/>
    </row>
    <row r="408" spans="1:9" ht="15.75" hidden="1" customHeight="1">
      <c r="A408" s="64"/>
      <c r="B408" s="189"/>
      <c r="C408" s="189"/>
      <c r="D408" s="189"/>
      <c r="E408" s="190" t="s">
        <v>81</v>
      </c>
      <c r="F408" s="190"/>
      <c r="G408" s="191"/>
      <c r="H408" s="64"/>
      <c r="I408" s="64"/>
    </row>
    <row r="409" spans="1:9" ht="15.75" hidden="1" customHeight="1">
      <c r="A409" s="64"/>
      <c r="B409" s="185">
        <v>45915</v>
      </c>
      <c r="C409" s="183">
        <v>0</v>
      </c>
      <c r="D409" s="183">
        <v>13105</v>
      </c>
      <c r="E409" s="186" t="s">
        <v>31</v>
      </c>
      <c r="F409" s="187">
        <v>91504</v>
      </c>
      <c r="G409" s="192">
        <v>2077.33</v>
      </c>
      <c r="H409" s="64"/>
      <c r="I409" s="64"/>
    </row>
    <row r="410" spans="1:9" ht="15.75" hidden="1" customHeight="1">
      <c r="A410" s="64"/>
      <c r="B410" s="189"/>
      <c r="C410" s="189"/>
      <c r="D410" s="189"/>
      <c r="E410" s="190" t="s">
        <v>32</v>
      </c>
      <c r="F410" s="190"/>
      <c r="G410" s="191"/>
      <c r="H410" s="64"/>
      <c r="I410" s="64"/>
    </row>
    <row r="411" spans="1:9" ht="15.75" hidden="1" customHeight="1">
      <c r="A411" s="64"/>
      <c r="B411" s="185">
        <v>45915</v>
      </c>
      <c r="C411" s="183">
        <v>0</v>
      </c>
      <c r="D411" s="183">
        <v>13105</v>
      </c>
      <c r="E411" s="186" t="s">
        <v>31</v>
      </c>
      <c r="F411" s="187">
        <v>91505</v>
      </c>
      <c r="G411" s="192">
        <v>452.88</v>
      </c>
      <c r="H411" s="64"/>
      <c r="I411" s="64"/>
    </row>
    <row r="412" spans="1:9" ht="15.75" hidden="1" customHeight="1">
      <c r="A412" s="64"/>
      <c r="B412" s="189"/>
      <c r="C412" s="189"/>
      <c r="D412" s="189"/>
      <c r="E412" s="190" t="s">
        <v>41</v>
      </c>
      <c r="F412" s="190"/>
      <c r="G412" s="191"/>
      <c r="H412" s="64"/>
      <c r="I412" s="64"/>
    </row>
    <row r="413" spans="1:9" ht="15.75" hidden="1" customHeight="1">
      <c r="A413" s="64"/>
      <c r="B413" s="185">
        <v>45915</v>
      </c>
      <c r="C413" s="183">
        <v>0</v>
      </c>
      <c r="D413" s="183">
        <v>13105</v>
      </c>
      <c r="E413" s="186" t="s">
        <v>31</v>
      </c>
      <c r="F413" s="187">
        <v>91506</v>
      </c>
      <c r="G413" s="192">
        <v>199.9</v>
      </c>
      <c r="H413" s="64"/>
      <c r="I413" s="64"/>
    </row>
    <row r="414" spans="1:9" ht="15.75" hidden="1" customHeight="1">
      <c r="A414" s="64"/>
      <c r="B414" s="189"/>
      <c r="C414" s="189"/>
      <c r="D414" s="189"/>
      <c r="E414" s="190" t="s">
        <v>266</v>
      </c>
      <c r="F414" s="190"/>
      <c r="G414" s="191"/>
      <c r="H414" s="64"/>
      <c r="I414" s="64"/>
    </row>
    <row r="415" spans="1:9" ht="15.75" hidden="1" customHeight="1">
      <c r="A415" s="64"/>
      <c r="B415" s="185">
        <v>45915</v>
      </c>
      <c r="C415" s="183">
        <v>0</v>
      </c>
      <c r="D415" s="183">
        <v>13105</v>
      </c>
      <c r="E415" s="186" t="s">
        <v>31</v>
      </c>
      <c r="F415" s="187">
        <v>91507</v>
      </c>
      <c r="G415" s="192">
        <v>371.1</v>
      </c>
      <c r="H415" s="64"/>
      <c r="I415" s="64"/>
    </row>
    <row r="416" spans="1:9" ht="15.75" hidden="1" customHeight="1">
      <c r="A416" s="64"/>
      <c r="B416" s="189"/>
      <c r="C416" s="189"/>
      <c r="D416" s="189"/>
      <c r="E416" s="190" t="s">
        <v>183</v>
      </c>
      <c r="F416" s="190"/>
      <c r="G416" s="191"/>
      <c r="H416" s="64"/>
      <c r="I416" s="64"/>
    </row>
    <row r="417" spans="1:9" ht="15.75" hidden="1" customHeight="1">
      <c r="A417" s="64"/>
      <c r="B417" s="185">
        <v>45915</v>
      </c>
      <c r="C417" s="183">
        <v>0</v>
      </c>
      <c r="D417" s="183">
        <v>13105</v>
      </c>
      <c r="E417" s="186" t="s">
        <v>31</v>
      </c>
      <c r="F417" s="187">
        <v>91508</v>
      </c>
      <c r="G417" s="192">
        <v>534.20000000000005</v>
      </c>
      <c r="H417" s="64"/>
      <c r="I417" s="64"/>
    </row>
    <row r="418" spans="1:9" ht="15.75" hidden="1" customHeight="1">
      <c r="A418" s="64"/>
      <c r="B418" s="189"/>
      <c r="C418" s="189"/>
      <c r="D418" s="189"/>
      <c r="E418" s="190" t="s">
        <v>179</v>
      </c>
      <c r="F418" s="190"/>
      <c r="G418" s="191"/>
      <c r="H418" s="64"/>
      <c r="I418" s="64"/>
    </row>
    <row r="419" spans="1:9" ht="15.75" hidden="1" customHeight="1">
      <c r="A419" s="64"/>
      <c r="B419" s="185">
        <v>45915</v>
      </c>
      <c r="C419" s="183">
        <v>0</v>
      </c>
      <c r="D419" s="183">
        <v>13105</v>
      </c>
      <c r="E419" s="186" t="s">
        <v>31</v>
      </c>
      <c r="F419" s="187">
        <v>91509</v>
      </c>
      <c r="G419" s="192">
        <v>3850</v>
      </c>
      <c r="H419" s="64"/>
      <c r="I419" s="64"/>
    </row>
    <row r="420" spans="1:9" ht="15.75" hidden="1" customHeight="1">
      <c r="A420" s="64"/>
      <c r="B420" s="189"/>
      <c r="C420" s="189"/>
      <c r="D420" s="189"/>
      <c r="E420" s="190" t="s">
        <v>1109</v>
      </c>
      <c r="F420" s="190"/>
      <c r="G420" s="191"/>
      <c r="H420" s="64"/>
      <c r="I420" s="64"/>
    </row>
    <row r="421" spans="1:9" ht="15.75" hidden="1" customHeight="1">
      <c r="A421" s="64"/>
      <c r="B421" s="185">
        <v>45915</v>
      </c>
      <c r="C421" s="183">
        <v>0</v>
      </c>
      <c r="D421" s="183">
        <v>13105</v>
      </c>
      <c r="E421" s="186" t="s">
        <v>31</v>
      </c>
      <c r="F421" s="187">
        <v>91510</v>
      </c>
      <c r="G421" s="192">
        <v>306.5</v>
      </c>
      <c r="H421" s="64"/>
      <c r="I421" s="64"/>
    </row>
    <row r="422" spans="1:9" ht="15.75" hidden="1" customHeight="1">
      <c r="A422" s="64"/>
      <c r="B422" s="189"/>
      <c r="C422" s="189"/>
      <c r="D422" s="189"/>
      <c r="E422" s="190" t="s">
        <v>340</v>
      </c>
      <c r="F422" s="190"/>
      <c r="G422" s="191"/>
      <c r="H422" s="64"/>
      <c r="I422" s="64"/>
    </row>
    <row r="423" spans="1:9" ht="15.75" hidden="1" customHeight="1">
      <c r="A423" s="64"/>
      <c r="B423" s="185">
        <v>45915</v>
      </c>
      <c r="C423" s="183">
        <v>0</v>
      </c>
      <c r="D423" s="183">
        <v>13105</v>
      </c>
      <c r="E423" s="186" t="s">
        <v>31</v>
      </c>
      <c r="F423" s="187">
        <v>91511</v>
      </c>
      <c r="G423" s="192">
        <v>237.32</v>
      </c>
      <c r="H423" s="64"/>
      <c r="I423" s="64"/>
    </row>
    <row r="424" spans="1:9" ht="15.75" hidden="1" customHeight="1">
      <c r="A424" s="64"/>
      <c r="B424" s="189"/>
      <c r="C424" s="189"/>
      <c r="D424" s="189"/>
      <c r="E424" s="190" t="s">
        <v>111</v>
      </c>
      <c r="F424" s="190"/>
      <c r="G424" s="191"/>
      <c r="H424" s="64"/>
      <c r="I424" s="64"/>
    </row>
    <row r="425" spans="1:9" ht="15.75" hidden="1" customHeight="1">
      <c r="A425" s="64"/>
      <c r="B425" s="185">
        <v>45915</v>
      </c>
      <c r="C425" s="183">
        <v>0</v>
      </c>
      <c r="D425" s="183">
        <v>13105</v>
      </c>
      <c r="E425" s="186" t="s">
        <v>31</v>
      </c>
      <c r="F425" s="187">
        <v>91512</v>
      </c>
      <c r="G425" s="192">
        <v>268.74</v>
      </c>
      <c r="H425" s="64"/>
      <c r="I425" s="64"/>
    </row>
    <row r="426" spans="1:9" ht="15.75" hidden="1" customHeight="1">
      <c r="A426" s="64"/>
      <c r="B426" s="189"/>
      <c r="C426" s="189"/>
      <c r="D426" s="189"/>
      <c r="E426" s="190" t="s">
        <v>111</v>
      </c>
      <c r="F426" s="190"/>
      <c r="G426" s="191"/>
      <c r="H426" s="64"/>
      <c r="I426" s="64"/>
    </row>
    <row r="427" spans="1:9" ht="15.75" hidden="1" customHeight="1">
      <c r="A427" s="64"/>
      <c r="B427" s="185">
        <v>45915</v>
      </c>
      <c r="C427" s="183">
        <v>0</v>
      </c>
      <c r="D427" s="183">
        <v>13105</v>
      </c>
      <c r="E427" s="186" t="s">
        <v>31</v>
      </c>
      <c r="F427" s="187">
        <v>91513</v>
      </c>
      <c r="G427" s="192">
        <v>286.17</v>
      </c>
      <c r="H427" s="64"/>
      <c r="I427" s="64"/>
    </row>
    <row r="428" spans="1:9" ht="15.75" hidden="1" customHeight="1">
      <c r="A428" s="64"/>
      <c r="B428" s="189"/>
      <c r="C428" s="189"/>
      <c r="D428" s="189"/>
      <c r="E428" s="190" t="s">
        <v>45</v>
      </c>
      <c r="F428" s="190"/>
      <c r="G428" s="191"/>
      <c r="H428" s="64"/>
      <c r="I428" s="64"/>
    </row>
    <row r="429" spans="1:9" ht="15.75" hidden="1" customHeight="1">
      <c r="A429" s="64"/>
      <c r="B429" s="185">
        <v>45915</v>
      </c>
      <c r="C429" s="183">
        <v>0</v>
      </c>
      <c r="D429" s="183">
        <v>13105</v>
      </c>
      <c r="E429" s="186" t="s">
        <v>31</v>
      </c>
      <c r="F429" s="187">
        <v>91514</v>
      </c>
      <c r="G429" s="192">
        <v>1032.1199999999999</v>
      </c>
      <c r="H429" s="64"/>
      <c r="I429" s="64"/>
    </row>
    <row r="430" spans="1:9" ht="15.75" hidden="1" customHeight="1">
      <c r="A430" s="64"/>
      <c r="B430" s="189"/>
      <c r="C430" s="189"/>
      <c r="D430" s="189"/>
      <c r="E430" s="190" t="s">
        <v>50</v>
      </c>
      <c r="F430" s="190"/>
      <c r="G430" s="191"/>
      <c r="H430" s="64"/>
      <c r="I430" s="64"/>
    </row>
    <row r="431" spans="1:9" ht="15.75" hidden="1" customHeight="1">
      <c r="A431" s="64"/>
      <c r="B431" s="185">
        <v>45915</v>
      </c>
      <c r="C431" s="183">
        <v>0</v>
      </c>
      <c r="D431" s="183">
        <v>13105</v>
      </c>
      <c r="E431" s="186" t="s">
        <v>31</v>
      </c>
      <c r="F431" s="187">
        <v>91515</v>
      </c>
      <c r="G431" s="192">
        <v>165.2</v>
      </c>
      <c r="H431" s="64"/>
      <c r="I431" s="64"/>
    </row>
    <row r="432" spans="1:9" ht="15.75" hidden="1" customHeight="1">
      <c r="A432" s="64"/>
      <c r="B432" s="189"/>
      <c r="C432" s="189"/>
      <c r="D432" s="189"/>
      <c r="E432" s="190" t="s">
        <v>47</v>
      </c>
      <c r="F432" s="190"/>
      <c r="G432" s="191"/>
      <c r="H432" s="64"/>
      <c r="I432" s="64"/>
    </row>
    <row r="433" spans="1:9" ht="15.75" hidden="1" customHeight="1">
      <c r="A433" s="64"/>
      <c r="B433" s="185">
        <v>45915</v>
      </c>
      <c r="C433" s="183">
        <v>0</v>
      </c>
      <c r="D433" s="183">
        <v>13105</v>
      </c>
      <c r="E433" s="186" t="s">
        <v>31</v>
      </c>
      <c r="F433" s="187">
        <v>91516</v>
      </c>
      <c r="G433" s="192">
        <v>177.89</v>
      </c>
      <c r="H433" s="64"/>
      <c r="I433" s="64"/>
    </row>
    <row r="434" spans="1:9" ht="15.75" hidden="1" customHeight="1">
      <c r="A434" s="64"/>
      <c r="B434" s="189"/>
      <c r="C434" s="189"/>
      <c r="D434" s="189"/>
      <c r="E434" s="190" t="s">
        <v>46</v>
      </c>
      <c r="F434" s="190"/>
      <c r="G434" s="191"/>
      <c r="H434" s="64"/>
      <c r="I434" s="64"/>
    </row>
    <row r="435" spans="1:9" ht="15.75" hidden="1" customHeight="1">
      <c r="A435" s="64"/>
      <c r="B435" s="185">
        <v>45915</v>
      </c>
      <c r="C435" s="183">
        <v>0</v>
      </c>
      <c r="D435" s="183">
        <v>0</v>
      </c>
      <c r="E435" s="186" t="s">
        <v>59</v>
      </c>
      <c r="F435" s="187">
        <v>9903</v>
      </c>
      <c r="G435" s="192">
        <v>2591.41</v>
      </c>
      <c r="H435" s="64"/>
      <c r="I435" s="64"/>
    </row>
    <row r="436" spans="1:9" ht="15.75" hidden="1" customHeight="1">
      <c r="A436" s="64"/>
      <c r="B436" s="189"/>
      <c r="C436" s="189"/>
      <c r="D436" s="189"/>
      <c r="E436" s="190" t="s">
        <v>53</v>
      </c>
      <c r="F436" s="190"/>
      <c r="G436" s="191"/>
      <c r="H436" s="64"/>
      <c r="I436" s="64"/>
    </row>
    <row r="437" spans="1:9" ht="15.75" hidden="1" customHeight="1">
      <c r="A437" s="64"/>
      <c r="B437" s="185">
        <v>45916</v>
      </c>
      <c r="C437" s="183">
        <v>0</v>
      </c>
      <c r="D437" s="183">
        <v>14175</v>
      </c>
      <c r="E437" s="186" t="s">
        <v>62</v>
      </c>
      <c r="F437" s="187">
        <v>394883691</v>
      </c>
      <c r="G437" s="188">
        <v>8000</v>
      </c>
      <c r="H437" s="64"/>
      <c r="I437" s="64"/>
    </row>
    <row r="438" spans="1:9" ht="15.75" hidden="1" customHeight="1">
      <c r="A438" s="64"/>
      <c r="B438" s="189"/>
      <c r="C438" s="189"/>
      <c r="D438" s="189"/>
      <c r="E438" s="190" t="s">
        <v>97</v>
      </c>
      <c r="F438" s="190"/>
      <c r="G438" s="191"/>
      <c r="H438" s="64"/>
      <c r="I438" s="64"/>
    </row>
    <row r="439" spans="1:9" ht="15.75" hidden="1" customHeight="1">
      <c r="A439" s="64"/>
      <c r="B439" s="185">
        <v>45916</v>
      </c>
      <c r="C439" s="183">
        <v>0</v>
      </c>
      <c r="D439" s="183">
        <v>14397</v>
      </c>
      <c r="E439" s="186" t="s">
        <v>57</v>
      </c>
      <c r="F439" s="187">
        <v>161507440404252</v>
      </c>
      <c r="G439" s="188">
        <v>622.88</v>
      </c>
      <c r="H439" s="64"/>
      <c r="I439" s="64"/>
    </row>
    <row r="440" spans="1:9" ht="15.75" hidden="1" customHeight="1">
      <c r="A440" s="64"/>
      <c r="B440" s="189"/>
      <c r="C440" s="189"/>
      <c r="D440" s="189"/>
      <c r="E440" s="190" t="s">
        <v>1310</v>
      </c>
      <c r="F440" s="190"/>
      <c r="G440" s="191"/>
      <c r="H440" s="64"/>
      <c r="I440" s="64"/>
    </row>
    <row r="441" spans="1:9" ht="15.75" hidden="1" customHeight="1">
      <c r="A441" s="64"/>
      <c r="B441" s="185">
        <v>45916</v>
      </c>
      <c r="C441" s="183">
        <v>0</v>
      </c>
      <c r="D441" s="183">
        <v>14397</v>
      </c>
      <c r="E441" s="186" t="s">
        <v>57</v>
      </c>
      <c r="F441" s="187">
        <v>161604554175792</v>
      </c>
      <c r="G441" s="188">
        <v>384.37</v>
      </c>
      <c r="H441" s="64"/>
      <c r="I441" s="64"/>
    </row>
    <row r="442" spans="1:9" ht="15.75" hidden="1" customHeight="1">
      <c r="A442" s="64"/>
      <c r="B442" s="189"/>
      <c r="C442" s="189"/>
      <c r="D442" s="189"/>
      <c r="E442" s="190" t="s">
        <v>1311</v>
      </c>
      <c r="F442" s="190"/>
      <c r="G442" s="191"/>
      <c r="H442" s="64"/>
      <c r="I442" s="64"/>
    </row>
    <row r="443" spans="1:9" ht="15.75" hidden="1" customHeight="1">
      <c r="A443" s="64"/>
      <c r="B443" s="185">
        <v>45916</v>
      </c>
      <c r="C443" s="183">
        <v>0</v>
      </c>
      <c r="D443" s="183">
        <v>14397</v>
      </c>
      <c r="E443" s="186" t="s">
        <v>57</v>
      </c>
      <c r="F443" s="187">
        <v>161704523387702</v>
      </c>
      <c r="G443" s="188">
        <v>245.45</v>
      </c>
      <c r="H443" s="64"/>
      <c r="I443" s="64"/>
    </row>
    <row r="444" spans="1:9" ht="15.75" hidden="1" customHeight="1">
      <c r="A444" s="64"/>
      <c r="B444" s="189"/>
      <c r="C444" s="189"/>
      <c r="D444" s="189"/>
      <c r="E444" s="190" t="s">
        <v>1312</v>
      </c>
      <c r="F444" s="190"/>
      <c r="G444" s="191"/>
      <c r="H444" s="64"/>
      <c r="I444" s="64"/>
    </row>
    <row r="445" spans="1:9" ht="15.75" customHeight="1">
      <c r="A445" s="179" t="s">
        <v>140</v>
      </c>
      <c r="B445" s="185">
        <v>45916</v>
      </c>
      <c r="C445" s="183">
        <v>0</v>
      </c>
      <c r="D445" s="183">
        <v>14138</v>
      </c>
      <c r="E445" s="186" t="s">
        <v>141</v>
      </c>
      <c r="F445" s="187">
        <v>202509150002241</v>
      </c>
      <c r="G445" s="188">
        <v>244.23</v>
      </c>
      <c r="H445" s="79" t="s">
        <v>1313</v>
      </c>
      <c r="I445" s="64" t="s">
        <v>419</v>
      </c>
    </row>
    <row r="446" spans="1:9" ht="15.75" hidden="1" customHeight="1">
      <c r="A446" s="64"/>
      <c r="B446" s="189"/>
      <c r="C446" s="189"/>
      <c r="D446" s="189"/>
      <c r="E446" s="190" t="s">
        <v>143</v>
      </c>
      <c r="F446" s="190"/>
      <c r="G446" s="191"/>
      <c r="H446" s="64"/>
      <c r="I446" s="64"/>
    </row>
    <row r="447" spans="1:9" ht="15.75" customHeight="1">
      <c r="A447" s="179" t="s">
        <v>140</v>
      </c>
      <c r="B447" s="185">
        <v>45916</v>
      </c>
      <c r="C447" s="183">
        <v>0</v>
      </c>
      <c r="D447" s="183">
        <v>14138</v>
      </c>
      <c r="E447" s="186" t="s">
        <v>141</v>
      </c>
      <c r="F447" s="187">
        <v>202509150002243</v>
      </c>
      <c r="G447" s="188">
        <v>609.28</v>
      </c>
      <c r="H447" s="64" t="s">
        <v>1314</v>
      </c>
      <c r="I447" s="64" t="s">
        <v>419</v>
      </c>
    </row>
    <row r="448" spans="1:9" ht="15.75" hidden="1" customHeight="1">
      <c r="A448" s="64"/>
      <c r="B448" s="189"/>
      <c r="C448" s="189"/>
      <c r="D448" s="189"/>
      <c r="E448" s="190" t="s">
        <v>143</v>
      </c>
      <c r="F448" s="190"/>
      <c r="G448" s="191"/>
      <c r="H448" s="64"/>
      <c r="I448" s="64"/>
    </row>
    <row r="449" spans="1:9" ht="15.75" customHeight="1">
      <c r="A449" s="179" t="s">
        <v>140</v>
      </c>
      <c r="B449" s="185">
        <v>45916</v>
      </c>
      <c r="C449" s="183">
        <v>0</v>
      </c>
      <c r="D449" s="183">
        <v>14138</v>
      </c>
      <c r="E449" s="186" t="s">
        <v>141</v>
      </c>
      <c r="F449" s="187">
        <v>202509150002245</v>
      </c>
      <c r="G449" s="188">
        <v>609.28</v>
      </c>
      <c r="H449" s="79" t="s">
        <v>1315</v>
      </c>
      <c r="I449" s="64" t="s">
        <v>419</v>
      </c>
    </row>
    <row r="450" spans="1:9" ht="15.75" hidden="1" customHeight="1">
      <c r="A450" s="64"/>
      <c r="B450" s="189"/>
      <c r="C450" s="189"/>
      <c r="D450" s="189"/>
      <c r="E450" s="190" t="s">
        <v>143</v>
      </c>
      <c r="F450" s="190"/>
      <c r="G450" s="191"/>
      <c r="H450" s="64"/>
      <c r="I450" s="64"/>
    </row>
    <row r="451" spans="1:9" ht="15.75" customHeight="1">
      <c r="A451" s="179" t="s">
        <v>140</v>
      </c>
      <c r="B451" s="185">
        <v>45916</v>
      </c>
      <c r="C451" s="183">
        <v>0</v>
      </c>
      <c r="D451" s="183">
        <v>14138</v>
      </c>
      <c r="E451" s="186" t="s">
        <v>141</v>
      </c>
      <c r="F451" s="187">
        <v>202509150002246</v>
      </c>
      <c r="G451" s="188">
        <v>50.88</v>
      </c>
      <c r="H451" s="64" t="s">
        <v>1316</v>
      </c>
      <c r="I451" s="64" t="s">
        <v>419</v>
      </c>
    </row>
    <row r="452" spans="1:9" ht="15.75" hidden="1" customHeight="1">
      <c r="A452" s="64"/>
      <c r="B452" s="189"/>
      <c r="C452" s="189"/>
      <c r="D452" s="189"/>
      <c r="E452" s="190" t="s">
        <v>143</v>
      </c>
      <c r="F452" s="190"/>
      <c r="G452" s="191"/>
      <c r="H452" s="64"/>
      <c r="I452" s="64"/>
    </row>
    <row r="453" spans="1:9" ht="15.75" hidden="1" customHeight="1">
      <c r="A453" s="64"/>
      <c r="B453" s="185">
        <v>45916</v>
      </c>
      <c r="C453" s="183">
        <v>1533</v>
      </c>
      <c r="D453" s="183">
        <v>99008</v>
      </c>
      <c r="E453" s="186" t="s">
        <v>29</v>
      </c>
      <c r="F453" s="187">
        <v>790472</v>
      </c>
      <c r="G453" s="192">
        <v>150.75</v>
      </c>
      <c r="H453" s="64"/>
      <c r="I453" s="64"/>
    </row>
    <row r="454" spans="1:9" ht="15.75" hidden="1" customHeight="1">
      <c r="A454" s="64"/>
      <c r="B454" s="189"/>
      <c r="C454" s="189"/>
      <c r="D454" s="189"/>
      <c r="E454" s="190" t="s">
        <v>1317</v>
      </c>
      <c r="F454" s="190"/>
      <c r="G454" s="191"/>
      <c r="H454" s="64"/>
      <c r="I454" s="64"/>
    </row>
    <row r="455" spans="1:9" ht="15.75" hidden="1" customHeight="1">
      <c r="A455" s="64"/>
      <c r="B455" s="185">
        <v>45916</v>
      </c>
      <c r="C455" s="183">
        <v>0</v>
      </c>
      <c r="D455" s="183">
        <v>13105</v>
      </c>
      <c r="E455" s="186" t="s">
        <v>31</v>
      </c>
      <c r="F455" s="187">
        <v>91601</v>
      </c>
      <c r="G455" s="192">
        <v>307</v>
      </c>
      <c r="H455" s="64"/>
      <c r="I455" s="64"/>
    </row>
    <row r="456" spans="1:9" ht="15.75" hidden="1" customHeight="1">
      <c r="A456" s="64"/>
      <c r="B456" s="189"/>
      <c r="C456" s="189"/>
      <c r="D456" s="189"/>
      <c r="E456" s="190" t="s">
        <v>41</v>
      </c>
      <c r="F456" s="190"/>
      <c r="G456" s="191"/>
      <c r="H456" s="64"/>
      <c r="I456" s="64"/>
    </row>
    <row r="457" spans="1:9" ht="15.75" hidden="1" customHeight="1">
      <c r="A457" s="64"/>
      <c r="B457" s="185">
        <v>45916</v>
      </c>
      <c r="C457" s="183">
        <v>0</v>
      </c>
      <c r="D457" s="183">
        <v>13105</v>
      </c>
      <c r="E457" s="186" t="s">
        <v>31</v>
      </c>
      <c r="F457" s="187">
        <v>91602</v>
      </c>
      <c r="G457" s="192">
        <v>2361.62</v>
      </c>
      <c r="H457" s="64"/>
      <c r="I457" s="64"/>
    </row>
    <row r="458" spans="1:9" ht="15.75" hidden="1" customHeight="1">
      <c r="A458" s="64"/>
      <c r="B458" s="189"/>
      <c r="C458" s="189"/>
      <c r="D458" s="189"/>
      <c r="E458" s="190" t="s">
        <v>65</v>
      </c>
      <c r="F458" s="190"/>
      <c r="G458" s="191"/>
      <c r="H458" s="64"/>
      <c r="I458" s="64"/>
    </row>
    <row r="459" spans="1:9" ht="15.75" hidden="1" customHeight="1">
      <c r="A459" s="64"/>
      <c r="B459" s="185">
        <v>45916</v>
      </c>
      <c r="C459" s="183">
        <v>0</v>
      </c>
      <c r="D459" s="183">
        <v>13105</v>
      </c>
      <c r="E459" s="186" t="s">
        <v>31</v>
      </c>
      <c r="F459" s="187">
        <v>91603</v>
      </c>
      <c r="G459" s="192">
        <v>4001.11</v>
      </c>
      <c r="H459" s="64"/>
      <c r="I459" s="64"/>
    </row>
    <row r="460" spans="1:9" ht="15.75" hidden="1" customHeight="1">
      <c r="A460" s="64"/>
      <c r="B460" s="189"/>
      <c r="C460" s="189"/>
      <c r="D460" s="189"/>
      <c r="E460" s="190" t="s">
        <v>32</v>
      </c>
      <c r="F460" s="190"/>
      <c r="G460" s="191"/>
      <c r="H460" s="64"/>
      <c r="I460" s="64"/>
    </row>
    <row r="461" spans="1:9" ht="15.75" hidden="1" customHeight="1">
      <c r="A461" s="64"/>
      <c r="B461" s="185">
        <v>45916</v>
      </c>
      <c r="C461" s="183">
        <v>0</v>
      </c>
      <c r="D461" s="183">
        <v>13105</v>
      </c>
      <c r="E461" s="186" t="s">
        <v>31</v>
      </c>
      <c r="F461" s="187">
        <v>91604</v>
      </c>
      <c r="G461" s="192">
        <v>230.82</v>
      </c>
      <c r="H461" s="64"/>
      <c r="I461" s="64"/>
    </row>
    <row r="462" spans="1:9" ht="15.75" hidden="1" customHeight="1">
      <c r="A462" s="64"/>
      <c r="B462" s="189"/>
      <c r="C462" s="189"/>
      <c r="D462" s="189"/>
      <c r="E462" s="190" t="s">
        <v>340</v>
      </c>
      <c r="F462" s="190"/>
      <c r="G462" s="191"/>
      <c r="H462" s="64"/>
      <c r="I462" s="64"/>
    </row>
    <row r="463" spans="1:9" ht="15.75" hidden="1" customHeight="1">
      <c r="A463" s="64"/>
      <c r="B463" s="185">
        <v>45916</v>
      </c>
      <c r="C463" s="183">
        <v>0</v>
      </c>
      <c r="D463" s="183">
        <v>13105</v>
      </c>
      <c r="E463" s="186" t="s">
        <v>123</v>
      </c>
      <c r="F463" s="187">
        <v>91605</v>
      </c>
      <c r="G463" s="192">
        <v>134.44999999999999</v>
      </c>
      <c r="H463" s="64"/>
      <c r="I463" s="64"/>
    </row>
    <row r="464" spans="1:9" ht="15.75" hidden="1" customHeight="1">
      <c r="A464" s="64"/>
      <c r="B464" s="189"/>
      <c r="C464" s="189"/>
      <c r="D464" s="189"/>
      <c r="E464" s="190" t="s">
        <v>124</v>
      </c>
      <c r="F464" s="190"/>
      <c r="G464" s="191"/>
      <c r="H464" s="64"/>
      <c r="I464" s="64"/>
    </row>
    <row r="465" spans="1:9" ht="15.75" hidden="1" customHeight="1">
      <c r="A465" s="64"/>
      <c r="B465" s="185">
        <v>45916</v>
      </c>
      <c r="C465" s="183">
        <v>0</v>
      </c>
      <c r="D465" s="183">
        <v>13105</v>
      </c>
      <c r="E465" s="186" t="s">
        <v>31</v>
      </c>
      <c r="F465" s="187">
        <v>91606</v>
      </c>
      <c r="G465" s="192">
        <v>292.83999999999997</v>
      </c>
      <c r="H465" s="64"/>
      <c r="I465" s="64"/>
    </row>
    <row r="466" spans="1:9" ht="15.75" hidden="1" customHeight="1">
      <c r="A466" s="64"/>
      <c r="B466" s="189"/>
      <c r="C466" s="189"/>
      <c r="D466" s="189"/>
      <c r="E466" s="190" t="s">
        <v>111</v>
      </c>
      <c r="F466" s="190"/>
      <c r="G466" s="191"/>
      <c r="H466" s="64"/>
      <c r="I466" s="64"/>
    </row>
    <row r="467" spans="1:9" ht="15.75" hidden="1" customHeight="1">
      <c r="A467" s="64"/>
      <c r="B467" s="185">
        <v>45916</v>
      </c>
      <c r="C467" s="183">
        <v>0</v>
      </c>
      <c r="D467" s="183">
        <v>13105</v>
      </c>
      <c r="E467" s="186" t="s">
        <v>31</v>
      </c>
      <c r="F467" s="187">
        <v>91607</v>
      </c>
      <c r="G467" s="192">
        <v>241.89</v>
      </c>
      <c r="H467" s="64"/>
      <c r="I467" s="64"/>
    </row>
    <row r="468" spans="1:9" ht="15.75" hidden="1" customHeight="1">
      <c r="A468" s="64"/>
      <c r="B468" s="189"/>
      <c r="C468" s="189"/>
      <c r="D468" s="189"/>
      <c r="E468" s="190" t="s">
        <v>111</v>
      </c>
      <c r="F468" s="190"/>
      <c r="G468" s="191"/>
      <c r="H468" s="64"/>
      <c r="I468" s="64"/>
    </row>
    <row r="469" spans="1:9" ht="15.75" hidden="1" customHeight="1">
      <c r="A469" s="64"/>
      <c r="B469" s="185">
        <v>45916</v>
      </c>
      <c r="C469" s="183">
        <v>0</v>
      </c>
      <c r="D469" s="183">
        <v>13105</v>
      </c>
      <c r="E469" s="186" t="s">
        <v>31</v>
      </c>
      <c r="F469" s="187">
        <v>91608</v>
      </c>
      <c r="G469" s="192">
        <v>397.04</v>
      </c>
      <c r="H469" s="64"/>
      <c r="I469" s="64"/>
    </row>
    <row r="470" spans="1:9" ht="15.75" hidden="1" customHeight="1">
      <c r="A470" s="64"/>
      <c r="B470" s="189"/>
      <c r="C470" s="189"/>
      <c r="D470" s="189"/>
      <c r="E470" s="190" t="s">
        <v>45</v>
      </c>
      <c r="F470" s="190"/>
      <c r="G470" s="191"/>
      <c r="H470" s="64"/>
      <c r="I470" s="64"/>
    </row>
    <row r="471" spans="1:9" ht="15.75" hidden="1" customHeight="1">
      <c r="A471" s="64"/>
      <c r="B471" s="185">
        <v>45916</v>
      </c>
      <c r="C471" s="183">
        <v>0</v>
      </c>
      <c r="D471" s="183">
        <v>13105</v>
      </c>
      <c r="E471" s="186" t="s">
        <v>31</v>
      </c>
      <c r="F471" s="187">
        <v>91609</v>
      </c>
      <c r="G471" s="192">
        <v>485.14</v>
      </c>
      <c r="H471" s="64"/>
      <c r="I471" s="64"/>
    </row>
    <row r="472" spans="1:9" ht="15.75" hidden="1" customHeight="1">
      <c r="A472" s="64"/>
      <c r="B472" s="189"/>
      <c r="C472" s="189"/>
      <c r="D472" s="189"/>
      <c r="E472" s="190" t="s">
        <v>45</v>
      </c>
      <c r="F472" s="190"/>
      <c r="G472" s="191"/>
      <c r="H472" s="64"/>
      <c r="I472" s="64"/>
    </row>
    <row r="473" spans="1:9" ht="15.75" hidden="1" customHeight="1">
      <c r="A473" s="64"/>
      <c r="B473" s="185">
        <v>45916</v>
      </c>
      <c r="C473" s="183">
        <v>0</v>
      </c>
      <c r="D473" s="183">
        <v>13105</v>
      </c>
      <c r="E473" s="186" t="s">
        <v>31</v>
      </c>
      <c r="F473" s="187">
        <v>91610</v>
      </c>
      <c r="G473" s="192">
        <v>1252.17</v>
      </c>
      <c r="H473" s="64"/>
      <c r="I473" s="64"/>
    </row>
    <row r="474" spans="1:9" ht="15.75" hidden="1" customHeight="1">
      <c r="A474" s="64"/>
      <c r="B474" s="189"/>
      <c r="C474" s="189"/>
      <c r="D474" s="189"/>
      <c r="E474" s="190" t="s">
        <v>46</v>
      </c>
      <c r="F474" s="190"/>
      <c r="G474" s="191"/>
      <c r="H474" s="64"/>
      <c r="I474" s="64"/>
    </row>
    <row r="475" spans="1:9" ht="15.75" hidden="1" customHeight="1">
      <c r="A475" s="64"/>
      <c r="B475" s="185">
        <v>45916</v>
      </c>
      <c r="C475" s="183">
        <v>0</v>
      </c>
      <c r="D475" s="183">
        <v>13105</v>
      </c>
      <c r="E475" s="186" t="s">
        <v>31</v>
      </c>
      <c r="F475" s="187">
        <v>91611</v>
      </c>
      <c r="G475" s="192">
        <v>1032.1199999999999</v>
      </c>
      <c r="H475" s="64"/>
      <c r="I475" s="64"/>
    </row>
    <row r="476" spans="1:9" ht="15.75" hidden="1" customHeight="1">
      <c r="A476" s="64"/>
      <c r="B476" s="189"/>
      <c r="C476" s="189"/>
      <c r="D476" s="189"/>
      <c r="E476" s="190" t="s">
        <v>50</v>
      </c>
      <c r="F476" s="190"/>
      <c r="G476" s="191"/>
      <c r="H476" s="64"/>
      <c r="I476" s="64"/>
    </row>
    <row r="477" spans="1:9" ht="15.75" hidden="1" customHeight="1">
      <c r="A477" s="64"/>
      <c r="B477" s="185">
        <v>45916</v>
      </c>
      <c r="C477" s="183">
        <v>0</v>
      </c>
      <c r="D477" s="183">
        <v>13105</v>
      </c>
      <c r="E477" s="186" t="s">
        <v>31</v>
      </c>
      <c r="F477" s="187">
        <v>91612</v>
      </c>
      <c r="G477" s="192">
        <v>674.65</v>
      </c>
      <c r="H477" s="64"/>
      <c r="I477" s="64"/>
    </row>
    <row r="478" spans="1:9" ht="15.75" hidden="1" customHeight="1">
      <c r="A478" s="64"/>
      <c r="B478" s="189"/>
      <c r="C478" s="189"/>
      <c r="D478" s="189"/>
      <c r="E478" s="190" t="s">
        <v>223</v>
      </c>
      <c r="F478" s="190"/>
      <c r="G478" s="191"/>
      <c r="H478" s="64"/>
      <c r="I478" s="64"/>
    </row>
    <row r="479" spans="1:9" ht="15.75" hidden="1" customHeight="1">
      <c r="A479" s="64"/>
      <c r="B479" s="185">
        <v>45916</v>
      </c>
      <c r="C479" s="183">
        <v>0</v>
      </c>
      <c r="D479" s="183">
        <v>13105</v>
      </c>
      <c r="E479" s="186" t="s">
        <v>31</v>
      </c>
      <c r="F479" s="187">
        <v>91613</v>
      </c>
      <c r="G479" s="192">
        <v>125.25</v>
      </c>
      <c r="H479" s="64"/>
      <c r="I479" s="64"/>
    </row>
    <row r="480" spans="1:9" ht="15.75" hidden="1" customHeight="1">
      <c r="A480" s="64"/>
      <c r="B480" s="189"/>
      <c r="C480" s="189"/>
      <c r="D480" s="189"/>
      <c r="E480" s="190" t="s">
        <v>1318</v>
      </c>
      <c r="F480" s="190"/>
      <c r="G480" s="191"/>
      <c r="H480" s="64"/>
      <c r="I480" s="64"/>
    </row>
    <row r="481" spans="1:9" ht="15.75" hidden="1" customHeight="1">
      <c r="A481" s="64"/>
      <c r="B481" s="185">
        <v>45916</v>
      </c>
      <c r="C481" s="183">
        <v>0</v>
      </c>
      <c r="D481" s="183">
        <v>0</v>
      </c>
      <c r="E481" s="186" t="s">
        <v>52</v>
      </c>
      <c r="F481" s="187">
        <v>9903</v>
      </c>
      <c r="G481" s="188">
        <v>920.48</v>
      </c>
      <c r="H481" s="64"/>
      <c r="I481" s="64"/>
    </row>
    <row r="482" spans="1:9" ht="15.75" hidden="1" customHeight="1">
      <c r="A482" s="64"/>
      <c r="B482" s="189"/>
      <c r="C482" s="189"/>
      <c r="D482" s="189"/>
      <c r="E482" s="190" t="s">
        <v>53</v>
      </c>
      <c r="F482" s="190"/>
      <c r="G482" s="191"/>
      <c r="H482" s="64"/>
      <c r="I482" s="64"/>
    </row>
    <row r="483" spans="1:9" ht="15.75" hidden="1" customHeight="1">
      <c r="A483" s="64"/>
      <c r="B483" s="185">
        <v>45917</v>
      </c>
      <c r="C483" s="183">
        <v>0</v>
      </c>
      <c r="D483" s="183">
        <v>14175</v>
      </c>
      <c r="E483" s="186" t="s">
        <v>62</v>
      </c>
      <c r="F483" s="187">
        <v>394975192</v>
      </c>
      <c r="G483" s="188">
        <v>3300</v>
      </c>
      <c r="H483" s="64"/>
      <c r="I483" s="64"/>
    </row>
    <row r="484" spans="1:9" ht="15.75" hidden="1" customHeight="1">
      <c r="A484" s="64"/>
      <c r="B484" s="189"/>
      <c r="C484" s="189"/>
      <c r="D484" s="189"/>
      <c r="E484" s="190" t="s">
        <v>97</v>
      </c>
      <c r="F484" s="190"/>
      <c r="G484" s="191"/>
      <c r="H484" s="64"/>
      <c r="I484" s="64"/>
    </row>
    <row r="485" spans="1:9" ht="15.75" hidden="1" customHeight="1">
      <c r="A485" s="64"/>
      <c r="B485" s="185">
        <v>45917</v>
      </c>
      <c r="C485" s="183">
        <v>0</v>
      </c>
      <c r="D485" s="183">
        <v>14397</v>
      </c>
      <c r="E485" s="186" t="s">
        <v>57</v>
      </c>
      <c r="F485" s="187">
        <v>171501544785602</v>
      </c>
      <c r="G485" s="188">
        <v>3100</v>
      </c>
      <c r="H485" s="64"/>
      <c r="I485" s="64"/>
    </row>
    <row r="486" spans="1:9" ht="15.75" hidden="1" customHeight="1">
      <c r="A486" s="64"/>
      <c r="B486" s="189"/>
      <c r="C486" s="189"/>
      <c r="D486" s="189"/>
      <c r="E486" s="190" t="s">
        <v>1319</v>
      </c>
      <c r="F486" s="190"/>
      <c r="G486" s="191"/>
      <c r="H486" s="64"/>
      <c r="I486" s="64"/>
    </row>
    <row r="487" spans="1:9" ht="15.75" hidden="1" customHeight="1">
      <c r="A487" s="64"/>
      <c r="B487" s="185">
        <v>45917</v>
      </c>
      <c r="C487" s="183">
        <v>0</v>
      </c>
      <c r="D487" s="183">
        <v>14397</v>
      </c>
      <c r="E487" s="186" t="s">
        <v>57</v>
      </c>
      <c r="F487" s="187">
        <v>171642546907471</v>
      </c>
      <c r="G487" s="188">
        <v>808.35</v>
      </c>
      <c r="H487" s="64"/>
      <c r="I487" s="64"/>
    </row>
    <row r="488" spans="1:9" ht="15.75" hidden="1" customHeight="1">
      <c r="A488" s="64"/>
      <c r="B488" s="189"/>
      <c r="C488" s="189"/>
      <c r="D488" s="189"/>
      <c r="E488" s="190" t="s">
        <v>1320</v>
      </c>
      <c r="F488" s="190"/>
      <c r="G488" s="191"/>
      <c r="H488" s="64"/>
      <c r="I488" s="64"/>
    </row>
    <row r="489" spans="1:9" ht="15.75" hidden="1" customHeight="1">
      <c r="A489" s="64"/>
      <c r="B489" s="185">
        <v>45917</v>
      </c>
      <c r="C489" s="183">
        <v>0</v>
      </c>
      <c r="D489" s="183">
        <v>13105</v>
      </c>
      <c r="E489" s="186" t="s">
        <v>31</v>
      </c>
      <c r="F489" s="187">
        <v>91701</v>
      </c>
      <c r="G489" s="192">
        <v>4890</v>
      </c>
      <c r="H489" s="64"/>
      <c r="I489" s="64"/>
    </row>
    <row r="490" spans="1:9" ht="15.75" hidden="1" customHeight="1">
      <c r="A490" s="64"/>
      <c r="B490" s="189"/>
      <c r="C490" s="189"/>
      <c r="D490" s="189"/>
      <c r="E490" s="190" t="s">
        <v>32</v>
      </c>
      <c r="F490" s="190"/>
      <c r="G490" s="191"/>
      <c r="H490" s="64"/>
      <c r="I490" s="64"/>
    </row>
    <row r="491" spans="1:9" ht="15.75" hidden="1" customHeight="1">
      <c r="A491" s="64"/>
      <c r="B491" s="185">
        <v>45917</v>
      </c>
      <c r="C491" s="183">
        <v>0</v>
      </c>
      <c r="D491" s="183">
        <v>13105</v>
      </c>
      <c r="E491" s="186" t="s">
        <v>31</v>
      </c>
      <c r="F491" s="187">
        <v>91702</v>
      </c>
      <c r="G491" s="192">
        <v>522.16999999999996</v>
      </c>
      <c r="H491" s="64"/>
      <c r="I491" s="64"/>
    </row>
    <row r="492" spans="1:9" ht="15.75" hidden="1" customHeight="1">
      <c r="A492" s="64"/>
      <c r="B492" s="189"/>
      <c r="C492" s="189"/>
      <c r="D492" s="189"/>
      <c r="E492" s="190" t="s">
        <v>498</v>
      </c>
      <c r="F492" s="190"/>
      <c r="G492" s="191"/>
      <c r="H492" s="64"/>
      <c r="I492" s="64"/>
    </row>
    <row r="493" spans="1:9" ht="15.75" hidden="1" customHeight="1">
      <c r="A493" s="64"/>
      <c r="B493" s="185">
        <v>45917</v>
      </c>
      <c r="C493" s="183">
        <v>0</v>
      </c>
      <c r="D493" s="183">
        <v>13105</v>
      </c>
      <c r="E493" s="186" t="s">
        <v>31</v>
      </c>
      <c r="F493" s="187">
        <v>91703</v>
      </c>
      <c r="G493" s="192">
        <v>209.57</v>
      </c>
      <c r="H493" s="64"/>
      <c r="I493" s="64"/>
    </row>
    <row r="494" spans="1:9" ht="15.75" hidden="1" customHeight="1">
      <c r="A494" s="64"/>
      <c r="B494" s="189"/>
      <c r="C494" s="189"/>
      <c r="D494" s="189"/>
      <c r="E494" s="190" t="s">
        <v>46</v>
      </c>
      <c r="F494" s="190"/>
      <c r="G494" s="191"/>
      <c r="H494" s="64"/>
      <c r="I494" s="64"/>
    </row>
    <row r="495" spans="1:9" ht="15.75" hidden="1" customHeight="1">
      <c r="A495" s="64"/>
      <c r="B495" s="185">
        <v>45917</v>
      </c>
      <c r="C495" s="183">
        <v>0</v>
      </c>
      <c r="D495" s="183">
        <v>13105</v>
      </c>
      <c r="E495" s="186" t="s">
        <v>31</v>
      </c>
      <c r="F495" s="187">
        <v>91704</v>
      </c>
      <c r="G495" s="192">
        <v>197.87</v>
      </c>
      <c r="H495" s="64"/>
      <c r="I495" s="64"/>
    </row>
    <row r="496" spans="1:9" ht="15.75" hidden="1" customHeight="1">
      <c r="A496" s="64"/>
      <c r="B496" s="189"/>
      <c r="C496" s="189"/>
      <c r="D496" s="189"/>
      <c r="E496" s="190" t="s">
        <v>111</v>
      </c>
      <c r="F496" s="190"/>
      <c r="G496" s="191"/>
      <c r="H496" s="64"/>
      <c r="I496" s="64"/>
    </row>
    <row r="497" spans="1:9" ht="15.75" hidden="1" customHeight="1">
      <c r="A497" s="64"/>
      <c r="B497" s="185">
        <v>45917</v>
      </c>
      <c r="C497" s="183">
        <v>0</v>
      </c>
      <c r="D497" s="183">
        <v>13105</v>
      </c>
      <c r="E497" s="186" t="s">
        <v>31</v>
      </c>
      <c r="F497" s="187">
        <v>91705</v>
      </c>
      <c r="G497" s="192">
        <v>445.33</v>
      </c>
      <c r="H497" s="64"/>
      <c r="I497" s="64"/>
    </row>
    <row r="498" spans="1:9" ht="15.75" hidden="1" customHeight="1">
      <c r="A498" s="64"/>
      <c r="B498" s="189"/>
      <c r="C498" s="189"/>
      <c r="D498" s="189"/>
      <c r="E498" s="190" t="s">
        <v>50</v>
      </c>
      <c r="F498" s="190"/>
      <c r="G498" s="191"/>
      <c r="H498" s="64"/>
      <c r="I498" s="64"/>
    </row>
    <row r="499" spans="1:9" ht="15.75" hidden="1" customHeight="1">
      <c r="A499" s="64"/>
      <c r="B499" s="185">
        <v>45917</v>
      </c>
      <c r="C499" s="183">
        <v>0</v>
      </c>
      <c r="D499" s="183">
        <v>13105</v>
      </c>
      <c r="E499" s="186" t="s">
        <v>31</v>
      </c>
      <c r="F499" s="187">
        <v>91706</v>
      </c>
      <c r="G499" s="192">
        <v>215.42</v>
      </c>
      <c r="H499" s="64"/>
      <c r="I499" s="64"/>
    </row>
    <row r="500" spans="1:9" ht="15.75" hidden="1" customHeight="1">
      <c r="A500" s="64"/>
      <c r="B500" s="189"/>
      <c r="C500" s="189"/>
      <c r="D500" s="189"/>
      <c r="E500" s="190" t="s">
        <v>50</v>
      </c>
      <c r="F500" s="190"/>
      <c r="G500" s="191"/>
      <c r="H500" s="64"/>
      <c r="I500" s="64"/>
    </row>
    <row r="501" spans="1:9" ht="15.75" hidden="1" customHeight="1">
      <c r="A501" s="64"/>
      <c r="B501" s="185">
        <v>45917</v>
      </c>
      <c r="C501" s="183">
        <v>0</v>
      </c>
      <c r="D501" s="183">
        <v>13105</v>
      </c>
      <c r="E501" s="186" t="s">
        <v>31</v>
      </c>
      <c r="F501" s="187">
        <v>91707</v>
      </c>
      <c r="G501" s="192">
        <v>1032.1500000000001</v>
      </c>
      <c r="H501" s="64"/>
      <c r="I501" s="64"/>
    </row>
    <row r="502" spans="1:9" ht="15.75" hidden="1" customHeight="1">
      <c r="A502" s="64"/>
      <c r="B502" s="189"/>
      <c r="C502" s="189"/>
      <c r="D502" s="189"/>
      <c r="E502" s="190" t="s">
        <v>50</v>
      </c>
      <c r="F502" s="190"/>
      <c r="G502" s="191"/>
      <c r="H502" s="64"/>
      <c r="I502" s="64"/>
    </row>
    <row r="503" spans="1:9" ht="15.75" hidden="1" customHeight="1">
      <c r="A503" s="64"/>
      <c r="B503" s="185">
        <v>45917</v>
      </c>
      <c r="C503" s="183">
        <v>0</v>
      </c>
      <c r="D503" s="183">
        <v>13105</v>
      </c>
      <c r="E503" s="186" t="s">
        <v>31</v>
      </c>
      <c r="F503" s="187">
        <v>91708</v>
      </c>
      <c r="G503" s="192">
        <v>263.57</v>
      </c>
      <c r="H503" s="64"/>
      <c r="I503" s="64"/>
    </row>
    <row r="504" spans="1:9" ht="15.75" hidden="1" customHeight="1">
      <c r="A504" s="64"/>
      <c r="B504" s="189"/>
      <c r="C504" s="189"/>
      <c r="D504" s="189"/>
      <c r="E504" s="190" t="s">
        <v>111</v>
      </c>
      <c r="F504" s="190"/>
      <c r="G504" s="191"/>
      <c r="H504" s="64"/>
      <c r="I504" s="64"/>
    </row>
    <row r="505" spans="1:9" ht="15.75" hidden="1" customHeight="1">
      <c r="A505" s="64"/>
      <c r="B505" s="185">
        <v>45917</v>
      </c>
      <c r="C505" s="183">
        <v>0</v>
      </c>
      <c r="D505" s="183">
        <v>13105</v>
      </c>
      <c r="E505" s="186" t="s">
        <v>31</v>
      </c>
      <c r="F505" s="187">
        <v>91709</v>
      </c>
      <c r="G505" s="192">
        <v>105.26</v>
      </c>
      <c r="H505" s="64"/>
      <c r="I505" s="64"/>
    </row>
    <row r="506" spans="1:9" ht="15.75" hidden="1" customHeight="1">
      <c r="A506" s="64"/>
      <c r="B506" s="189"/>
      <c r="C506" s="189"/>
      <c r="D506" s="189"/>
      <c r="E506" s="190" t="s">
        <v>126</v>
      </c>
      <c r="F506" s="190"/>
      <c r="G506" s="191"/>
      <c r="H506" s="64"/>
      <c r="I506" s="64"/>
    </row>
    <row r="507" spans="1:9" ht="15.75" hidden="1" customHeight="1">
      <c r="A507" s="64"/>
      <c r="B507" s="185">
        <v>45917</v>
      </c>
      <c r="C507" s="183">
        <v>0</v>
      </c>
      <c r="D507" s="183">
        <v>13105</v>
      </c>
      <c r="E507" s="186" t="s">
        <v>31</v>
      </c>
      <c r="F507" s="187">
        <v>91710</v>
      </c>
      <c r="G507" s="192">
        <v>113.24</v>
      </c>
      <c r="H507" s="64"/>
      <c r="I507" s="64"/>
    </row>
    <row r="508" spans="1:9" ht="15.75" hidden="1" customHeight="1">
      <c r="A508" s="64"/>
      <c r="B508" s="189"/>
      <c r="C508" s="189"/>
      <c r="D508" s="189"/>
      <c r="E508" s="190" t="s">
        <v>126</v>
      </c>
      <c r="F508" s="190"/>
      <c r="G508" s="191"/>
      <c r="H508" s="64"/>
      <c r="I508" s="64"/>
    </row>
    <row r="509" spans="1:9" ht="15.75" hidden="1" customHeight="1">
      <c r="A509" s="64"/>
      <c r="B509" s="185">
        <v>45917</v>
      </c>
      <c r="C509" s="183">
        <v>0</v>
      </c>
      <c r="D509" s="183">
        <v>0</v>
      </c>
      <c r="E509" s="186" t="s">
        <v>52</v>
      </c>
      <c r="F509" s="187">
        <v>9903</v>
      </c>
      <c r="G509" s="188">
        <v>786.23</v>
      </c>
      <c r="H509" s="64"/>
      <c r="I509" s="64"/>
    </row>
    <row r="510" spans="1:9" ht="15.75" hidden="1" customHeight="1">
      <c r="A510" s="64"/>
      <c r="B510" s="189"/>
      <c r="C510" s="189"/>
      <c r="D510" s="189"/>
      <c r="E510" s="190" t="s">
        <v>53</v>
      </c>
      <c r="F510" s="190"/>
      <c r="G510" s="191"/>
      <c r="H510" s="64"/>
      <c r="I510" s="64"/>
    </row>
    <row r="511" spans="1:9" ht="15.75" hidden="1" customHeight="1">
      <c r="A511" s="64"/>
      <c r="B511" s="185">
        <v>45918</v>
      </c>
      <c r="C511" s="183">
        <v>984</v>
      </c>
      <c r="D511" s="183">
        <v>99021</v>
      </c>
      <c r="E511" s="186" t="s">
        <v>27</v>
      </c>
      <c r="F511" s="187">
        <v>610984000009994</v>
      </c>
      <c r="G511" s="188">
        <v>908.12</v>
      </c>
      <c r="H511" s="64"/>
      <c r="I511" s="64"/>
    </row>
    <row r="512" spans="1:9" ht="15.75" hidden="1" customHeight="1">
      <c r="A512" s="64"/>
      <c r="B512" s="189"/>
      <c r="C512" s="189"/>
      <c r="D512" s="189"/>
      <c r="E512" s="190" t="s">
        <v>1321</v>
      </c>
      <c r="F512" s="190"/>
      <c r="G512" s="191"/>
      <c r="H512" s="64"/>
      <c r="I512" s="64"/>
    </row>
    <row r="513" spans="1:9" ht="15.75" hidden="1" customHeight="1">
      <c r="A513" s="64"/>
      <c r="B513" s="185">
        <v>45918</v>
      </c>
      <c r="C513" s="183">
        <v>0</v>
      </c>
      <c r="D513" s="183">
        <v>14175</v>
      </c>
      <c r="E513" s="186" t="s">
        <v>62</v>
      </c>
      <c r="F513" s="187">
        <v>34205238</v>
      </c>
      <c r="G513" s="188">
        <v>2000</v>
      </c>
      <c r="H513" s="64"/>
      <c r="I513" s="64"/>
    </row>
    <row r="514" spans="1:9" ht="15.75" hidden="1" customHeight="1">
      <c r="A514" s="64"/>
      <c r="B514" s="189"/>
      <c r="C514" s="189"/>
      <c r="D514" s="189"/>
      <c r="E514" s="190" t="s">
        <v>97</v>
      </c>
      <c r="F514" s="190"/>
      <c r="G514" s="191"/>
      <c r="H514" s="64"/>
      <c r="I514" s="64"/>
    </row>
    <row r="515" spans="1:9" ht="15.75" hidden="1" customHeight="1">
      <c r="A515" s="64"/>
      <c r="B515" s="185">
        <v>45918</v>
      </c>
      <c r="C515" s="183">
        <v>0</v>
      </c>
      <c r="D515" s="183">
        <v>14397</v>
      </c>
      <c r="E515" s="186" t="s">
        <v>57</v>
      </c>
      <c r="F515" s="187">
        <v>181517364296412</v>
      </c>
      <c r="G515" s="188">
        <v>147.82</v>
      </c>
      <c r="H515" s="64"/>
      <c r="I515" s="64"/>
    </row>
    <row r="516" spans="1:9" ht="15.75" hidden="1" customHeight="1">
      <c r="A516" s="64"/>
      <c r="B516" s="189"/>
      <c r="C516" s="189"/>
      <c r="D516" s="189"/>
      <c r="E516" s="190" t="s">
        <v>1322</v>
      </c>
      <c r="F516" s="190"/>
      <c r="G516" s="191"/>
      <c r="H516" s="64"/>
      <c r="I516" s="64"/>
    </row>
    <row r="517" spans="1:9" ht="15.75" customHeight="1">
      <c r="A517" s="179" t="s">
        <v>140</v>
      </c>
      <c r="B517" s="185">
        <v>45918</v>
      </c>
      <c r="C517" s="183">
        <v>0</v>
      </c>
      <c r="D517" s="183">
        <v>14138</v>
      </c>
      <c r="E517" s="186" t="s">
        <v>141</v>
      </c>
      <c r="F517" s="187">
        <v>202509170019751</v>
      </c>
      <c r="G517" s="188">
        <v>1476.65</v>
      </c>
      <c r="H517" s="64" t="s">
        <v>1323</v>
      </c>
      <c r="I517" s="64" t="s">
        <v>595</v>
      </c>
    </row>
    <row r="518" spans="1:9" ht="15.75" hidden="1" customHeight="1">
      <c r="A518" s="64"/>
      <c r="B518" s="189"/>
      <c r="C518" s="189"/>
      <c r="D518" s="189"/>
      <c r="E518" s="190" t="s">
        <v>143</v>
      </c>
      <c r="F518" s="190"/>
      <c r="G518" s="191"/>
      <c r="H518" s="64"/>
      <c r="I518" s="64"/>
    </row>
    <row r="519" spans="1:9" ht="15.75" customHeight="1">
      <c r="A519" s="179" t="s">
        <v>140</v>
      </c>
      <c r="B519" s="185">
        <v>45918</v>
      </c>
      <c r="C519" s="183">
        <v>0</v>
      </c>
      <c r="D519" s="183">
        <v>14138</v>
      </c>
      <c r="E519" s="186" t="s">
        <v>141</v>
      </c>
      <c r="F519" s="187">
        <v>202509170019752</v>
      </c>
      <c r="G519" s="188">
        <v>1553.66</v>
      </c>
      <c r="H519" s="64" t="s">
        <v>1324</v>
      </c>
      <c r="I519" s="64" t="s">
        <v>595</v>
      </c>
    </row>
    <row r="520" spans="1:9" ht="15.75" hidden="1" customHeight="1">
      <c r="A520" s="64"/>
      <c r="B520" s="189"/>
      <c r="C520" s="189"/>
      <c r="D520" s="189"/>
      <c r="E520" s="190" t="s">
        <v>143</v>
      </c>
      <c r="F520" s="190"/>
      <c r="G520" s="191"/>
      <c r="H520" s="64"/>
      <c r="I520" s="64"/>
    </row>
    <row r="521" spans="1:9" ht="15.75" customHeight="1">
      <c r="A521" s="179" t="s">
        <v>140</v>
      </c>
      <c r="B521" s="185">
        <v>45918</v>
      </c>
      <c r="C521" s="183">
        <v>0</v>
      </c>
      <c r="D521" s="183">
        <v>14138</v>
      </c>
      <c r="E521" s="186" t="s">
        <v>141</v>
      </c>
      <c r="F521" s="187">
        <v>202509170019753</v>
      </c>
      <c r="G521" s="188">
        <v>1476.65</v>
      </c>
      <c r="H521" s="64" t="s">
        <v>1325</v>
      </c>
      <c r="I521" s="64" t="s">
        <v>595</v>
      </c>
    </row>
    <row r="522" spans="1:9" ht="15.75" hidden="1" customHeight="1">
      <c r="A522" s="64"/>
      <c r="B522" s="189"/>
      <c r="C522" s="189"/>
      <c r="D522" s="189"/>
      <c r="E522" s="190" t="s">
        <v>143</v>
      </c>
      <c r="F522" s="190"/>
      <c r="G522" s="191"/>
      <c r="H522" s="64"/>
      <c r="I522" s="64"/>
    </row>
    <row r="523" spans="1:9" ht="15.75" customHeight="1">
      <c r="A523" s="179" t="s">
        <v>140</v>
      </c>
      <c r="B523" s="185">
        <v>45918</v>
      </c>
      <c r="C523" s="183">
        <v>0</v>
      </c>
      <c r="D523" s="183">
        <v>14138</v>
      </c>
      <c r="E523" s="186" t="s">
        <v>141</v>
      </c>
      <c r="F523" s="187">
        <v>202509170019754</v>
      </c>
      <c r="G523" s="188">
        <v>1553.66</v>
      </c>
      <c r="H523" s="79" t="s">
        <v>1326</v>
      </c>
      <c r="I523" s="64" t="s">
        <v>595</v>
      </c>
    </row>
    <row r="524" spans="1:9" ht="15.75" hidden="1" customHeight="1">
      <c r="A524" s="64"/>
      <c r="B524" s="189"/>
      <c r="C524" s="189"/>
      <c r="D524" s="189"/>
      <c r="E524" s="190" t="s">
        <v>143</v>
      </c>
      <c r="F524" s="190"/>
      <c r="G524" s="191"/>
      <c r="H524" s="64"/>
      <c r="I524" s="64"/>
    </row>
    <row r="525" spans="1:9" ht="15.75" customHeight="1">
      <c r="A525" s="179" t="s">
        <v>140</v>
      </c>
      <c r="B525" s="185">
        <v>45918</v>
      </c>
      <c r="C525" s="183">
        <v>0</v>
      </c>
      <c r="D525" s="183">
        <v>14138</v>
      </c>
      <c r="E525" s="186" t="s">
        <v>141</v>
      </c>
      <c r="F525" s="187">
        <v>202509170019761</v>
      </c>
      <c r="G525" s="188">
        <v>696.83</v>
      </c>
      <c r="H525" s="64" t="s">
        <v>1327</v>
      </c>
      <c r="I525" s="64" t="s">
        <v>419</v>
      </c>
    </row>
    <row r="526" spans="1:9" ht="15.75" hidden="1" customHeight="1">
      <c r="A526" s="64"/>
      <c r="B526" s="189"/>
      <c r="C526" s="189"/>
      <c r="D526" s="189"/>
      <c r="E526" s="190" t="s">
        <v>143</v>
      </c>
      <c r="F526" s="190"/>
      <c r="G526" s="191"/>
      <c r="H526" s="64"/>
      <c r="I526" s="64"/>
    </row>
    <row r="527" spans="1:9" ht="15.75" customHeight="1">
      <c r="A527" s="179" t="s">
        <v>140</v>
      </c>
      <c r="B527" s="185">
        <v>45918</v>
      </c>
      <c r="C527" s="183">
        <v>0</v>
      </c>
      <c r="D527" s="183">
        <v>14138</v>
      </c>
      <c r="E527" s="186" t="s">
        <v>141</v>
      </c>
      <c r="F527" s="187">
        <v>202509170019763</v>
      </c>
      <c r="G527" s="188">
        <v>609.28</v>
      </c>
      <c r="H527" s="79" t="s">
        <v>1328</v>
      </c>
      <c r="I527" s="64" t="s">
        <v>419</v>
      </c>
    </row>
    <row r="528" spans="1:9" ht="15.75" hidden="1" customHeight="1">
      <c r="A528" s="64"/>
      <c r="B528" s="189"/>
      <c r="C528" s="189"/>
      <c r="D528" s="189"/>
      <c r="E528" s="190" t="s">
        <v>143</v>
      </c>
      <c r="F528" s="190"/>
      <c r="G528" s="191"/>
      <c r="H528" s="64"/>
      <c r="I528" s="64"/>
    </row>
    <row r="529" spans="1:9" ht="15.75" customHeight="1">
      <c r="A529" s="179" t="s">
        <v>140</v>
      </c>
      <c r="B529" s="185">
        <v>45918</v>
      </c>
      <c r="C529" s="183">
        <v>0</v>
      </c>
      <c r="D529" s="183">
        <v>14138</v>
      </c>
      <c r="E529" s="186" t="s">
        <v>141</v>
      </c>
      <c r="F529" s="187">
        <v>202509170019774</v>
      </c>
      <c r="G529" s="188">
        <v>2156.38</v>
      </c>
      <c r="H529" s="64" t="s">
        <v>1329</v>
      </c>
      <c r="I529" s="64" t="s">
        <v>595</v>
      </c>
    </row>
    <row r="530" spans="1:9" ht="15.75" hidden="1" customHeight="1">
      <c r="A530" s="64"/>
      <c r="B530" s="189"/>
      <c r="C530" s="189"/>
      <c r="D530" s="189"/>
      <c r="E530" s="190" t="s">
        <v>143</v>
      </c>
      <c r="F530" s="190"/>
      <c r="G530" s="191"/>
      <c r="H530" s="64"/>
      <c r="I530" s="64"/>
    </row>
    <row r="531" spans="1:9" ht="15.75" customHeight="1">
      <c r="A531" s="179" t="s">
        <v>140</v>
      </c>
      <c r="B531" s="185">
        <v>45918</v>
      </c>
      <c r="C531" s="183">
        <v>0</v>
      </c>
      <c r="D531" s="183">
        <v>14138</v>
      </c>
      <c r="E531" s="186" t="s">
        <v>141</v>
      </c>
      <c r="F531" s="187">
        <v>202509170019779</v>
      </c>
      <c r="G531" s="188">
        <v>2156.38</v>
      </c>
      <c r="H531" s="64" t="s">
        <v>1330</v>
      </c>
      <c r="I531" s="64" t="s">
        <v>595</v>
      </c>
    </row>
    <row r="532" spans="1:9" ht="15.75" hidden="1" customHeight="1">
      <c r="A532" s="64"/>
      <c r="B532" s="189"/>
      <c r="C532" s="189"/>
      <c r="D532" s="189"/>
      <c r="E532" s="190" t="s">
        <v>143</v>
      </c>
      <c r="F532" s="190"/>
      <c r="G532" s="191"/>
      <c r="H532" s="64"/>
      <c r="I532" s="64"/>
    </row>
    <row r="533" spans="1:9" ht="15.75" customHeight="1">
      <c r="A533" s="179" t="s">
        <v>140</v>
      </c>
      <c r="B533" s="185">
        <v>45918</v>
      </c>
      <c r="C533" s="183">
        <v>0</v>
      </c>
      <c r="D533" s="183">
        <v>14138</v>
      </c>
      <c r="E533" s="186" t="s">
        <v>141</v>
      </c>
      <c r="F533" s="187">
        <v>202509170019781</v>
      </c>
      <c r="G533" s="188">
        <v>1165.25</v>
      </c>
      <c r="H533" s="64" t="s">
        <v>1331</v>
      </c>
      <c r="I533" s="64" t="s">
        <v>595</v>
      </c>
    </row>
    <row r="534" spans="1:9" ht="15.75" hidden="1" customHeight="1">
      <c r="A534" s="64"/>
      <c r="B534" s="189"/>
      <c r="C534" s="189"/>
      <c r="D534" s="189"/>
      <c r="E534" s="190" t="s">
        <v>143</v>
      </c>
      <c r="F534" s="190"/>
      <c r="G534" s="191"/>
      <c r="H534" s="64"/>
      <c r="I534" s="64"/>
    </row>
    <row r="535" spans="1:9" ht="15.75" customHeight="1">
      <c r="A535" s="179" t="s">
        <v>140</v>
      </c>
      <c r="B535" s="185">
        <v>45918</v>
      </c>
      <c r="C535" s="183">
        <v>0</v>
      </c>
      <c r="D535" s="183">
        <v>14138</v>
      </c>
      <c r="E535" s="186" t="s">
        <v>141</v>
      </c>
      <c r="F535" s="187">
        <v>202509170019782</v>
      </c>
      <c r="G535" s="188">
        <v>1476.65</v>
      </c>
      <c r="H535" s="79" t="s">
        <v>1332</v>
      </c>
      <c r="I535" s="64" t="s">
        <v>595</v>
      </c>
    </row>
    <row r="536" spans="1:9" ht="15.75" hidden="1" customHeight="1">
      <c r="A536" s="64"/>
      <c r="B536" s="189"/>
      <c r="C536" s="189"/>
      <c r="D536" s="189"/>
      <c r="E536" s="190" t="s">
        <v>143</v>
      </c>
      <c r="F536" s="190"/>
      <c r="G536" s="191"/>
      <c r="H536" s="64"/>
      <c r="I536" s="64"/>
    </row>
    <row r="537" spans="1:9" ht="15.75" customHeight="1">
      <c r="A537" s="179" t="s">
        <v>140</v>
      </c>
      <c r="B537" s="185">
        <v>45918</v>
      </c>
      <c r="C537" s="183">
        <v>0</v>
      </c>
      <c r="D537" s="183">
        <v>14138</v>
      </c>
      <c r="E537" s="186" t="s">
        <v>141</v>
      </c>
      <c r="F537" s="187">
        <v>202509170019783</v>
      </c>
      <c r="G537" s="188">
        <v>1165.25</v>
      </c>
      <c r="H537" s="64" t="s">
        <v>1333</v>
      </c>
      <c r="I537" s="64" t="s">
        <v>595</v>
      </c>
    </row>
    <row r="538" spans="1:9" ht="15.75" hidden="1" customHeight="1">
      <c r="A538" s="64"/>
      <c r="B538" s="189"/>
      <c r="C538" s="189"/>
      <c r="D538" s="189"/>
      <c r="E538" s="190" t="s">
        <v>143</v>
      </c>
      <c r="F538" s="190"/>
      <c r="G538" s="191"/>
      <c r="H538" s="64"/>
      <c r="I538" s="64"/>
    </row>
    <row r="539" spans="1:9" ht="15.75" customHeight="1">
      <c r="A539" s="179" t="s">
        <v>140</v>
      </c>
      <c r="B539" s="185">
        <v>45918</v>
      </c>
      <c r="C539" s="183">
        <v>0</v>
      </c>
      <c r="D539" s="183">
        <v>14138</v>
      </c>
      <c r="E539" s="186" t="s">
        <v>141</v>
      </c>
      <c r="F539" s="187">
        <v>202509170019784</v>
      </c>
      <c r="G539" s="188">
        <v>1437.62</v>
      </c>
      <c r="H539" s="64" t="s">
        <v>1334</v>
      </c>
      <c r="I539" s="64" t="s">
        <v>595</v>
      </c>
    </row>
    <row r="540" spans="1:9" ht="15.75" hidden="1" customHeight="1">
      <c r="A540" s="64"/>
      <c r="B540" s="189"/>
      <c r="C540" s="189"/>
      <c r="D540" s="189"/>
      <c r="E540" s="190" t="s">
        <v>143</v>
      </c>
      <c r="F540" s="190"/>
      <c r="G540" s="191"/>
      <c r="H540" s="64"/>
      <c r="I540" s="64"/>
    </row>
    <row r="541" spans="1:9" ht="15.75" hidden="1" customHeight="1">
      <c r="A541" s="64"/>
      <c r="B541" s="185">
        <v>45918</v>
      </c>
      <c r="C541" s="183">
        <v>1533</v>
      </c>
      <c r="D541" s="183">
        <v>99015</v>
      </c>
      <c r="E541" s="186" t="s">
        <v>195</v>
      </c>
      <c r="F541" s="187">
        <v>551845000113366</v>
      </c>
      <c r="G541" s="192">
        <v>5000</v>
      </c>
      <c r="H541" s="64"/>
      <c r="I541" s="64"/>
    </row>
    <row r="542" spans="1:9" ht="15.75" hidden="1" customHeight="1">
      <c r="A542" s="64"/>
      <c r="B542" s="189"/>
      <c r="C542" s="189"/>
      <c r="D542" s="189"/>
      <c r="E542" s="190" t="s">
        <v>1335</v>
      </c>
      <c r="F542" s="190"/>
      <c r="G542" s="191"/>
      <c r="H542" s="64"/>
      <c r="I542" s="64"/>
    </row>
    <row r="543" spans="1:9" ht="15.75" hidden="1" customHeight="1">
      <c r="A543" s="64"/>
      <c r="B543" s="185">
        <v>45918</v>
      </c>
      <c r="C543" s="183">
        <v>0</v>
      </c>
      <c r="D543" s="183">
        <v>13105</v>
      </c>
      <c r="E543" s="186" t="s">
        <v>31</v>
      </c>
      <c r="F543" s="187">
        <v>91801</v>
      </c>
      <c r="G543" s="192">
        <v>408.72</v>
      </c>
      <c r="H543" s="64"/>
      <c r="I543" s="64"/>
    </row>
    <row r="544" spans="1:9" ht="15.75" hidden="1" customHeight="1">
      <c r="A544" s="64"/>
      <c r="B544" s="189"/>
      <c r="C544" s="189"/>
      <c r="D544" s="189"/>
      <c r="E544" s="190" t="s">
        <v>46</v>
      </c>
      <c r="F544" s="190"/>
      <c r="G544" s="191"/>
      <c r="H544" s="64"/>
      <c r="I544" s="64"/>
    </row>
    <row r="545" spans="1:9" ht="15.75" hidden="1" customHeight="1">
      <c r="A545" s="64"/>
      <c r="B545" s="185">
        <v>45918</v>
      </c>
      <c r="C545" s="183">
        <v>0</v>
      </c>
      <c r="D545" s="183">
        <v>13105</v>
      </c>
      <c r="E545" s="186" t="s">
        <v>31</v>
      </c>
      <c r="F545" s="187">
        <v>91802</v>
      </c>
      <c r="G545" s="192">
        <v>18.579999999999998</v>
      </c>
      <c r="H545" s="64"/>
      <c r="I545" s="64"/>
    </row>
    <row r="546" spans="1:9" ht="15.75" hidden="1" customHeight="1">
      <c r="A546" s="64"/>
      <c r="B546" s="189"/>
      <c r="C546" s="189"/>
      <c r="D546" s="189"/>
      <c r="E546" s="190" t="s">
        <v>46</v>
      </c>
      <c r="F546" s="190"/>
      <c r="G546" s="191"/>
      <c r="H546" s="64"/>
      <c r="I546" s="64"/>
    </row>
    <row r="547" spans="1:9" ht="15.75" hidden="1" customHeight="1">
      <c r="A547" s="64"/>
      <c r="B547" s="185">
        <v>45918</v>
      </c>
      <c r="C547" s="183">
        <v>0</v>
      </c>
      <c r="D547" s="183">
        <v>13105</v>
      </c>
      <c r="E547" s="186" t="s">
        <v>31</v>
      </c>
      <c r="F547" s="187">
        <v>91803</v>
      </c>
      <c r="G547" s="192">
        <v>248.38</v>
      </c>
      <c r="H547" s="64"/>
      <c r="I547" s="64"/>
    </row>
    <row r="548" spans="1:9" ht="15.75" hidden="1" customHeight="1">
      <c r="A548" s="64"/>
      <c r="B548" s="189"/>
      <c r="C548" s="189"/>
      <c r="D548" s="189"/>
      <c r="E548" s="190" t="s">
        <v>45</v>
      </c>
      <c r="F548" s="190"/>
      <c r="G548" s="191"/>
      <c r="H548" s="64"/>
      <c r="I548" s="64"/>
    </row>
    <row r="549" spans="1:9" ht="15.75" hidden="1" customHeight="1">
      <c r="A549" s="64"/>
      <c r="B549" s="185">
        <v>45918</v>
      </c>
      <c r="C549" s="183">
        <v>0</v>
      </c>
      <c r="D549" s="183">
        <v>13105</v>
      </c>
      <c r="E549" s="186" t="s">
        <v>31</v>
      </c>
      <c r="F549" s="187">
        <v>91804</v>
      </c>
      <c r="G549" s="192">
        <v>326.58999999999997</v>
      </c>
      <c r="H549" s="64"/>
      <c r="I549" s="64"/>
    </row>
    <row r="550" spans="1:9" ht="15.75" hidden="1" customHeight="1">
      <c r="A550" s="64"/>
      <c r="B550" s="189"/>
      <c r="C550" s="189"/>
      <c r="D550" s="189"/>
      <c r="E550" s="190" t="s">
        <v>45</v>
      </c>
      <c r="F550" s="190"/>
      <c r="G550" s="191"/>
      <c r="H550" s="64"/>
      <c r="I550" s="64"/>
    </row>
    <row r="551" spans="1:9" ht="15.75" hidden="1" customHeight="1">
      <c r="A551" s="64"/>
      <c r="B551" s="185">
        <v>45918</v>
      </c>
      <c r="C551" s="183">
        <v>0</v>
      </c>
      <c r="D551" s="183">
        <v>13105</v>
      </c>
      <c r="E551" s="186" t="s">
        <v>31</v>
      </c>
      <c r="F551" s="187">
        <v>91805</v>
      </c>
      <c r="G551" s="192">
        <v>261.72000000000003</v>
      </c>
      <c r="H551" s="64"/>
      <c r="I551" s="64"/>
    </row>
    <row r="552" spans="1:9" ht="15.75" hidden="1" customHeight="1">
      <c r="A552" s="64"/>
      <c r="B552" s="189"/>
      <c r="C552" s="189"/>
      <c r="D552" s="189"/>
      <c r="E552" s="190" t="s">
        <v>45</v>
      </c>
      <c r="F552" s="190"/>
      <c r="G552" s="191"/>
      <c r="H552" s="64"/>
      <c r="I552" s="64"/>
    </row>
    <row r="553" spans="1:9" ht="15.75" hidden="1" customHeight="1">
      <c r="A553" s="64"/>
      <c r="B553" s="185">
        <v>45918</v>
      </c>
      <c r="C553" s="183">
        <v>0</v>
      </c>
      <c r="D553" s="183">
        <v>13105</v>
      </c>
      <c r="E553" s="186" t="s">
        <v>31</v>
      </c>
      <c r="F553" s="187">
        <v>91806</v>
      </c>
      <c r="G553" s="192">
        <v>255.57</v>
      </c>
      <c r="H553" s="64"/>
      <c r="I553" s="64"/>
    </row>
    <row r="554" spans="1:9" ht="15.75" hidden="1" customHeight="1">
      <c r="A554" s="64"/>
      <c r="B554" s="189"/>
      <c r="C554" s="189"/>
      <c r="D554" s="189"/>
      <c r="E554" s="190" t="s">
        <v>111</v>
      </c>
      <c r="F554" s="190"/>
      <c r="G554" s="191"/>
      <c r="H554" s="64"/>
      <c r="I554" s="64"/>
    </row>
    <row r="555" spans="1:9" ht="15.75" hidden="1" customHeight="1">
      <c r="A555" s="64"/>
      <c r="B555" s="185">
        <v>45918</v>
      </c>
      <c r="C555" s="183">
        <v>0</v>
      </c>
      <c r="D555" s="183">
        <v>13105</v>
      </c>
      <c r="E555" s="186" t="s">
        <v>31</v>
      </c>
      <c r="F555" s="187">
        <v>91807</v>
      </c>
      <c r="G555" s="192">
        <v>195.1</v>
      </c>
      <c r="H555" s="64"/>
      <c r="I555" s="64"/>
    </row>
    <row r="556" spans="1:9" ht="15.75" hidden="1" customHeight="1">
      <c r="A556" s="64"/>
      <c r="B556" s="189"/>
      <c r="C556" s="189"/>
      <c r="D556" s="189"/>
      <c r="E556" s="190" t="s">
        <v>111</v>
      </c>
      <c r="F556" s="190"/>
      <c r="G556" s="191"/>
      <c r="H556" s="64"/>
      <c r="I556" s="64"/>
    </row>
    <row r="557" spans="1:9" ht="15.75" hidden="1" customHeight="1">
      <c r="A557" s="64"/>
      <c r="B557" s="185">
        <v>45918</v>
      </c>
      <c r="C557" s="183">
        <v>0</v>
      </c>
      <c r="D557" s="183">
        <v>13105</v>
      </c>
      <c r="E557" s="186" t="s">
        <v>31</v>
      </c>
      <c r="F557" s="187">
        <v>91808</v>
      </c>
      <c r="G557" s="192">
        <v>445.33</v>
      </c>
      <c r="H557" s="64"/>
      <c r="I557" s="64"/>
    </row>
    <row r="558" spans="1:9" ht="15.75" hidden="1" customHeight="1">
      <c r="A558" s="64"/>
      <c r="B558" s="189"/>
      <c r="C558" s="189"/>
      <c r="D558" s="189"/>
      <c r="E558" s="190" t="s">
        <v>50</v>
      </c>
      <c r="F558" s="190"/>
      <c r="G558" s="191"/>
      <c r="H558" s="64"/>
      <c r="I558" s="64"/>
    </row>
    <row r="559" spans="1:9" ht="15.75" hidden="1" customHeight="1">
      <c r="A559" s="64"/>
      <c r="B559" s="185">
        <v>45918</v>
      </c>
      <c r="C559" s="183">
        <v>0</v>
      </c>
      <c r="D559" s="183">
        <v>13105</v>
      </c>
      <c r="E559" s="186" t="s">
        <v>31</v>
      </c>
      <c r="F559" s="187">
        <v>91809</v>
      </c>
      <c r="G559" s="192">
        <v>215.42</v>
      </c>
      <c r="H559" s="64"/>
      <c r="I559" s="64"/>
    </row>
    <row r="560" spans="1:9" ht="15.75" hidden="1" customHeight="1">
      <c r="A560" s="64"/>
      <c r="B560" s="189"/>
      <c r="C560" s="189"/>
      <c r="D560" s="189"/>
      <c r="E560" s="190" t="s">
        <v>50</v>
      </c>
      <c r="F560" s="190"/>
      <c r="G560" s="191"/>
      <c r="H560" s="64"/>
      <c r="I560" s="64"/>
    </row>
    <row r="561" spans="1:9" ht="15.75" hidden="1" customHeight="1">
      <c r="A561" s="64"/>
      <c r="B561" s="185">
        <v>45918</v>
      </c>
      <c r="C561" s="183">
        <v>0</v>
      </c>
      <c r="D561" s="183">
        <v>13105</v>
      </c>
      <c r="E561" s="186" t="s">
        <v>31</v>
      </c>
      <c r="F561" s="187">
        <v>91810</v>
      </c>
      <c r="G561" s="192">
        <v>35.72</v>
      </c>
      <c r="H561" s="64"/>
      <c r="I561" s="64"/>
    </row>
    <row r="562" spans="1:9" ht="15.75" hidden="1" customHeight="1">
      <c r="A562" s="64"/>
      <c r="B562" s="189"/>
      <c r="C562" s="189"/>
      <c r="D562" s="189"/>
      <c r="E562" s="190" t="s">
        <v>50</v>
      </c>
      <c r="F562" s="190"/>
      <c r="G562" s="191"/>
      <c r="H562" s="64"/>
      <c r="I562" s="64"/>
    </row>
    <row r="563" spans="1:9" ht="15.75" hidden="1" customHeight="1">
      <c r="A563" s="64"/>
      <c r="B563" s="185">
        <v>45918</v>
      </c>
      <c r="C563" s="183">
        <v>0</v>
      </c>
      <c r="D563" s="183">
        <v>13105</v>
      </c>
      <c r="E563" s="186" t="s">
        <v>31</v>
      </c>
      <c r="F563" s="187">
        <v>91811</v>
      </c>
      <c r="G563" s="192">
        <v>333.4</v>
      </c>
      <c r="H563" s="64"/>
      <c r="I563" s="64"/>
    </row>
    <row r="564" spans="1:9" ht="15.75" hidden="1" customHeight="1">
      <c r="A564" s="64"/>
      <c r="B564" s="189"/>
      <c r="C564" s="189"/>
      <c r="D564" s="189"/>
      <c r="E564" s="190" t="s">
        <v>41</v>
      </c>
      <c r="F564" s="190"/>
      <c r="G564" s="191"/>
      <c r="H564" s="64"/>
      <c r="I564" s="64"/>
    </row>
    <row r="565" spans="1:9" ht="15.75" hidden="1" customHeight="1">
      <c r="A565" s="64"/>
      <c r="B565" s="185">
        <v>45918</v>
      </c>
      <c r="C565" s="183">
        <v>0</v>
      </c>
      <c r="D565" s="183">
        <v>13105</v>
      </c>
      <c r="E565" s="186" t="s">
        <v>31</v>
      </c>
      <c r="F565" s="187">
        <v>91812</v>
      </c>
      <c r="G565" s="192">
        <v>1320</v>
      </c>
      <c r="H565" s="64"/>
      <c r="I565" s="64"/>
    </row>
    <row r="566" spans="1:9" ht="15.75" hidden="1" customHeight="1">
      <c r="A566" s="64"/>
      <c r="B566" s="189"/>
      <c r="C566" s="189"/>
      <c r="D566" s="189"/>
      <c r="E566" s="190" t="s">
        <v>769</v>
      </c>
      <c r="F566" s="190"/>
      <c r="G566" s="191"/>
      <c r="H566" s="64"/>
      <c r="I566" s="64"/>
    </row>
    <row r="567" spans="1:9" ht="15.75" hidden="1" customHeight="1">
      <c r="A567" s="64"/>
      <c r="B567" s="185">
        <v>45918</v>
      </c>
      <c r="C567" s="183">
        <v>0</v>
      </c>
      <c r="D567" s="183">
        <v>13105</v>
      </c>
      <c r="E567" s="186" t="s">
        <v>80</v>
      </c>
      <c r="F567" s="187">
        <v>91813</v>
      </c>
      <c r="G567" s="192">
        <v>11584.76</v>
      </c>
      <c r="H567" s="64"/>
      <c r="I567" s="64"/>
    </row>
    <row r="568" spans="1:9" ht="15.75" hidden="1" customHeight="1">
      <c r="A568" s="64"/>
      <c r="B568" s="189"/>
      <c r="C568" s="189"/>
      <c r="D568" s="189"/>
      <c r="E568" s="190" t="s">
        <v>154</v>
      </c>
      <c r="F568" s="190"/>
      <c r="G568" s="191"/>
      <c r="H568" s="64"/>
      <c r="I568" s="64"/>
    </row>
    <row r="569" spans="1:9" ht="15.75" hidden="1" customHeight="1">
      <c r="A569" s="64"/>
      <c r="B569" s="185">
        <v>45918</v>
      </c>
      <c r="C569" s="183">
        <v>0</v>
      </c>
      <c r="D569" s="183">
        <v>0</v>
      </c>
      <c r="E569" s="186" t="s">
        <v>52</v>
      </c>
      <c r="F569" s="187">
        <v>9903</v>
      </c>
      <c r="G569" s="188">
        <v>669.09</v>
      </c>
      <c r="H569" s="64"/>
      <c r="I569" s="64"/>
    </row>
    <row r="570" spans="1:9" ht="15.75" hidden="1" customHeight="1">
      <c r="A570" s="64"/>
      <c r="B570" s="189"/>
      <c r="C570" s="189"/>
      <c r="D570" s="189"/>
      <c r="E570" s="190" t="s">
        <v>53</v>
      </c>
      <c r="F570" s="190"/>
      <c r="G570" s="191"/>
      <c r="H570" s="64"/>
      <c r="I570" s="64"/>
    </row>
    <row r="571" spans="1:9" ht="15.75" hidden="1" customHeight="1">
      <c r="A571" s="64"/>
      <c r="B571" s="185">
        <v>45919</v>
      </c>
      <c r="C571" s="183">
        <v>0</v>
      </c>
      <c r="D571" s="183">
        <v>14397</v>
      </c>
      <c r="E571" s="186" t="s">
        <v>57</v>
      </c>
      <c r="F571" s="187">
        <v>190949464860301</v>
      </c>
      <c r="G571" s="188">
        <v>133</v>
      </c>
      <c r="H571" s="64"/>
      <c r="I571" s="64"/>
    </row>
    <row r="572" spans="1:9" ht="15.75" hidden="1" customHeight="1">
      <c r="A572" s="64"/>
      <c r="B572" s="189"/>
      <c r="C572" s="189"/>
      <c r="D572" s="189"/>
      <c r="E572" s="190" t="s">
        <v>1336</v>
      </c>
      <c r="F572" s="190"/>
      <c r="G572" s="191"/>
      <c r="H572" s="64"/>
      <c r="I572" s="64"/>
    </row>
    <row r="573" spans="1:9" ht="15.75" hidden="1" customHeight="1">
      <c r="A573" s="64"/>
      <c r="B573" s="185">
        <v>45919</v>
      </c>
      <c r="C573" s="183">
        <v>0</v>
      </c>
      <c r="D573" s="183">
        <v>14397</v>
      </c>
      <c r="E573" s="186" t="s">
        <v>57</v>
      </c>
      <c r="F573" s="187">
        <v>191710267646012</v>
      </c>
      <c r="G573" s="188">
        <v>500</v>
      </c>
      <c r="H573" s="64"/>
      <c r="I573" s="64"/>
    </row>
    <row r="574" spans="1:9" ht="15.75" hidden="1" customHeight="1">
      <c r="A574" s="64"/>
      <c r="B574" s="189"/>
      <c r="C574" s="189"/>
      <c r="D574" s="189"/>
      <c r="E574" s="190" t="s">
        <v>1337</v>
      </c>
      <c r="F574" s="190"/>
      <c r="G574" s="191"/>
      <c r="H574" s="64"/>
      <c r="I574" s="64"/>
    </row>
    <row r="575" spans="1:9" ht="15.75" customHeight="1">
      <c r="A575" s="179" t="s">
        <v>140</v>
      </c>
      <c r="B575" s="185">
        <v>45919</v>
      </c>
      <c r="C575" s="183">
        <v>0</v>
      </c>
      <c r="D575" s="183">
        <v>14138</v>
      </c>
      <c r="E575" s="186" t="s">
        <v>141</v>
      </c>
      <c r="F575" s="187">
        <v>202509180019485</v>
      </c>
      <c r="G575" s="188">
        <v>1476.65</v>
      </c>
      <c r="H575" s="64" t="s">
        <v>1338</v>
      </c>
      <c r="I575" s="64" t="s">
        <v>595</v>
      </c>
    </row>
    <row r="576" spans="1:9" ht="15.75" hidden="1" customHeight="1">
      <c r="A576" s="64"/>
      <c r="B576" s="189"/>
      <c r="C576" s="189"/>
      <c r="D576" s="189"/>
      <c r="E576" s="190" t="s">
        <v>143</v>
      </c>
      <c r="F576" s="190"/>
      <c r="G576" s="191"/>
      <c r="H576" s="64"/>
      <c r="I576" s="64"/>
    </row>
    <row r="577" spans="1:9" ht="15.75" customHeight="1">
      <c r="A577" s="179" t="s">
        <v>140</v>
      </c>
      <c r="B577" s="185">
        <v>45919</v>
      </c>
      <c r="C577" s="183">
        <v>0</v>
      </c>
      <c r="D577" s="183">
        <v>14138</v>
      </c>
      <c r="E577" s="186" t="s">
        <v>141</v>
      </c>
      <c r="F577" s="187">
        <v>202509180019486</v>
      </c>
      <c r="G577" s="188">
        <v>582.62</v>
      </c>
      <c r="H577" s="64" t="s">
        <v>1339</v>
      </c>
      <c r="I577" s="64" t="s">
        <v>595</v>
      </c>
    </row>
    <row r="578" spans="1:9" ht="15.75" hidden="1" customHeight="1">
      <c r="A578" s="64"/>
      <c r="B578" s="189"/>
      <c r="C578" s="189"/>
      <c r="D578" s="189"/>
      <c r="E578" s="190" t="s">
        <v>143</v>
      </c>
      <c r="F578" s="190"/>
      <c r="G578" s="191"/>
      <c r="H578" s="64"/>
      <c r="I578" s="64"/>
    </row>
    <row r="579" spans="1:9" ht="15.75" customHeight="1">
      <c r="A579" s="179" t="s">
        <v>140</v>
      </c>
      <c r="B579" s="185">
        <v>45919</v>
      </c>
      <c r="C579" s="183">
        <v>0</v>
      </c>
      <c r="D579" s="183">
        <v>14138</v>
      </c>
      <c r="E579" s="186" t="s">
        <v>141</v>
      </c>
      <c r="F579" s="187">
        <v>202509180019487</v>
      </c>
      <c r="G579" s="188">
        <v>1476.65</v>
      </c>
      <c r="H579" s="64" t="s">
        <v>1340</v>
      </c>
      <c r="I579" s="64" t="s">
        <v>595</v>
      </c>
    </row>
    <row r="580" spans="1:9" ht="15.75" hidden="1" customHeight="1">
      <c r="A580" s="64"/>
      <c r="B580" s="189"/>
      <c r="C580" s="189"/>
      <c r="D580" s="189"/>
      <c r="E580" s="190" t="s">
        <v>143</v>
      </c>
      <c r="F580" s="190"/>
      <c r="G580" s="191"/>
      <c r="H580" s="64"/>
      <c r="I580" s="64"/>
    </row>
    <row r="581" spans="1:9" ht="15.75" customHeight="1">
      <c r="A581" s="179" t="s">
        <v>140</v>
      </c>
      <c r="B581" s="185">
        <v>45919</v>
      </c>
      <c r="C581" s="183">
        <v>0</v>
      </c>
      <c r="D581" s="183">
        <v>14138</v>
      </c>
      <c r="E581" s="186" t="s">
        <v>141</v>
      </c>
      <c r="F581" s="187">
        <v>202509180019488</v>
      </c>
      <c r="G581" s="188">
        <v>582.62</v>
      </c>
      <c r="H581" s="64" t="s">
        <v>1341</v>
      </c>
      <c r="I581" s="64" t="s">
        <v>595</v>
      </c>
    </row>
    <row r="582" spans="1:9" ht="15.75" hidden="1" customHeight="1">
      <c r="A582" s="64"/>
      <c r="B582" s="189"/>
      <c r="C582" s="189"/>
      <c r="D582" s="189"/>
      <c r="E582" s="190" t="s">
        <v>143</v>
      </c>
      <c r="F582" s="190"/>
      <c r="G582" s="191"/>
      <c r="H582" s="64"/>
      <c r="I582" s="64"/>
    </row>
    <row r="583" spans="1:9" ht="15.75" customHeight="1">
      <c r="A583" s="179" t="s">
        <v>140</v>
      </c>
      <c r="B583" s="185">
        <v>45919</v>
      </c>
      <c r="C583" s="183">
        <v>0</v>
      </c>
      <c r="D583" s="183">
        <v>14138</v>
      </c>
      <c r="E583" s="186" t="s">
        <v>141</v>
      </c>
      <c r="F583" s="187">
        <v>202509180019504</v>
      </c>
      <c r="G583" s="188">
        <v>1553.66</v>
      </c>
      <c r="H583" s="64" t="s">
        <v>1342</v>
      </c>
      <c r="I583" s="64" t="s">
        <v>595</v>
      </c>
    </row>
    <row r="584" spans="1:9" ht="15.75" hidden="1" customHeight="1">
      <c r="A584" s="64"/>
      <c r="B584" s="189"/>
      <c r="C584" s="189"/>
      <c r="D584" s="189"/>
      <c r="E584" s="190" t="s">
        <v>143</v>
      </c>
      <c r="F584" s="190"/>
      <c r="G584" s="191"/>
      <c r="H584" s="64"/>
      <c r="I584" s="64"/>
    </row>
    <row r="585" spans="1:9" ht="15.75" customHeight="1">
      <c r="A585" s="179" t="s">
        <v>140</v>
      </c>
      <c r="B585" s="185">
        <v>45919</v>
      </c>
      <c r="C585" s="183">
        <v>0</v>
      </c>
      <c r="D585" s="183">
        <v>14138</v>
      </c>
      <c r="E585" s="186" t="s">
        <v>141</v>
      </c>
      <c r="F585" s="187">
        <v>202509180019505</v>
      </c>
      <c r="G585" s="188">
        <v>1476.65</v>
      </c>
      <c r="H585" s="64" t="s">
        <v>1343</v>
      </c>
      <c r="I585" s="64" t="s">
        <v>595</v>
      </c>
    </row>
    <row r="586" spans="1:9" ht="15.75" hidden="1" customHeight="1">
      <c r="A586" s="64"/>
      <c r="B586" s="189"/>
      <c r="C586" s="189"/>
      <c r="D586" s="189"/>
      <c r="E586" s="190" t="s">
        <v>143</v>
      </c>
      <c r="F586" s="190"/>
      <c r="G586" s="191"/>
      <c r="H586" s="64"/>
      <c r="I586" s="64"/>
    </row>
    <row r="587" spans="1:9" ht="15.75" customHeight="1">
      <c r="A587" s="179" t="s">
        <v>140</v>
      </c>
      <c r="B587" s="185">
        <v>45919</v>
      </c>
      <c r="C587" s="183">
        <v>0</v>
      </c>
      <c r="D587" s="183">
        <v>14138</v>
      </c>
      <c r="E587" s="186" t="s">
        <v>141</v>
      </c>
      <c r="F587" s="187">
        <v>202509180019506</v>
      </c>
      <c r="G587" s="188">
        <v>1553.66</v>
      </c>
      <c r="H587" s="64" t="s">
        <v>1344</v>
      </c>
      <c r="I587" s="64" t="s">
        <v>595</v>
      </c>
    </row>
    <row r="588" spans="1:9" ht="15.75" hidden="1" customHeight="1">
      <c r="A588" s="64"/>
      <c r="B588" s="189"/>
      <c r="C588" s="189"/>
      <c r="D588" s="189"/>
      <c r="E588" s="190" t="s">
        <v>143</v>
      </c>
      <c r="F588" s="190"/>
      <c r="G588" s="191"/>
      <c r="H588" s="64"/>
      <c r="I588" s="64"/>
    </row>
    <row r="589" spans="1:9" ht="15.75" customHeight="1">
      <c r="A589" s="179" t="s">
        <v>140</v>
      </c>
      <c r="B589" s="185">
        <v>45919</v>
      </c>
      <c r="C589" s="183">
        <v>0</v>
      </c>
      <c r="D589" s="183">
        <v>14138</v>
      </c>
      <c r="E589" s="186" t="s">
        <v>141</v>
      </c>
      <c r="F589" s="187">
        <v>202509180019507</v>
      </c>
      <c r="G589" s="188">
        <v>1476.65</v>
      </c>
      <c r="H589" s="64" t="s">
        <v>1345</v>
      </c>
      <c r="I589" s="64" t="s">
        <v>595</v>
      </c>
    </row>
    <row r="590" spans="1:9" ht="15.75" hidden="1" customHeight="1">
      <c r="A590" s="64"/>
      <c r="B590" s="189"/>
      <c r="C590" s="189"/>
      <c r="D590" s="189"/>
      <c r="E590" s="190" t="s">
        <v>143</v>
      </c>
      <c r="F590" s="190"/>
      <c r="G590" s="191"/>
      <c r="H590" s="64"/>
      <c r="I590" s="64"/>
    </row>
    <row r="591" spans="1:9" ht="15.75" hidden="1" customHeight="1">
      <c r="A591" s="64"/>
      <c r="B591" s="185">
        <v>45919</v>
      </c>
      <c r="C591" s="183">
        <v>1533</v>
      </c>
      <c r="D591" s="183">
        <v>99008</v>
      </c>
      <c r="E591" s="186" t="s">
        <v>29</v>
      </c>
      <c r="F591" s="187">
        <v>746090</v>
      </c>
      <c r="G591" s="192">
        <v>224.46</v>
      </c>
      <c r="H591" s="64"/>
      <c r="I591" s="64"/>
    </row>
    <row r="592" spans="1:9" ht="15.75" hidden="1" customHeight="1">
      <c r="A592" s="64"/>
      <c r="B592" s="189"/>
      <c r="C592" s="189"/>
      <c r="D592" s="189"/>
      <c r="E592" s="190" t="s">
        <v>1346</v>
      </c>
      <c r="F592" s="190"/>
      <c r="G592" s="191"/>
      <c r="H592" s="64"/>
      <c r="I592" s="64"/>
    </row>
    <row r="593" spans="1:9" ht="15.75" hidden="1" customHeight="1">
      <c r="A593" s="64"/>
      <c r="B593" s="185">
        <v>45919</v>
      </c>
      <c r="C593" s="183">
        <v>0</v>
      </c>
      <c r="D593" s="183">
        <v>13105</v>
      </c>
      <c r="E593" s="186" t="s">
        <v>118</v>
      </c>
      <c r="F593" s="187">
        <v>91901</v>
      </c>
      <c r="G593" s="192">
        <v>2010.34</v>
      </c>
      <c r="H593" s="64"/>
      <c r="I593" s="64"/>
    </row>
    <row r="594" spans="1:9" ht="15.75" hidden="1" customHeight="1">
      <c r="A594" s="64"/>
      <c r="B594" s="189"/>
      <c r="C594" s="189"/>
      <c r="D594" s="189"/>
      <c r="E594" s="190" t="s">
        <v>1347</v>
      </c>
      <c r="F594" s="190"/>
      <c r="G594" s="191"/>
      <c r="H594" s="64"/>
      <c r="I594" s="64"/>
    </row>
    <row r="595" spans="1:9" ht="15.75" hidden="1" customHeight="1">
      <c r="A595" s="64"/>
      <c r="B595" s="185">
        <v>45919</v>
      </c>
      <c r="C595" s="183">
        <v>0</v>
      </c>
      <c r="D595" s="183">
        <v>13105</v>
      </c>
      <c r="E595" s="186" t="s">
        <v>31</v>
      </c>
      <c r="F595" s="187">
        <v>91902</v>
      </c>
      <c r="G595" s="192">
        <v>2499.5700000000002</v>
      </c>
      <c r="H595" s="64"/>
      <c r="I595" s="64"/>
    </row>
    <row r="596" spans="1:9" ht="15.75" hidden="1" customHeight="1">
      <c r="A596" s="64"/>
      <c r="B596" s="189"/>
      <c r="C596" s="189"/>
      <c r="D596" s="189"/>
      <c r="E596" s="190" t="s">
        <v>348</v>
      </c>
      <c r="F596" s="190"/>
      <c r="G596" s="191"/>
      <c r="H596" s="64"/>
      <c r="I596" s="64"/>
    </row>
    <row r="597" spans="1:9" ht="15.75" hidden="1" customHeight="1">
      <c r="A597" s="64"/>
      <c r="B597" s="185">
        <v>45919</v>
      </c>
      <c r="C597" s="183">
        <v>0</v>
      </c>
      <c r="D597" s="183">
        <v>13105</v>
      </c>
      <c r="E597" s="186" t="s">
        <v>31</v>
      </c>
      <c r="F597" s="187">
        <v>91903</v>
      </c>
      <c r="G597" s="192">
        <v>1338.05</v>
      </c>
      <c r="H597" s="64"/>
      <c r="I597" s="64"/>
    </row>
    <row r="598" spans="1:9" ht="15.75" hidden="1" customHeight="1">
      <c r="A598" s="64"/>
      <c r="B598" s="189"/>
      <c r="C598" s="189"/>
      <c r="D598" s="189"/>
      <c r="E598" s="190" t="s">
        <v>38</v>
      </c>
      <c r="F598" s="190"/>
      <c r="G598" s="191"/>
      <c r="H598" s="64"/>
      <c r="I598" s="64"/>
    </row>
    <row r="599" spans="1:9" ht="15.75" hidden="1" customHeight="1">
      <c r="A599" s="64"/>
      <c r="B599" s="185">
        <v>45919</v>
      </c>
      <c r="C599" s="183">
        <v>0</v>
      </c>
      <c r="D599" s="183">
        <v>13105</v>
      </c>
      <c r="E599" s="186" t="s">
        <v>31</v>
      </c>
      <c r="F599" s="187">
        <v>91904</v>
      </c>
      <c r="G599" s="192">
        <v>138</v>
      </c>
      <c r="H599" s="64"/>
      <c r="I599" s="64"/>
    </row>
    <row r="600" spans="1:9" ht="15.75" hidden="1" customHeight="1">
      <c r="A600" s="64"/>
      <c r="B600" s="189"/>
      <c r="C600" s="189"/>
      <c r="D600" s="189"/>
      <c r="E600" s="190" t="s">
        <v>67</v>
      </c>
      <c r="F600" s="190"/>
      <c r="G600" s="191"/>
      <c r="H600" s="64"/>
      <c r="I600" s="64"/>
    </row>
    <row r="601" spans="1:9" ht="15.75" hidden="1" customHeight="1">
      <c r="A601" s="64"/>
      <c r="B601" s="185">
        <v>45919</v>
      </c>
      <c r="C601" s="183">
        <v>0</v>
      </c>
      <c r="D601" s="183">
        <v>13105</v>
      </c>
      <c r="E601" s="186" t="s">
        <v>31</v>
      </c>
      <c r="F601" s="187">
        <v>91905</v>
      </c>
      <c r="G601" s="192">
        <v>859.99</v>
      </c>
      <c r="H601" s="64"/>
      <c r="I601" s="64"/>
    </row>
    <row r="602" spans="1:9" ht="15.75" hidden="1" customHeight="1">
      <c r="A602" s="64"/>
      <c r="B602" s="189"/>
      <c r="C602" s="189"/>
      <c r="D602" s="189"/>
      <c r="E602" s="190" t="s">
        <v>46</v>
      </c>
      <c r="F602" s="190"/>
      <c r="G602" s="191"/>
      <c r="H602" s="64"/>
      <c r="I602" s="64"/>
    </row>
    <row r="603" spans="1:9" ht="15.75" hidden="1" customHeight="1">
      <c r="A603" s="64"/>
      <c r="B603" s="185">
        <v>45919</v>
      </c>
      <c r="C603" s="183">
        <v>0</v>
      </c>
      <c r="D603" s="183">
        <v>13105</v>
      </c>
      <c r="E603" s="186" t="s">
        <v>31</v>
      </c>
      <c r="F603" s="187">
        <v>91906</v>
      </c>
      <c r="G603" s="192">
        <v>558.22</v>
      </c>
      <c r="H603" s="64"/>
      <c r="I603" s="64"/>
    </row>
    <row r="604" spans="1:9" ht="15.75" hidden="1" customHeight="1">
      <c r="A604" s="64"/>
      <c r="B604" s="189"/>
      <c r="C604" s="189"/>
      <c r="D604" s="189"/>
      <c r="E604" s="190" t="s">
        <v>340</v>
      </c>
      <c r="F604" s="190"/>
      <c r="G604" s="191"/>
      <c r="H604" s="64"/>
      <c r="I604" s="64"/>
    </row>
    <row r="605" spans="1:9" ht="15.75" hidden="1" customHeight="1">
      <c r="A605" s="64"/>
      <c r="B605" s="185">
        <v>45919</v>
      </c>
      <c r="C605" s="183">
        <v>0</v>
      </c>
      <c r="D605" s="183">
        <v>13105</v>
      </c>
      <c r="E605" s="186" t="s">
        <v>31</v>
      </c>
      <c r="F605" s="187">
        <v>91907</v>
      </c>
      <c r="G605" s="192">
        <v>316.99</v>
      </c>
      <c r="H605" s="64"/>
      <c r="I605" s="64"/>
    </row>
    <row r="606" spans="1:9" ht="15.75" hidden="1" customHeight="1">
      <c r="A606" s="64"/>
      <c r="B606" s="189"/>
      <c r="C606" s="189"/>
      <c r="D606" s="189"/>
      <c r="E606" s="190" t="s">
        <v>1190</v>
      </c>
      <c r="F606" s="190"/>
      <c r="G606" s="191"/>
      <c r="H606" s="64"/>
      <c r="I606" s="64"/>
    </row>
    <row r="607" spans="1:9" ht="15.75" hidden="1" customHeight="1">
      <c r="A607" s="64"/>
      <c r="B607" s="185">
        <v>45919</v>
      </c>
      <c r="C607" s="183">
        <v>0</v>
      </c>
      <c r="D607" s="183">
        <v>13105</v>
      </c>
      <c r="E607" s="186" t="s">
        <v>31</v>
      </c>
      <c r="F607" s="187">
        <v>91908</v>
      </c>
      <c r="G607" s="192">
        <v>202.5</v>
      </c>
      <c r="H607" s="64"/>
      <c r="I607" s="64"/>
    </row>
    <row r="608" spans="1:9" ht="15.75" hidden="1" customHeight="1">
      <c r="A608" s="64"/>
      <c r="B608" s="189"/>
      <c r="C608" s="189"/>
      <c r="D608" s="189"/>
      <c r="E608" s="190" t="s">
        <v>111</v>
      </c>
      <c r="F608" s="190"/>
      <c r="G608" s="191"/>
      <c r="H608" s="64"/>
      <c r="I608" s="64"/>
    </row>
    <row r="609" spans="1:9" ht="15.75" hidden="1" customHeight="1">
      <c r="A609" s="64"/>
      <c r="B609" s="185">
        <v>45919</v>
      </c>
      <c r="C609" s="183">
        <v>0</v>
      </c>
      <c r="D609" s="183">
        <v>13105</v>
      </c>
      <c r="E609" s="186" t="s">
        <v>31</v>
      </c>
      <c r="F609" s="187">
        <v>91909</v>
      </c>
      <c r="G609" s="192">
        <v>358.31</v>
      </c>
      <c r="H609" s="64"/>
      <c r="I609" s="64"/>
    </row>
    <row r="610" spans="1:9" ht="15.75" hidden="1" customHeight="1">
      <c r="A610" s="64"/>
      <c r="B610" s="189"/>
      <c r="C610" s="189"/>
      <c r="D610" s="189"/>
      <c r="E610" s="190" t="s">
        <v>45</v>
      </c>
      <c r="F610" s="190"/>
      <c r="G610" s="191"/>
      <c r="H610" s="64"/>
      <c r="I610" s="64"/>
    </row>
    <row r="611" spans="1:9" ht="15.75" hidden="1" customHeight="1">
      <c r="A611" s="64"/>
      <c r="B611" s="185">
        <v>45919</v>
      </c>
      <c r="C611" s="183">
        <v>0</v>
      </c>
      <c r="D611" s="183">
        <v>13105</v>
      </c>
      <c r="E611" s="186" t="s">
        <v>31</v>
      </c>
      <c r="F611" s="187">
        <v>91910</v>
      </c>
      <c r="G611" s="192">
        <v>445.34</v>
      </c>
      <c r="H611" s="64"/>
      <c r="I611" s="64"/>
    </row>
    <row r="612" spans="1:9" ht="15.75" hidden="1" customHeight="1">
      <c r="A612" s="64"/>
      <c r="B612" s="189"/>
      <c r="C612" s="189"/>
      <c r="D612" s="189"/>
      <c r="E612" s="190" t="s">
        <v>50</v>
      </c>
      <c r="F612" s="190"/>
      <c r="G612" s="191"/>
      <c r="H612" s="64"/>
      <c r="I612" s="64"/>
    </row>
    <row r="613" spans="1:9" ht="15.75" hidden="1" customHeight="1">
      <c r="A613" s="64"/>
      <c r="B613" s="185">
        <v>45919</v>
      </c>
      <c r="C613" s="183">
        <v>0</v>
      </c>
      <c r="D613" s="183">
        <v>13105</v>
      </c>
      <c r="E613" s="186" t="s">
        <v>31</v>
      </c>
      <c r="F613" s="187">
        <v>91911</v>
      </c>
      <c r="G613" s="192">
        <v>215.44</v>
      </c>
      <c r="H613" s="64"/>
      <c r="I613" s="64"/>
    </row>
    <row r="614" spans="1:9" ht="15.75" hidden="1" customHeight="1">
      <c r="A614" s="64"/>
      <c r="B614" s="189"/>
      <c r="C614" s="189"/>
      <c r="D614" s="189"/>
      <c r="E614" s="190" t="s">
        <v>50</v>
      </c>
      <c r="F614" s="190"/>
      <c r="G614" s="191"/>
      <c r="H614" s="64"/>
      <c r="I614" s="64"/>
    </row>
    <row r="615" spans="1:9" ht="15.75" hidden="1" customHeight="1">
      <c r="A615" s="64"/>
      <c r="B615" s="185">
        <v>45919</v>
      </c>
      <c r="C615" s="183">
        <v>0</v>
      </c>
      <c r="D615" s="183">
        <v>13105</v>
      </c>
      <c r="E615" s="186" t="s">
        <v>118</v>
      </c>
      <c r="F615" s="187">
        <v>91912</v>
      </c>
      <c r="G615" s="192">
        <v>1817.01</v>
      </c>
      <c r="H615" s="64"/>
      <c r="I615" s="64"/>
    </row>
    <row r="616" spans="1:9" ht="15.75" hidden="1" customHeight="1">
      <c r="A616" s="64"/>
      <c r="B616" s="189"/>
      <c r="C616" s="189"/>
      <c r="D616" s="189"/>
      <c r="E616" s="190" t="s">
        <v>1348</v>
      </c>
      <c r="F616" s="190"/>
      <c r="G616" s="191"/>
      <c r="H616" s="64"/>
      <c r="I616" s="64"/>
    </row>
    <row r="617" spans="1:9" ht="15.75" hidden="1" customHeight="1">
      <c r="A617" s="64"/>
      <c r="B617" s="185">
        <v>45919</v>
      </c>
      <c r="C617" s="183">
        <v>0</v>
      </c>
      <c r="D617" s="183">
        <v>0</v>
      </c>
      <c r="E617" s="186" t="s">
        <v>52</v>
      </c>
      <c r="F617" s="187">
        <v>9903</v>
      </c>
      <c r="G617" s="188">
        <v>172.06</v>
      </c>
      <c r="H617" s="64"/>
      <c r="I617" s="64"/>
    </row>
    <row r="618" spans="1:9" ht="15.75" hidden="1" customHeight="1">
      <c r="A618" s="64"/>
      <c r="B618" s="189"/>
      <c r="C618" s="189"/>
      <c r="D618" s="189"/>
      <c r="E618" s="190" t="s">
        <v>53</v>
      </c>
      <c r="F618" s="190"/>
      <c r="G618" s="191"/>
      <c r="H618" s="64"/>
      <c r="I618" s="64"/>
    </row>
    <row r="619" spans="1:9" ht="15.75" hidden="1" customHeight="1">
      <c r="A619" s="64"/>
      <c r="B619" s="185">
        <v>45922</v>
      </c>
      <c r="C619" s="183">
        <v>3525</v>
      </c>
      <c r="D619" s="183">
        <v>99021</v>
      </c>
      <c r="E619" s="186" t="s">
        <v>27</v>
      </c>
      <c r="F619" s="187">
        <v>613525000032047</v>
      </c>
      <c r="G619" s="188">
        <v>402.65</v>
      </c>
      <c r="H619" s="64"/>
      <c r="I619" s="64"/>
    </row>
    <row r="620" spans="1:9" ht="15.75" hidden="1" customHeight="1">
      <c r="A620" s="64"/>
      <c r="B620" s="189"/>
      <c r="C620" s="189"/>
      <c r="D620" s="189"/>
      <c r="E620" s="190" t="s">
        <v>1349</v>
      </c>
      <c r="F620" s="190"/>
      <c r="G620" s="191"/>
      <c r="H620" s="64"/>
      <c r="I620" s="64"/>
    </row>
    <row r="621" spans="1:9" ht="15.75" hidden="1" customHeight="1">
      <c r="A621" s="64"/>
      <c r="B621" s="185">
        <v>45922</v>
      </c>
      <c r="C621" s="183">
        <v>5072</v>
      </c>
      <c r="D621" s="183">
        <v>99021</v>
      </c>
      <c r="E621" s="186" t="s">
        <v>27</v>
      </c>
      <c r="F621" s="187">
        <v>615072000004700</v>
      </c>
      <c r="G621" s="188">
        <v>1468.88</v>
      </c>
      <c r="H621" s="64"/>
      <c r="I621" s="64"/>
    </row>
    <row r="622" spans="1:9" ht="15.75" hidden="1" customHeight="1">
      <c r="A622" s="64"/>
      <c r="B622" s="189"/>
      <c r="C622" s="189"/>
      <c r="D622" s="189"/>
      <c r="E622" s="190" t="s">
        <v>1350</v>
      </c>
      <c r="F622" s="190"/>
      <c r="G622" s="191"/>
      <c r="H622" s="64"/>
      <c r="I622" s="64"/>
    </row>
    <row r="623" spans="1:9" ht="15.75" customHeight="1">
      <c r="A623" s="179" t="s">
        <v>140</v>
      </c>
      <c r="B623" s="185">
        <v>45922</v>
      </c>
      <c r="C623" s="183">
        <v>0</v>
      </c>
      <c r="D623" s="183">
        <v>14138</v>
      </c>
      <c r="E623" s="186" t="s">
        <v>141</v>
      </c>
      <c r="F623" s="187">
        <v>202509190015639</v>
      </c>
      <c r="G623" s="188">
        <v>25.16</v>
      </c>
      <c r="H623" s="79" t="s">
        <v>1351</v>
      </c>
      <c r="I623" s="64" t="s">
        <v>419</v>
      </c>
    </row>
    <row r="624" spans="1:9" ht="15.75" hidden="1" customHeight="1">
      <c r="A624" s="64"/>
      <c r="B624" s="189"/>
      <c r="C624" s="189"/>
      <c r="D624" s="189"/>
      <c r="E624" s="190" t="s">
        <v>143</v>
      </c>
      <c r="F624" s="190"/>
      <c r="G624" s="191"/>
      <c r="H624" s="64"/>
      <c r="I624" s="64"/>
    </row>
    <row r="625" spans="1:9" ht="15.75" customHeight="1">
      <c r="A625" s="179" t="s">
        <v>140</v>
      </c>
      <c r="B625" s="185">
        <v>45922</v>
      </c>
      <c r="C625" s="183">
        <v>0</v>
      </c>
      <c r="D625" s="183">
        <v>14138</v>
      </c>
      <c r="E625" s="186" t="s">
        <v>141</v>
      </c>
      <c r="F625" s="187">
        <v>202509190015654</v>
      </c>
      <c r="G625" s="188">
        <v>609.28</v>
      </c>
      <c r="H625" s="64" t="s">
        <v>1352</v>
      </c>
      <c r="I625" s="64" t="s">
        <v>419</v>
      </c>
    </row>
    <row r="626" spans="1:9" ht="15.75" hidden="1" customHeight="1">
      <c r="A626" s="64"/>
      <c r="B626" s="189"/>
      <c r="C626" s="189"/>
      <c r="D626" s="189"/>
      <c r="E626" s="190" t="s">
        <v>143</v>
      </c>
      <c r="F626" s="190"/>
      <c r="G626" s="191"/>
      <c r="H626" s="64"/>
      <c r="I626" s="64"/>
    </row>
    <row r="627" spans="1:9" ht="15.75" hidden="1" customHeight="1">
      <c r="A627" s="64"/>
      <c r="B627" s="185">
        <v>45922</v>
      </c>
      <c r="C627" s="183">
        <v>0</v>
      </c>
      <c r="D627" s="183">
        <v>14397</v>
      </c>
      <c r="E627" s="186" t="s">
        <v>57</v>
      </c>
      <c r="F627" s="187">
        <v>221716544221692</v>
      </c>
      <c r="G627" s="188">
        <v>7600</v>
      </c>
      <c r="H627" s="64"/>
      <c r="I627" s="64"/>
    </row>
    <row r="628" spans="1:9" ht="15.75" hidden="1" customHeight="1">
      <c r="A628" s="64"/>
      <c r="B628" s="189"/>
      <c r="C628" s="189"/>
      <c r="D628" s="189"/>
      <c r="E628" s="190" t="s">
        <v>1353</v>
      </c>
      <c r="F628" s="190"/>
      <c r="G628" s="191"/>
      <c r="H628" s="64"/>
      <c r="I628" s="64"/>
    </row>
    <row r="629" spans="1:9" ht="15.75" hidden="1" customHeight="1">
      <c r="A629" s="64"/>
      <c r="B629" s="185">
        <v>45922</v>
      </c>
      <c r="C629" s="183">
        <v>0</v>
      </c>
      <c r="D629" s="183">
        <v>14397</v>
      </c>
      <c r="E629" s="186" t="s">
        <v>57</v>
      </c>
      <c r="F629" s="187">
        <v>221722592261681</v>
      </c>
      <c r="G629" s="188">
        <v>2500</v>
      </c>
      <c r="H629" s="64"/>
      <c r="I629" s="64"/>
    </row>
    <row r="630" spans="1:9" ht="15.75" hidden="1" customHeight="1">
      <c r="A630" s="64"/>
      <c r="B630" s="189"/>
      <c r="C630" s="189"/>
      <c r="D630" s="189"/>
      <c r="E630" s="190" t="s">
        <v>1354</v>
      </c>
      <c r="F630" s="190"/>
      <c r="G630" s="191"/>
      <c r="H630" s="64"/>
      <c r="I630" s="64"/>
    </row>
    <row r="631" spans="1:9" ht="15.75" hidden="1" customHeight="1">
      <c r="A631" s="64"/>
      <c r="B631" s="185">
        <v>45922</v>
      </c>
      <c r="C631" s="183">
        <v>0</v>
      </c>
      <c r="D631" s="183">
        <v>14397</v>
      </c>
      <c r="E631" s="186" t="s">
        <v>57</v>
      </c>
      <c r="F631" s="187">
        <v>221852569776861</v>
      </c>
      <c r="G631" s="188">
        <v>392.75</v>
      </c>
      <c r="H631" s="64"/>
      <c r="I631" s="64"/>
    </row>
    <row r="632" spans="1:9" ht="15.75" hidden="1" customHeight="1">
      <c r="A632" s="64"/>
      <c r="B632" s="189"/>
      <c r="C632" s="189"/>
      <c r="D632" s="189"/>
      <c r="E632" s="190" t="s">
        <v>1355</v>
      </c>
      <c r="F632" s="190"/>
      <c r="G632" s="191"/>
      <c r="H632" s="64"/>
      <c r="I632" s="64"/>
    </row>
    <row r="633" spans="1:9" ht="15.75" hidden="1" customHeight="1">
      <c r="A633" s="64"/>
      <c r="B633" s="185">
        <v>45922</v>
      </c>
      <c r="C633" s="183">
        <v>0</v>
      </c>
      <c r="D633" s="183">
        <v>13105</v>
      </c>
      <c r="E633" s="186" t="s">
        <v>31</v>
      </c>
      <c r="F633" s="187">
        <v>92201</v>
      </c>
      <c r="G633" s="192">
        <v>246.25</v>
      </c>
      <c r="H633" s="64"/>
      <c r="I633" s="64"/>
    </row>
    <row r="634" spans="1:9" ht="15.75" hidden="1" customHeight="1">
      <c r="A634" s="64"/>
      <c r="B634" s="189"/>
      <c r="C634" s="189"/>
      <c r="D634" s="189"/>
      <c r="E634" s="190" t="s">
        <v>1318</v>
      </c>
      <c r="F634" s="190"/>
      <c r="G634" s="191"/>
      <c r="H634" s="64"/>
      <c r="I634" s="64"/>
    </row>
    <row r="635" spans="1:9" ht="15.75" hidden="1" customHeight="1">
      <c r="A635" s="64"/>
      <c r="B635" s="185">
        <v>45922</v>
      </c>
      <c r="C635" s="183">
        <v>0</v>
      </c>
      <c r="D635" s="183">
        <v>13105</v>
      </c>
      <c r="E635" s="186" t="s">
        <v>31</v>
      </c>
      <c r="F635" s="187">
        <v>92202</v>
      </c>
      <c r="G635" s="192">
        <v>352.82</v>
      </c>
      <c r="H635" s="64"/>
      <c r="I635" s="64"/>
    </row>
    <row r="636" spans="1:9" ht="15.75" hidden="1" customHeight="1">
      <c r="A636" s="64"/>
      <c r="B636" s="189"/>
      <c r="C636" s="189"/>
      <c r="D636" s="189"/>
      <c r="E636" s="190" t="s">
        <v>231</v>
      </c>
      <c r="F636" s="190"/>
      <c r="G636" s="191"/>
      <c r="H636" s="64"/>
      <c r="I636" s="64"/>
    </row>
    <row r="637" spans="1:9" ht="15.75" hidden="1" customHeight="1">
      <c r="A637" s="64"/>
      <c r="B637" s="185">
        <v>45922</v>
      </c>
      <c r="C637" s="183">
        <v>0</v>
      </c>
      <c r="D637" s="183">
        <v>13105</v>
      </c>
      <c r="E637" s="186" t="s">
        <v>31</v>
      </c>
      <c r="F637" s="187">
        <v>92203</v>
      </c>
      <c r="G637" s="192">
        <v>4890</v>
      </c>
      <c r="H637" s="64"/>
      <c r="I637" s="64"/>
    </row>
    <row r="638" spans="1:9" ht="15.75" hidden="1" customHeight="1">
      <c r="A638" s="64"/>
      <c r="B638" s="189"/>
      <c r="C638" s="189"/>
      <c r="D638" s="189"/>
      <c r="E638" s="190" t="s">
        <v>32</v>
      </c>
      <c r="F638" s="190"/>
      <c r="G638" s="191"/>
      <c r="H638" s="64"/>
      <c r="I638" s="64"/>
    </row>
    <row r="639" spans="1:9" ht="15.75" hidden="1" customHeight="1">
      <c r="A639" s="64"/>
      <c r="B639" s="185">
        <v>45922</v>
      </c>
      <c r="C639" s="183">
        <v>0</v>
      </c>
      <c r="D639" s="183">
        <v>13105</v>
      </c>
      <c r="E639" s="186" t="s">
        <v>31</v>
      </c>
      <c r="F639" s="187">
        <v>92204</v>
      </c>
      <c r="G639" s="192">
        <v>2470</v>
      </c>
      <c r="H639" s="64"/>
      <c r="I639" s="64"/>
    </row>
    <row r="640" spans="1:9" ht="15.75" hidden="1" customHeight="1">
      <c r="A640" s="64"/>
      <c r="B640" s="189"/>
      <c r="C640" s="189"/>
      <c r="D640" s="189"/>
      <c r="E640" s="190" t="s">
        <v>32</v>
      </c>
      <c r="F640" s="190"/>
      <c r="G640" s="191"/>
      <c r="H640" s="64"/>
      <c r="I640" s="64"/>
    </row>
    <row r="641" spans="1:9" ht="15.75" hidden="1" customHeight="1">
      <c r="A641" s="64"/>
      <c r="B641" s="185">
        <v>45922</v>
      </c>
      <c r="C641" s="183">
        <v>0</v>
      </c>
      <c r="D641" s="183">
        <v>13105</v>
      </c>
      <c r="E641" s="186" t="s">
        <v>31</v>
      </c>
      <c r="F641" s="187">
        <v>92205</v>
      </c>
      <c r="G641" s="192">
        <v>3150</v>
      </c>
      <c r="H641" s="64"/>
      <c r="I641" s="64"/>
    </row>
    <row r="642" spans="1:9" ht="15.75" hidden="1" customHeight="1">
      <c r="A642" s="64"/>
      <c r="B642" s="189"/>
      <c r="C642" s="189"/>
      <c r="D642" s="189"/>
      <c r="E642" s="190" t="s">
        <v>32</v>
      </c>
      <c r="F642" s="190"/>
      <c r="G642" s="191"/>
      <c r="H642" s="64"/>
      <c r="I642" s="64"/>
    </row>
    <row r="643" spans="1:9" ht="15.75" hidden="1" customHeight="1">
      <c r="A643" s="64"/>
      <c r="B643" s="185">
        <v>45922</v>
      </c>
      <c r="C643" s="183">
        <v>0</v>
      </c>
      <c r="D643" s="183">
        <v>13105</v>
      </c>
      <c r="E643" s="186" t="s">
        <v>31</v>
      </c>
      <c r="F643" s="187">
        <v>92206</v>
      </c>
      <c r="G643" s="192">
        <v>1458.33</v>
      </c>
      <c r="H643" s="64"/>
      <c r="I643" s="64"/>
    </row>
    <row r="644" spans="1:9" ht="15.75" hidden="1" customHeight="1">
      <c r="A644" s="64"/>
      <c r="B644" s="189"/>
      <c r="C644" s="189"/>
      <c r="D644" s="189"/>
      <c r="E644" s="190" t="s">
        <v>32</v>
      </c>
      <c r="F644" s="190"/>
      <c r="G644" s="191"/>
      <c r="H644" s="64"/>
      <c r="I644" s="64"/>
    </row>
    <row r="645" spans="1:9" ht="15.75" hidden="1" customHeight="1">
      <c r="A645" s="64"/>
      <c r="B645" s="185">
        <v>45922</v>
      </c>
      <c r="C645" s="183">
        <v>0</v>
      </c>
      <c r="D645" s="183">
        <v>0</v>
      </c>
      <c r="E645" s="186" t="s">
        <v>59</v>
      </c>
      <c r="F645" s="187">
        <v>9903</v>
      </c>
      <c r="G645" s="192">
        <v>431.32</v>
      </c>
      <c r="H645" s="64"/>
      <c r="I645" s="64"/>
    </row>
    <row r="646" spans="1:9" ht="15.75" hidden="1" customHeight="1">
      <c r="A646" s="64"/>
      <c r="B646" s="189"/>
      <c r="C646" s="189"/>
      <c r="D646" s="189"/>
      <c r="E646" s="190" t="s">
        <v>53</v>
      </c>
      <c r="F646" s="190"/>
      <c r="G646" s="191"/>
      <c r="H646" s="64"/>
      <c r="I646" s="64"/>
    </row>
    <row r="647" spans="1:9" ht="15.75" hidden="1" customHeight="1">
      <c r="A647" s="64"/>
      <c r="B647" s="185">
        <v>45923</v>
      </c>
      <c r="C647" s="183">
        <v>128</v>
      </c>
      <c r="D647" s="183">
        <v>99021</v>
      </c>
      <c r="E647" s="186" t="s">
        <v>27</v>
      </c>
      <c r="F647" s="187">
        <v>610128000064860</v>
      </c>
      <c r="G647" s="188">
        <v>2876.63</v>
      </c>
      <c r="H647" s="64"/>
      <c r="I647" s="64"/>
    </row>
    <row r="648" spans="1:9" ht="15.75" hidden="1" customHeight="1">
      <c r="A648" s="64"/>
      <c r="B648" s="189"/>
      <c r="C648" s="189"/>
      <c r="D648" s="189"/>
      <c r="E648" s="190" t="s">
        <v>1356</v>
      </c>
      <c r="F648" s="190"/>
      <c r="G648" s="191"/>
      <c r="H648" s="64"/>
      <c r="I648" s="64"/>
    </row>
    <row r="649" spans="1:9" ht="15.75" hidden="1" customHeight="1">
      <c r="A649" s="64"/>
      <c r="B649" s="185">
        <v>45923</v>
      </c>
      <c r="C649" s="183">
        <v>2084</v>
      </c>
      <c r="D649" s="183">
        <v>99021</v>
      </c>
      <c r="E649" s="186" t="s">
        <v>27</v>
      </c>
      <c r="F649" s="187">
        <v>612084000112119</v>
      </c>
      <c r="G649" s="188">
        <v>1918.37</v>
      </c>
      <c r="H649" s="64"/>
      <c r="I649" s="64"/>
    </row>
    <row r="650" spans="1:9" ht="15.75" hidden="1" customHeight="1">
      <c r="A650" s="64"/>
      <c r="B650" s="189"/>
      <c r="C650" s="189"/>
      <c r="D650" s="189"/>
      <c r="E650" s="190" t="s">
        <v>1357</v>
      </c>
      <c r="F650" s="190"/>
      <c r="G650" s="191"/>
      <c r="H650" s="64"/>
      <c r="I650" s="64"/>
    </row>
    <row r="651" spans="1:9" ht="15.75" hidden="1" customHeight="1">
      <c r="A651" s="64"/>
      <c r="B651" s="185">
        <v>45923</v>
      </c>
      <c r="C651" s="183">
        <v>1533</v>
      </c>
      <c r="D651" s="183">
        <v>99008</v>
      </c>
      <c r="E651" s="186" t="s">
        <v>29</v>
      </c>
      <c r="F651" s="187">
        <v>182285</v>
      </c>
      <c r="G651" s="192">
        <v>166.92</v>
      </c>
      <c r="H651" s="64"/>
      <c r="I651" s="64"/>
    </row>
    <row r="652" spans="1:9" ht="15.75" hidden="1" customHeight="1">
      <c r="A652" s="64"/>
      <c r="B652" s="189"/>
      <c r="C652" s="189"/>
      <c r="D652" s="189"/>
      <c r="E652" s="190" t="s">
        <v>1358</v>
      </c>
      <c r="F652" s="190"/>
      <c r="G652" s="191"/>
      <c r="H652" s="64"/>
      <c r="I652" s="64"/>
    </row>
    <row r="653" spans="1:9" ht="15.75" hidden="1" customHeight="1">
      <c r="A653" s="64"/>
      <c r="B653" s="185">
        <v>45923</v>
      </c>
      <c r="C653" s="183">
        <v>0</v>
      </c>
      <c r="D653" s="183">
        <v>0</v>
      </c>
      <c r="E653" s="186" t="s">
        <v>59</v>
      </c>
      <c r="F653" s="187">
        <v>9903</v>
      </c>
      <c r="G653" s="192">
        <v>4628.08</v>
      </c>
      <c r="H653" s="64"/>
      <c r="I653" s="64"/>
    </row>
    <row r="654" spans="1:9" ht="15.75" hidden="1" customHeight="1">
      <c r="A654" s="64"/>
      <c r="B654" s="189"/>
      <c r="C654" s="189"/>
      <c r="D654" s="189"/>
      <c r="E654" s="190" t="s">
        <v>53</v>
      </c>
      <c r="F654" s="190"/>
      <c r="G654" s="191"/>
      <c r="H654" s="64"/>
      <c r="I654" s="64"/>
    </row>
    <row r="655" spans="1:9" ht="15.75" hidden="1" customHeight="1">
      <c r="A655" s="64"/>
      <c r="B655" s="185">
        <v>45924</v>
      </c>
      <c r="C655" s="183">
        <v>0</v>
      </c>
      <c r="D655" s="183">
        <v>14175</v>
      </c>
      <c r="E655" s="186" t="s">
        <v>62</v>
      </c>
      <c r="F655" s="187">
        <v>395578004</v>
      </c>
      <c r="G655" s="188">
        <v>5500</v>
      </c>
      <c r="H655" s="64"/>
      <c r="I655" s="64"/>
    </row>
    <row r="656" spans="1:9" ht="15.75" hidden="1" customHeight="1">
      <c r="A656" s="64"/>
      <c r="B656" s="189"/>
      <c r="C656" s="189"/>
      <c r="D656" s="189"/>
      <c r="E656" s="190" t="s">
        <v>97</v>
      </c>
      <c r="F656" s="190"/>
      <c r="G656" s="191"/>
      <c r="H656" s="64"/>
      <c r="I656" s="64"/>
    </row>
    <row r="657" spans="1:9" ht="15.75" customHeight="1">
      <c r="A657" s="179" t="s">
        <v>140</v>
      </c>
      <c r="B657" s="185">
        <v>45924</v>
      </c>
      <c r="C657" s="183">
        <v>0</v>
      </c>
      <c r="D657" s="183">
        <v>14138</v>
      </c>
      <c r="E657" s="186" t="s">
        <v>141</v>
      </c>
      <c r="F657" s="187">
        <v>202509230018848</v>
      </c>
      <c r="G657" s="188">
        <v>820.43</v>
      </c>
      <c r="H657" s="64" t="s">
        <v>1359</v>
      </c>
      <c r="I657" s="64" t="s">
        <v>419</v>
      </c>
    </row>
    <row r="658" spans="1:9" ht="15.75" hidden="1" customHeight="1">
      <c r="A658" s="64"/>
      <c r="B658" s="189"/>
      <c r="C658" s="189"/>
      <c r="D658" s="189"/>
      <c r="E658" s="190" t="s">
        <v>143</v>
      </c>
      <c r="F658" s="190"/>
      <c r="G658" s="191"/>
      <c r="H658" s="64"/>
      <c r="I658" s="64"/>
    </row>
    <row r="659" spans="1:9" ht="15.75" customHeight="1">
      <c r="A659" s="179" t="s">
        <v>140</v>
      </c>
      <c r="B659" s="185">
        <v>45924</v>
      </c>
      <c r="C659" s="183">
        <v>0</v>
      </c>
      <c r="D659" s="183">
        <v>14138</v>
      </c>
      <c r="E659" s="186" t="s">
        <v>141</v>
      </c>
      <c r="F659" s="187">
        <v>202509230018882</v>
      </c>
      <c r="G659" s="188">
        <v>1359.46</v>
      </c>
      <c r="H659" s="64" t="s">
        <v>1360</v>
      </c>
      <c r="I659" s="64" t="s">
        <v>595</v>
      </c>
    </row>
    <row r="660" spans="1:9" ht="15.75" hidden="1" customHeight="1">
      <c r="A660" s="64"/>
      <c r="B660" s="189"/>
      <c r="C660" s="189"/>
      <c r="D660" s="189"/>
      <c r="E660" s="190" t="s">
        <v>143</v>
      </c>
      <c r="F660" s="190"/>
      <c r="G660" s="191"/>
      <c r="H660" s="64"/>
      <c r="I660" s="64"/>
    </row>
    <row r="661" spans="1:9" ht="15.75" customHeight="1">
      <c r="A661" s="179" t="s">
        <v>140</v>
      </c>
      <c r="B661" s="185">
        <v>45924</v>
      </c>
      <c r="C661" s="183">
        <v>0</v>
      </c>
      <c r="D661" s="183">
        <v>14138</v>
      </c>
      <c r="E661" s="186" t="s">
        <v>141</v>
      </c>
      <c r="F661" s="187">
        <v>202509230018889</v>
      </c>
      <c r="G661" s="188">
        <v>1476.65</v>
      </c>
      <c r="H661" s="64" t="s">
        <v>1361</v>
      </c>
      <c r="I661" s="64" t="s">
        <v>595</v>
      </c>
    </row>
    <row r="662" spans="1:9" ht="15.75" hidden="1" customHeight="1">
      <c r="A662" s="64"/>
      <c r="B662" s="189"/>
      <c r="C662" s="189"/>
      <c r="D662" s="189"/>
      <c r="E662" s="190" t="s">
        <v>143</v>
      </c>
      <c r="F662" s="190"/>
      <c r="G662" s="191"/>
      <c r="H662" s="64"/>
      <c r="I662" s="64"/>
    </row>
    <row r="663" spans="1:9" ht="15.75" hidden="1" customHeight="1">
      <c r="A663" s="64"/>
      <c r="B663" s="185">
        <v>45924</v>
      </c>
      <c r="C663" s="183">
        <v>0</v>
      </c>
      <c r="D663" s="183">
        <v>14397</v>
      </c>
      <c r="E663" s="186" t="s">
        <v>57</v>
      </c>
      <c r="F663" s="187">
        <v>241033103104872</v>
      </c>
      <c r="G663" s="188">
        <v>253.89</v>
      </c>
      <c r="H663" s="64"/>
      <c r="I663" s="64"/>
    </row>
    <row r="664" spans="1:9" ht="15.75" hidden="1" customHeight="1">
      <c r="A664" s="64"/>
      <c r="B664" s="189"/>
      <c r="C664" s="189"/>
      <c r="D664" s="189"/>
      <c r="E664" s="190" t="s">
        <v>1362</v>
      </c>
      <c r="F664" s="190"/>
      <c r="G664" s="191"/>
      <c r="H664" s="64"/>
      <c r="I664" s="64"/>
    </row>
    <row r="665" spans="1:9" ht="15.75" hidden="1" customHeight="1">
      <c r="A665" s="64"/>
      <c r="B665" s="185">
        <v>45924</v>
      </c>
      <c r="C665" s="183">
        <v>0</v>
      </c>
      <c r="D665" s="183">
        <v>14397</v>
      </c>
      <c r="E665" s="186" t="s">
        <v>57</v>
      </c>
      <c r="F665" s="187">
        <v>241117412195892</v>
      </c>
      <c r="G665" s="188">
        <v>33000</v>
      </c>
      <c r="H665" s="64"/>
      <c r="I665" s="64"/>
    </row>
    <row r="666" spans="1:9" ht="15.75" hidden="1" customHeight="1">
      <c r="A666" s="64"/>
      <c r="B666" s="189"/>
      <c r="C666" s="189"/>
      <c r="D666" s="189"/>
      <c r="E666" s="190" t="s">
        <v>1363</v>
      </c>
      <c r="F666" s="190"/>
      <c r="G666" s="191"/>
      <c r="H666" s="64"/>
      <c r="I666" s="64"/>
    </row>
    <row r="667" spans="1:9" ht="15.75" hidden="1" customHeight="1">
      <c r="A667" s="64"/>
      <c r="B667" s="185">
        <v>45924</v>
      </c>
      <c r="C667" s="183">
        <v>0</v>
      </c>
      <c r="D667" s="183">
        <v>14397</v>
      </c>
      <c r="E667" s="186" t="s">
        <v>57</v>
      </c>
      <c r="F667" s="187">
        <v>241119184634162</v>
      </c>
      <c r="G667" s="188">
        <v>2000</v>
      </c>
      <c r="H667" s="64"/>
      <c r="I667" s="64"/>
    </row>
    <row r="668" spans="1:9" ht="15.75" hidden="1" customHeight="1">
      <c r="A668" s="64"/>
      <c r="B668" s="189"/>
      <c r="C668" s="189"/>
      <c r="D668" s="189"/>
      <c r="E668" s="190" t="s">
        <v>1364</v>
      </c>
      <c r="F668" s="190"/>
      <c r="G668" s="191"/>
      <c r="H668" s="64"/>
      <c r="I668" s="64"/>
    </row>
    <row r="669" spans="1:9" ht="15.75" hidden="1" customHeight="1">
      <c r="A669" s="64"/>
      <c r="B669" s="185">
        <v>45924</v>
      </c>
      <c r="C669" s="183">
        <v>0</v>
      </c>
      <c r="D669" s="183">
        <v>13105</v>
      </c>
      <c r="E669" s="186" t="s">
        <v>118</v>
      </c>
      <c r="F669" s="187">
        <v>92401</v>
      </c>
      <c r="G669" s="192">
        <v>25000</v>
      </c>
      <c r="H669" s="64"/>
      <c r="I669" s="64"/>
    </row>
    <row r="670" spans="1:9" ht="15.75" hidden="1" customHeight="1">
      <c r="A670" s="64"/>
      <c r="B670" s="189"/>
      <c r="C670" s="189"/>
      <c r="D670" s="189"/>
      <c r="E670" s="190" t="s">
        <v>1365</v>
      </c>
      <c r="F670" s="190"/>
      <c r="G670" s="191"/>
      <c r="H670" s="64"/>
      <c r="I670" s="64"/>
    </row>
    <row r="671" spans="1:9" ht="15.75" hidden="1" customHeight="1">
      <c r="A671" s="64"/>
      <c r="B671" s="185">
        <v>45924</v>
      </c>
      <c r="C671" s="183">
        <v>0</v>
      </c>
      <c r="D671" s="183">
        <v>13105</v>
      </c>
      <c r="E671" s="186" t="s">
        <v>118</v>
      </c>
      <c r="F671" s="187">
        <v>92402</v>
      </c>
      <c r="G671" s="192">
        <v>9948.58</v>
      </c>
      <c r="H671" s="64"/>
      <c r="I671" s="64"/>
    </row>
    <row r="672" spans="1:9" ht="15.75" hidden="1" customHeight="1">
      <c r="A672" s="64"/>
      <c r="B672" s="189"/>
      <c r="C672" s="189"/>
      <c r="D672" s="189"/>
      <c r="E672" s="190" t="s">
        <v>1366</v>
      </c>
      <c r="F672" s="190"/>
      <c r="G672" s="191"/>
      <c r="H672" s="64"/>
      <c r="I672" s="64"/>
    </row>
    <row r="673" spans="1:9" ht="15.75" hidden="1" customHeight="1">
      <c r="A673" s="64"/>
      <c r="B673" s="185">
        <v>45924</v>
      </c>
      <c r="C673" s="183">
        <v>0</v>
      </c>
      <c r="D673" s="183">
        <v>13105</v>
      </c>
      <c r="E673" s="186" t="s">
        <v>80</v>
      </c>
      <c r="F673" s="187">
        <v>92403</v>
      </c>
      <c r="G673" s="192">
        <v>1049</v>
      </c>
      <c r="H673" s="64"/>
      <c r="I673" s="64"/>
    </row>
    <row r="674" spans="1:9" ht="15.75" hidden="1" customHeight="1">
      <c r="A674" s="64"/>
      <c r="B674" s="189"/>
      <c r="C674" s="189"/>
      <c r="D674" s="189"/>
      <c r="E674" s="190" t="s">
        <v>81</v>
      </c>
      <c r="F674" s="190"/>
      <c r="G674" s="191"/>
      <c r="H674" s="64"/>
      <c r="I674" s="64"/>
    </row>
    <row r="675" spans="1:9" ht="15.75" hidden="1" customHeight="1">
      <c r="A675" s="64"/>
      <c r="B675" s="185">
        <v>45924</v>
      </c>
      <c r="C675" s="183">
        <v>0</v>
      </c>
      <c r="D675" s="183">
        <v>13105</v>
      </c>
      <c r="E675" s="186" t="s">
        <v>80</v>
      </c>
      <c r="F675" s="187">
        <v>92404</v>
      </c>
      <c r="G675" s="192">
        <v>266.89</v>
      </c>
      <c r="H675" s="64"/>
      <c r="I675" s="64"/>
    </row>
    <row r="676" spans="1:9" ht="15.75" hidden="1" customHeight="1">
      <c r="A676" s="64"/>
      <c r="B676" s="189"/>
      <c r="C676" s="189"/>
      <c r="D676" s="189"/>
      <c r="E676" s="190" t="s">
        <v>81</v>
      </c>
      <c r="F676" s="190"/>
      <c r="G676" s="191"/>
      <c r="H676" s="64"/>
      <c r="I676" s="64"/>
    </row>
    <row r="677" spans="1:9" ht="15.75" hidden="1" customHeight="1">
      <c r="A677" s="64"/>
      <c r="B677" s="185">
        <v>45924</v>
      </c>
      <c r="C677" s="183">
        <v>0</v>
      </c>
      <c r="D677" s="183">
        <v>13105</v>
      </c>
      <c r="E677" s="186" t="s">
        <v>31</v>
      </c>
      <c r="F677" s="187">
        <v>92405</v>
      </c>
      <c r="G677" s="192">
        <v>900.77</v>
      </c>
      <c r="H677" s="64"/>
      <c r="I677" s="64"/>
    </row>
    <row r="678" spans="1:9" ht="15.75" hidden="1" customHeight="1">
      <c r="A678" s="64"/>
      <c r="B678" s="189"/>
      <c r="C678" s="189"/>
      <c r="D678" s="189"/>
      <c r="E678" s="190" t="s">
        <v>66</v>
      </c>
      <c r="F678" s="190"/>
      <c r="G678" s="191"/>
      <c r="H678" s="64"/>
      <c r="I678" s="64"/>
    </row>
    <row r="679" spans="1:9" ht="15.75" hidden="1" customHeight="1">
      <c r="A679" s="64"/>
      <c r="B679" s="185">
        <v>45924</v>
      </c>
      <c r="C679" s="183">
        <v>0</v>
      </c>
      <c r="D679" s="183">
        <v>13105</v>
      </c>
      <c r="E679" s="186" t="s">
        <v>31</v>
      </c>
      <c r="F679" s="187">
        <v>92406</v>
      </c>
      <c r="G679" s="192">
        <v>1440</v>
      </c>
      <c r="H679" s="64"/>
      <c r="I679" s="64"/>
    </row>
    <row r="680" spans="1:9" ht="15.75" hidden="1" customHeight="1">
      <c r="A680" s="64"/>
      <c r="B680" s="189"/>
      <c r="C680" s="189"/>
      <c r="D680" s="189"/>
      <c r="E680" s="190" t="s">
        <v>71</v>
      </c>
      <c r="F680" s="190"/>
      <c r="G680" s="191"/>
      <c r="H680" s="64"/>
      <c r="I680" s="64"/>
    </row>
    <row r="681" spans="1:9" ht="15.75" hidden="1" customHeight="1">
      <c r="A681" s="64"/>
      <c r="B681" s="185">
        <v>45924</v>
      </c>
      <c r="C681" s="183">
        <v>0</v>
      </c>
      <c r="D681" s="183">
        <v>13105</v>
      </c>
      <c r="E681" s="186" t="s">
        <v>31</v>
      </c>
      <c r="F681" s="187">
        <v>92407</v>
      </c>
      <c r="G681" s="192">
        <v>1815</v>
      </c>
      <c r="H681" s="64"/>
      <c r="I681" s="64"/>
    </row>
    <row r="682" spans="1:9" ht="15.75" hidden="1" customHeight="1">
      <c r="A682" s="64"/>
      <c r="B682" s="189"/>
      <c r="C682" s="189"/>
      <c r="D682" s="189"/>
      <c r="E682" s="190" t="s">
        <v>347</v>
      </c>
      <c r="F682" s="190"/>
      <c r="G682" s="191"/>
      <c r="H682" s="64"/>
      <c r="I682" s="64"/>
    </row>
    <row r="683" spans="1:9" ht="15.75" hidden="1" customHeight="1">
      <c r="A683" s="64"/>
      <c r="B683" s="185">
        <v>45924</v>
      </c>
      <c r="C683" s="183">
        <v>0</v>
      </c>
      <c r="D683" s="183">
        <v>13105</v>
      </c>
      <c r="E683" s="186" t="s">
        <v>31</v>
      </c>
      <c r="F683" s="187">
        <v>92408</v>
      </c>
      <c r="G683" s="192">
        <v>4934.33</v>
      </c>
      <c r="H683" s="64"/>
      <c r="I683" s="64"/>
    </row>
    <row r="684" spans="1:9" ht="15.75" hidden="1" customHeight="1">
      <c r="A684" s="64"/>
      <c r="B684" s="189"/>
      <c r="C684" s="189"/>
      <c r="D684" s="189"/>
      <c r="E684" s="190" t="s">
        <v>65</v>
      </c>
      <c r="F684" s="190"/>
      <c r="G684" s="191"/>
      <c r="H684" s="64"/>
      <c r="I684" s="64"/>
    </row>
    <row r="685" spans="1:9" ht="15.75" hidden="1" customHeight="1">
      <c r="A685" s="64"/>
      <c r="B685" s="185">
        <v>45924</v>
      </c>
      <c r="C685" s="183">
        <v>0</v>
      </c>
      <c r="D685" s="183">
        <v>13105</v>
      </c>
      <c r="E685" s="186" t="s">
        <v>31</v>
      </c>
      <c r="F685" s="187">
        <v>92409</v>
      </c>
      <c r="G685" s="192">
        <v>261.7</v>
      </c>
      <c r="H685" s="64"/>
      <c r="I685" s="64"/>
    </row>
    <row r="686" spans="1:9" ht="15.75" hidden="1" customHeight="1">
      <c r="A686" s="64"/>
      <c r="B686" s="189"/>
      <c r="C686" s="189"/>
      <c r="D686" s="189"/>
      <c r="E686" s="190" t="s">
        <v>231</v>
      </c>
      <c r="F686" s="190"/>
      <c r="G686" s="191"/>
      <c r="H686" s="64"/>
      <c r="I686" s="64"/>
    </row>
    <row r="687" spans="1:9" ht="15.75" hidden="1" customHeight="1">
      <c r="A687" s="64"/>
      <c r="B687" s="185">
        <v>45924</v>
      </c>
      <c r="C687" s="183">
        <v>0</v>
      </c>
      <c r="D687" s="183">
        <v>13105</v>
      </c>
      <c r="E687" s="186" t="s">
        <v>31</v>
      </c>
      <c r="F687" s="187">
        <v>92410</v>
      </c>
      <c r="G687" s="192">
        <v>293.77</v>
      </c>
      <c r="H687" s="64"/>
      <c r="I687" s="64"/>
    </row>
    <row r="688" spans="1:9" ht="15.75" hidden="1" customHeight="1">
      <c r="A688" s="64"/>
      <c r="B688" s="189"/>
      <c r="C688" s="189"/>
      <c r="D688" s="189"/>
      <c r="E688" s="190" t="s">
        <v>45</v>
      </c>
      <c r="F688" s="190"/>
      <c r="G688" s="191"/>
      <c r="H688" s="64"/>
      <c r="I688" s="64"/>
    </row>
    <row r="689" spans="1:9" ht="15.75" hidden="1" customHeight="1">
      <c r="A689" s="64"/>
      <c r="B689" s="185">
        <v>45924</v>
      </c>
      <c r="C689" s="183">
        <v>0</v>
      </c>
      <c r="D689" s="183">
        <v>13105</v>
      </c>
      <c r="E689" s="186" t="s">
        <v>31</v>
      </c>
      <c r="F689" s="187">
        <v>92411</v>
      </c>
      <c r="G689" s="192">
        <v>604.19000000000005</v>
      </c>
      <c r="H689" s="64"/>
      <c r="I689" s="64"/>
    </row>
    <row r="690" spans="1:9" ht="15.75" hidden="1" customHeight="1">
      <c r="A690" s="64"/>
      <c r="B690" s="189"/>
      <c r="C690" s="189"/>
      <c r="D690" s="189"/>
      <c r="E690" s="190" t="s">
        <v>45</v>
      </c>
      <c r="F690" s="190"/>
      <c r="G690" s="191"/>
      <c r="H690" s="64"/>
      <c r="I690" s="64"/>
    </row>
    <row r="691" spans="1:9" ht="15.75" hidden="1" customHeight="1">
      <c r="A691" s="64"/>
      <c r="B691" s="185">
        <v>45924</v>
      </c>
      <c r="C691" s="183">
        <v>0</v>
      </c>
      <c r="D691" s="183">
        <v>13105</v>
      </c>
      <c r="E691" s="186" t="s">
        <v>31</v>
      </c>
      <c r="F691" s="187">
        <v>92412</v>
      </c>
      <c r="G691" s="192">
        <v>406.29</v>
      </c>
      <c r="H691" s="64"/>
      <c r="I691" s="64"/>
    </row>
    <row r="692" spans="1:9" ht="15.75" hidden="1" customHeight="1">
      <c r="A692" s="64"/>
      <c r="B692" s="189"/>
      <c r="C692" s="189"/>
      <c r="D692" s="189"/>
      <c r="E692" s="190" t="s">
        <v>45</v>
      </c>
      <c r="F692" s="190"/>
      <c r="G692" s="191"/>
      <c r="H692" s="64"/>
      <c r="I692" s="64"/>
    </row>
    <row r="693" spans="1:9" ht="15.75" hidden="1" customHeight="1">
      <c r="A693" s="64"/>
      <c r="B693" s="185">
        <v>45924</v>
      </c>
      <c r="C693" s="183">
        <v>0</v>
      </c>
      <c r="D693" s="183">
        <v>13105</v>
      </c>
      <c r="E693" s="186" t="s">
        <v>31</v>
      </c>
      <c r="F693" s="187">
        <v>92413</v>
      </c>
      <c r="G693" s="192">
        <v>423.34</v>
      </c>
      <c r="H693" s="64"/>
      <c r="I693" s="64"/>
    </row>
    <row r="694" spans="1:9" ht="15.75" hidden="1" customHeight="1">
      <c r="A694" s="64"/>
      <c r="B694" s="189"/>
      <c r="C694" s="189"/>
      <c r="D694" s="189"/>
      <c r="E694" s="190" t="s">
        <v>45</v>
      </c>
      <c r="F694" s="190"/>
      <c r="G694" s="191"/>
      <c r="H694" s="64"/>
      <c r="I694" s="64"/>
    </row>
    <row r="695" spans="1:9" ht="15.75" hidden="1" customHeight="1">
      <c r="A695" s="64"/>
      <c r="B695" s="185">
        <v>45924</v>
      </c>
      <c r="C695" s="183">
        <v>0</v>
      </c>
      <c r="D695" s="183">
        <v>13105</v>
      </c>
      <c r="E695" s="186" t="s">
        <v>31</v>
      </c>
      <c r="F695" s="187">
        <v>92414</v>
      </c>
      <c r="G695" s="192">
        <v>376</v>
      </c>
      <c r="H695" s="64"/>
      <c r="I695" s="64"/>
    </row>
    <row r="696" spans="1:9" ht="15.75" hidden="1" customHeight="1">
      <c r="A696" s="64"/>
      <c r="B696" s="189"/>
      <c r="C696" s="189"/>
      <c r="D696" s="189"/>
      <c r="E696" s="190" t="s">
        <v>45</v>
      </c>
      <c r="F696" s="190"/>
      <c r="G696" s="191"/>
      <c r="H696" s="64"/>
      <c r="I696" s="64"/>
    </row>
    <row r="697" spans="1:9" ht="15.75" hidden="1" customHeight="1">
      <c r="A697" s="64"/>
      <c r="B697" s="185">
        <v>45924</v>
      </c>
      <c r="C697" s="183">
        <v>0</v>
      </c>
      <c r="D697" s="183">
        <v>13105</v>
      </c>
      <c r="E697" s="186" t="s">
        <v>31</v>
      </c>
      <c r="F697" s="187">
        <v>92415</v>
      </c>
      <c r="G697" s="192">
        <v>50.29</v>
      </c>
      <c r="H697" s="64"/>
      <c r="I697" s="64"/>
    </row>
    <row r="698" spans="1:9" ht="15.75" hidden="1" customHeight="1">
      <c r="A698" s="64"/>
      <c r="B698" s="189"/>
      <c r="C698" s="189"/>
      <c r="D698" s="189"/>
      <c r="E698" s="190" t="s">
        <v>46</v>
      </c>
      <c r="F698" s="190"/>
      <c r="G698" s="191"/>
      <c r="H698" s="64"/>
      <c r="I698" s="64"/>
    </row>
    <row r="699" spans="1:9" ht="15.75" hidden="1" customHeight="1">
      <c r="A699" s="64"/>
      <c r="B699" s="185">
        <v>45924</v>
      </c>
      <c r="C699" s="183">
        <v>0</v>
      </c>
      <c r="D699" s="183">
        <v>13105</v>
      </c>
      <c r="E699" s="186" t="s">
        <v>31</v>
      </c>
      <c r="F699" s="187">
        <v>92416</v>
      </c>
      <c r="G699" s="192">
        <v>354.27</v>
      </c>
      <c r="H699" s="64"/>
      <c r="I699" s="64"/>
    </row>
    <row r="700" spans="1:9" ht="15.75" hidden="1" customHeight="1">
      <c r="A700" s="64"/>
      <c r="B700" s="189"/>
      <c r="C700" s="189"/>
      <c r="D700" s="189"/>
      <c r="E700" s="190" t="s">
        <v>46</v>
      </c>
      <c r="F700" s="190"/>
      <c r="G700" s="191"/>
      <c r="H700" s="64"/>
      <c r="I700" s="64"/>
    </row>
    <row r="701" spans="1:9" ht="15.75" hidden="1" customHeight="1">
      <c r="A701" s="64"/>
      <c r="B701" s="185">
        <v>45924</v>
      </c>
      <c r="C701" s="183">
        <v>0</v>
      </c>
      <c r="D701" s="183">
        <v>13105</v>
      </c>
      <c r="E701" s="186" t="s">
        <v>31</v>
      </c>
      <c r="F701" s="187">
        <v>92417</v>
      </c>
      <c r="G701" s="192">
        <v>269.82</v>
      </c>
      <c r="H701" s="64"/>
      <c r="I701" s="64"/>
    </row>
    <row r="702" spans="1:9" ht="15.75" hidden="1" customHeight="1">
      <c r="A702" s="64"/>
      <c r="B702" s="189"/>
      <c r="C702" s="189"/>
      <c r="D702" s="189"/>
      <c r="E702" s="190" t="s">
        <v>111</v>
      </c>
      <c r="F702" s="190"/>
      <c r="G702" s="191"/>
      <c r="H702" s="64"/>
      <c r="I702" s="64"/>
    </row>
    <row r="703" spans="1:9" ht="15.75" hidden="1" customHeight="1">
      <c r="A703" s="64"/>
      <c r="B703" s="185">
        <v>45924</v>
      </c>
      <c r="C703" s="183">
        <v>0</v>
      </c>
      <c r="D703" s="183">
        <v>13105</v>
      </c>
      <c r="E703" s="186" t="s">
        <v>31</v>
      </c>
      <c r="F703" s="187">
        <v>92418</v>
      </c>
      <c r="G703" s="192">
        <v>252.91</v>
      </c>
      <c r="H703" s="64"/>
      <c r="I703" s="64"/>
    </row>
    <row r="704" spans="1:9" ht="15.75" hidden="1" customHeight="1">
      <c r="A704" s="64"/>
      <c r="B704" s="189"/>
      <c r="C704" s="189"/>
      <c r="D704" s="189"/>
      <c r="E704" s="190" t="s">
        <v>111</v>
      </c>
      <c r="F704" s="190"/>
      <c r="G704" s="191"/>
      <c r="H704" s="64"/>
      <c r="I704" s="64"/>
    </row>
    <row r="705" spans="1:9" ht="15.75" hidden="1" customHeight="1">
      <c r="A705" s="64"/>
      <c r="B705" s="185">
        <v>45924</v>
      </c>
      <c r="C705" s="183">
        <v>0</v>
      </c>
      <c r="D705" s="183">
        <v>13105</v>
      </c>
      <c r="E705" s="186" t="s">
        <v>31</v>
      </c>
      <c r="F705" s="187">
        <v>92419</v>
      </c>
      <c r="G705" s="192">
        <v>232.63</v>
      </c>
      <c r="H705" s="64"/>
      <c r="I705" s="64"/>
    </row>
    <row r="706" spans="1:9" ht="15.75" hidden="1" customHeight="1">
      <c r="A706" s="64"/>
      <c r="B706" s="189"/>
      <c r="C706" s="189"/>
      <c r="D706" s="189"/>
      <c r="E706" s="190" t="s">
        <v>111</v>
      </c>
      <c r="F706" s="190"/>
      <c r="G706" s="191"/>
      <c r="H706" s="64"/>
      <c r="I706" s="64"/>
    </row>
    <row r="707" spans="1:9" ht="15.75" hidden="1" customHeight="1">
      <c r="A707" s="64"/>
      <c r="B707" s="185">
        <v>45924</v>
      </c>
      <c r="C707" s="183">
        <v>0</v>
      </c>
      <c r="D707" s="183">
        <v>13105</v>
      </c>
      <c r="E707" s="186" t="s">
        <v>31</v>
      </c>
      <c r="F707" s="187">
        <v>92420</v>
      </c>
      <c r="G707" s="192">
        <v>197.87</v>
      </c>
      <c r="H707" s="64"/>
      <c r="I707" s="64"/>
    </row>
    <row r="708" spans="1:9" ht="15.75" hidden="1" customHeight="1">
      <c r="A708" s="64"/>
      <c r="B708" s="189"/>
      <c r="C708" s="189"/>
      <c r="D708" s="189"/>
      <c r="E708" s="190" t="s">
        <v>111</v>
      </c>
      <c r="F708" s="190"/>
      <c r="G708" s="191"/>
      <c r="H708" s="64"/>
      <c r="I708" s="64"/>
    </row>
    <row r="709" spans="1:9" ht="15.75" hidden="1" customHeight="1">
      <c r="A709" s="64"/>
      <c r="B709" s="185">
        <v>45924</v>
      </c>
      <c r="C709" s="183">
        <v>0</v>
      </c>
      <c r="D709" s="183">
        <v>13105</v>
      </c>
      <c r="E709" s="186" t="s">
        <v>31</v>
      </c>
      <c r="F709" s="187">
        <v>92421</v>
      </c>
      <c r="G709" s="192">
        <v>218.27</v>
      </c>
      <c r="H709" s="64"/>
      <c r="I709" s="64"/>
    </row>
    <row r="710" spans="1:9" ht="15.75" hidden="1" customHeight="1">
      <c r="A710" s="64"/>
      <c r="B710" s="189"/>
      <c r="C710" s="189"/>
      <c r="D710" s="189"/>
      <c r="E710" s="190" t="s">
        <v>111</v>
      </c>
      <c r="F710" s="190"/>
      <c r="G710" s="191"/>
      <c r="H710" s="64"/>
      <c r="I710" s="64"/>
    </row>
    <row r="711" spans="1:9" ht="15.75" hidden="1" customHeight="1">
      <c r="A711" s="64"/>
      <c r="B711" s="185">
        <v>45924</v>
      </c>
      <c r="C711" s="183">
        <v>0</v>
      </c>
      <c r="D711" s="183">
        <v>13105</v>
      </c>
      <c r="E711" s="186" t="s">
        <v>31</v>
      </c>
      <c r="F711" s="187">
        <v>92422</v>
      </c>
      <c r="G711" s="192">
        <v>206.77</v>
      </c>
      <c r="H711" s="64"/>
      <c r="I711" s="64"/>
    </row>
    <row r="712" spans="1:9" ht="15.75" hidden="1" customHeight="1">
      <c r="A712" s="64"/>
      <c r="B712" s="189"/>
      <c r="C712" s="189"/>
      <c r="D712" s="189"/>
      <c r="E712" s="190" t="s">
        <v>111</v>
      </c>
      <c r="F712" s="190"/>
      <c r="G712" s="191"/>
      <c r="H712" s="64"/>
      <c r="I712" s="64"/>
    </row>
    <row r="713" spans="1:9" ht="15.75" hidden="1" customHeight="1">
      <c r="A713" s="64"/>
      <c r="B713" s="185">
        <v>45924</v>
      </c>
      <c r="C713" s="183">
        <v>0</v>
      </c>
      <c r="D713" s="183">
        <v>13113</v>
      </c>
      <c r="E713" s="186" t="s">
        <v>189</v>
      </c>
      <c r="F713" s="187">
        <v>892671200064448</v>
      </c>
      <c r="G713" s="192">
        <v>10</v>
      </c>
      <c r="H713" s="64"/>
      <c r="I713" s="64"/>
    </row>
    <row r="714" spans="1:9" ht="15.75" hidden="1" customHeight="1">
      <c r="A714" s="64"/>
      <c r="B714" s="189"/>
      <c r="C714" s="189"/>
      <c r="D714" s="189"/>
      <c r="E714" s="190" t="s">
        <v>1367</v>
      </c>
      <c r="F714" s="190"/>
      <c r="G714" s="191"/>
      <c r="H714" s="64"/>
      <c r="I714" s="64"/>
    </row>
    <row r="715" spans="1:9" ht="15.75" hidden="1" customHeight="1">
      <c r="A715" s="64"/>
      <c r="B715" s="185">
        <v>45924</v>
      </c>
      <c r="C715" s="183">
        <v>0</v>
      </c>
      <c r="D715" s="183">
        <v>0</v>
      </c>
      <c r="E715" s="186" t="s">
        <v>52</v>
      </c>
      <c r="F715" s="187">
        <v>9903</v>
      </c>
      <c r="G715" s="188">
        <v>5102.26</v>
      </c>
      <c r="H715" s="64"/>
      <c r="I715" s="64"/>
    </row>
    <row r="716" spans="1:9" ht="15.75" hidden="1" customHeight="1">
      <c r="A716" s="64"/>
      <c r="B716" s="189"/>
      <c r="C716" s="189"/>
      <c r="D716" s="189"/>
      <c r="E716" s="190" t="s">
        <v>53</v>
      </c>
      <c r="F716" s="190"/>
      <c r="G716" s="191"/>
      <c r="H716" s="64"/>
      <c r="I716" s="64"/>
    </row>
    <row r="717" spans="1:9" ht="15.75" customHeight="1">
      <c r="A717" s="173" t="s">
        <v>423</v>
      </c>
      <c r="B717" s="185">
        <v>45925</v>
      </c>
      <c r="C717" s="183">
        <v>0</v>
      </c>
      <c r="D717" s="183">
        <v>14138</v>
      </c>
      <c r="E717" s="186" t="s">
        <v>141</v>
      </c>
      <c r="F717" s="187">
        <v>202509240001648</v>
      </c>
      <c r="G717" s="188">
        <v>1232.8399999999999</v>
      </c>
      <c r="H717" s="64" t="s">
        <v>1368</v>
      </c>
      <c r="I717" s="64"/>
    </row>
    <row r="718" spans="1:9" ht="15.75" hidden="1" customHeight="1">
      <c r="A718" s="64"/>
      <c r="B718" s="189"/>
      <c r="C718" s="189"/>
      <c r="D718" s="189"/>
      <c r="E718" s="190" t="s">
        <v>143</v>
      </c>
      <c r="F718" s="190"/>
      <c r="G718" s="191"/>
      <c r="H718" s="64"/>
      <c r="I718" s="64"/>
    </row>
    <row r="719" spans="1:9" ht="15.75" customHeight="1">
      <c r="A719" s="173" t="s">
        <v>423</v>
      </c>
      <c r="B719" s="185">
        <v>45925</v>
      </c>
      <c r="C719" s="183">
        <v>0</v>
      </c>
      <c r="D719" s="183">
        <v>14138</v>
      </c>
      <c r="E719" s="186" t="s">
        <v>141</v>
      </c>
      <c r="F719" s="187">
        <v>202509240001650</v>
      </c>
      <c r="G719" s="188">
        <v>435.24</v>
      </c>
      <c r="H719" s="64" t="s">
        <v>1369</v>
      </c>
      <c r="I719" s="64"/>
    </row>
    <row r="720" spans="1:9" ht="15.75" hidden="1" customHeight="1">
      <c r="A720" s="64"/>
      <c r="B720" s="189"/>
      <c r="C720" s="189"/>
      <c r="D720" s="189"/>
      <c r="E720" s="190" t="s">
        <v>143</v>
      </c>
      <c r="F720" s="190"/>
      <c r="G720" s="191"/>
      <c r="H720" s="64"/>
      <c r="I720" s="64"/>
    </row>
    <row r="721" spans="1:9" ht="15.75" customHeight="1">
      <c r="A721" s="179" t="s">
        <v>140</v>
      </c>
      <c r="B721" s="185">
        <v>45925</v>
      </c>
      <c r="C721" s="183">
        <v>0</v>
      </c>
      <c r="D721" s="183">
        <v>14138</v>
      </c>
      <c r="E721" s="186" t="s">
        <v>141</v>
      </c>
      <c r="F721" s="187">
        <v>202509240100381</v>
      </c>
      <c r="G721" s="188">
        <v>1359.46</v>
      </c>
      <c r="H721" s="64" t="s">
        <v>1370</v>
      </c>
      <c r="I721" s="64" t="s">
        <v>595</v>
      </c>
    </row>
    <row r="722" spans="1:9" ht="15.75" hidden="1" customHeight="1">
      <c r="A722" s="64"/>
      <c r="B722" s="189"/>
      <c r="C722" s="189"/>
      <c r="D722" s="189"/>
      <c r="E722" s="190" t="s">
        <v>143</v>
      </c>
      <c r="F722" s="190"/>
      <c r="G722" s="191"/>
      <c r="H722" s="64"/>
      <c r="I722" s="64"/>
    </row>
    <row r="723" spans="1:9" ht="15.75" customHeight="1">
      <c r="A723" s="179" t="s">
        <v>140</v>
      </c>
      <c r="B723" s="185">
        <v>45925</v>
      </c>
      <c r="C723" s="183">
        <v>0</v>
      </c>
      <c r="D723" s="183">
        <v>14138</v>
      </c>
      <c r="E723" s="186" t="s">
        <v>141</v>
      </c>
      <c r="F723" s="187">
        <v>202509240100386</v>
      </c>
      <c r="G723" s="188">
        <v>1476.65</v>
      </c>
      <c r="H723" s="64" t="s">
        <v>1371</v>
      </c>
      <c r="I723" s="64" t="s">
        <v>595</v>
      </c>
    </row>
    <row r="724" spans="1:9" ht="15.75" hidden="1" customHeight="1">
      <c r="A724" s="64"/>
      <c r="B724" s="189"/>
      <c r="C724" s="189"/>
      <c r="D724" s="189"/>
      <c r="E724" s="190" t="s">
        <v>143</v>
      </c>
      <c r="F724" s="190"/>
      <c r="G724" s="191"/>
      <c r="H724" s="64"/>
      <c r="I724" s="64"/>
    </row>
    <row r="725" spans="1:9" ht="15.75" hidden="1" customHeight="1">
      <c r="A725" s="64"/>
      <c r="B725" s="185">
        <v>45925</v>
      </c>
      <c r="C725" s="183">
        <v>0</v>
      </c>
      <c r="D725" s="183">
        <v>14397</v>
      </c>
      <c r="E725" s="186" t="s">
        <v>57</v>
      </c>
      <c r="F725" s="187">
        <v>251023333394161</v>
      </c>
      <c r="G725" s="188">
        <v>80</v>
      </c>
      <c r="H725" s="64"/>
      <c r="I725" s="64"/>
    </row>
    <row r="726" spans="1:9" ht="15.75" hidden="1" customHeight="1">
      <c r="A726" s="64"/>
      <c r="B726" s="189"/>
      <c r="C726" s="189"/>
      <c r="D726" s="189"/>
      <c r="E726" s="190" t="s">
        <v>1372</v>
      </c>
      <c r="F726" s="190"/>
      <c r="G726" s="191"/>
      <c r="H726" s="64"/>
      <c r="I726" s="64"/>
    </row>
    <row r="727" spans="1:9" ht="15.75" hidden="1" customHeight="1">
      <c r="A727" s="64"/>
      <c r="B727" s="185">
        <v>45925</v>
      </c>
      <c r="C727" s="183">
        <v>0</v>
      </c>
      <c r="D727" s="183">
        <v>14397</v>
      </c>
      <c r="E727" s="186" t="s">
        <v>57</v>
      </c>
      <c r="F727" s="187">
        <v>251516125948992</v>
      </c>
      <c r="G727" s="188">
        <v>6507.18</v>
      </c>
      <c r="H727" s="64"/>
      <c r="I727" s="64"/>
    </row>
    <row r="728" spans="1:9" ht="15.75" hidden="1" customHeight="1">
      <c r="A728" s="64"/>
      <c r="B728" s="189"/>
      <c r="C728" s="189"/>
      <c r="D728" s="189"/>
      <c r="E728" s="190" t="s">
        <v>1373</v>
      </c>
      <c r="F728" s="190"/>
      <c r="G728" s="191"/>
      <c r="H728" s="64"/>
      <c r="I728" s="64"/>
    </row>
    <row r="729" spans="1:9" ht="15.75" hidden="1" customHeight="1">
      <c r="A729" s="64"/>
      <c r="B729" s="185">
        <v>45925</v>
      </c>
      <c r="C729" s="183">
        <v>0</v>
      </c>
      <c r="D729" s="183">
        <v>14397</v>
      </c>
      <c r="E729" s="186" t="s">
        <v>57</v>
      </c>
      <c r="F729" s="187">
        <v>251516157764181</v>
      </c>
      <c r="G729" s="188">
        <v>3457.87</v>
      </c>
      <c r="H729" s="64"/>
      <c r="I729" s="64"/>
    </row>
    <row r="730" spans="1:9" ht="15.75" hidden="1" customHeight="1">
      <c r="A730" s="64"/>
      <c r="B730" s="189"/>
      <c r="C730" s="189"/>
      <c r="D730" s="189"/>
      <c r="E730" s="190" t="s">
        <v>1373</v>
      </c>
      <c r="F730" s="190"/>
      <c r="G730" s="191"/>
      <c r="H730" s="64"/>
      <c r="I730" s="64"/>
    </row>
    <row r="731" spans="1:9" ht="15.75" hidden="1" customHeight="1">
      <c r="A731" s="64"/>
      <c r="B731" s="185">
        <v>45925</v>
      </c>
      <c r="C731" s="183">
        <v>0</v>
      </c>
      <c r="D731" s="183">
        <v>14397</v>
      </c>
      <c r="E731" s="186" t="s">
        <v>57</v>
      </c>
      <c r="F731" s="187">
        <v>251702380887901</v>
      </c>
      <c r="G731" s="188">
        <v>5170</v>
      </c>
      <c r="H731" s="64"/>
      <c r="I731" s="64"/>
    </row>
    <row r="732" spans="1:9" ht="15.75" hidden="1" customHeight="1">
      <c r="A732" s="64"/>
      <c r="B732" s="189"/>
      <c r="C732" s="189"/>
      <c r="D732" s="189"/>
      <c r="E732" s="190" t="s">
        <v>1374</v>
      </c>
      <c r="F732" s="190"/>
      <c r="G732" s="191"/>
      <c r="H732" s="64"/>
      <c r="I732" s="64"/>
    </row>
    <row r="733" spans="1:9" ht="15.75" hidden="1" customHeight="1">
      <c r="A733" s="64"/>
      <c r="B733" s="185">
        <v>45925</v>
      </c>
      <c r="C733" s="183">
        <v>1533</v>
      </c>
      <c r="D733" s="183">
        <v>99008</v>
      </c>
      <c r="E733" s="186" t="s">
        <v>29</v>
      </c>
      <c r="F733" s="187">
        <v>146768</v>
      </c>
      <c r="G733" s="192">
        <v>163.63999999999999</v>
      </c>
      <c r="H733" s="64"/>
      <c r="I733" s="64"/>
    </row>
    <row r="734" spans="1:9" ht="15.75" hidden="1" customHeight="1">
      <c r="A734" s="64"/>
      <c r="B734" s="189"/>
      <c r="C734" s="189"/>
      <c r="D734" s="189"/>
      <c r="E734" s="190" t="s">
        <v>1375</v>
      </c>
      <c r="F734" s="190"/>
      <c r="G734" s="191"/>
      <c r="H734" s="64"/>
      <c r="I734" s="64"/>
    </row>
    <row r="735" spans="1:9" ht="15.75" hidden="1" customHeight="1">
      <c r="A735" s="64"/>
      <c r="B735" s="185">
        <v>45925</v>
      </c>
      <c r="C735" s="183">
        <v>0</v>
      </c>
      <c r="D735" s="183">
        <v>13105</v>
      </c>
      <c r="E735" s="186" t="s">
        <v>80</v>
      </c>
      <c r="F735" s="187">
        <v>92501</v>
      </c>
      <c r="G735" s="192">
        <v>2744.6</v>
      </c>
      <c r="H735" s="64"/>
      <c r="I735" s="64"/>
    </row>
    <row r="736" spans="1:9" ht="15.75" hidden="1" customHeight="1">
      <c r="A736" s="64"/>
      <c r="B736" s="189"/>
      <c r="C736" s="189"/>
      <c r="D736" s="189"/>
      <c r="E736" s="190" t="s">
        <v>81</v>
      </c>
      <c r="F736" s="190"/>
      <c r="G736" s="191"/>
      <c r="H736" s="64"/>
      <c r="I736" s="64"/>
    </row>
    <row r="737" spans="1:9" ht="15.75" hidden="1" customHeight="1">
      <c r="A737" s="64"/>
      <c r="B737" s="185">
        <v>45925</v>
      </c>
      <c r="C737" s="183">
        <v>0</v>
      </c>
      <c r="D737" s="183">
        <v>13105</v>
      </c>
      <c r="E737" s="186" t="s">
        <v>80</v>
      </c>
      <c r="F737" s="187">
        <v>92502</v>
      </c>
      <c r="G737" s="192">
        <v>6377.73</v>
      </c>
      <c r="H737" s="64"/>
      <c r="I737" s="64"/>
    </row>
    <row r="738" spans="1:9" ht="15.75" hidden="1" customHeight="1">
      <c r="A738" s="64"/>
      <c r="B738" s="189"/>
      <c r="C738" s="189"/>
      <c r="D738" s="189"/>
      <c r="E738" s="190" t="s">
        <v>154</v>
      </c>
      <c r="F738" s="190"/>
      <c r="G738" s="191"/>
      <c r="H738" s="64"/>
      <c r="I738" s="64"/>
    </row>
    <row r="739" spans="1:9" ht="15.75" hidden="1" customHeight="1">
      <c r="A739" s="64"/>
      <c r="B739" s="185">
        <v>45925</v>
      </c>
      <c r="C739" s="183">
        <v>0</v>
      </c>
      <c r="D739" s="183">
        <v>13105</v>
      </c>
      <c r="E739" s="186" t="s">
        <v>80</v>
      </c>
      <c r="F739" s="187">
        <v>92503</v>
      </c>
      <c r="G739" s="192">
        <v>1381.85</v>
      </c>
      <c r="H739" s="64"/>
      <c r="I739" s="64"/>
    </row>
    <row r="740" spans="1:9" ht="15.75" hidden="1" customHeight="1">
      <c r="A740" s="64"/>
      <c r="B740" s="189"/>
      <c r="C740" s="189"/>
      <c r="D740" s="189"/>
      <c r="E740" s="190" t="s">
        <v>154</v>
      </c>
      <c r="F740" s="190"/>
      <c r="G740" s="191"/>
      <c r="H740" s="64"/>
      <c r="I740" s="64"/>
    </row>
    <row r="741" spans="1:9" ht="15.75" hidden="1" customHeight="1">
      <c r="A741" s="64"/>
      <c r="B741" s="185">
        <v>45925</v>
      </c>
      <c r="C741" s="183">
        <v>0</v>
      </c>
      <c r="D741" s="183">
        <v>13105</v>
      </c>
      <c r="E741" s="186" t="s">
        <v>31</v>
      </c>
      <c r="F741" s="187">
        <v>92504</v>
      </c>
      <c r="G741" s="192">
        <v>6400</v>
      </c>
      <c r="H741" s="64"/>
      <c r="I741" s="64"/>
    </row>
    <row r="742" spans="1:9" ht="15.75" hidden="1" customHeight="1">
      <c r="A742" s="64"/>
      <c r="B742" s="189"/>
      <c r="C742" s="189"/>
      <c r="D742" s="189"/>
      <c r="E742" s="190" t="s">
        <v>32</v>
      </c>
      <c r="F742" s="190"/>
      <c r="G742" s="191"/>
      <c r="H742" s="64"/>
      <c r="I742" s="64"/>
    </row>
    <row r="743" spans="1:9" ht="15.75" hidden="1" customHeight="1">
      <c r="A743" s="64"/>
      <c r="B743" s="185">
        <v>45925</v>
      </c>
      <c r="C743" s="183">
        <v>0</v>
      </c>
      <c r="D743" s="183">
        <v>13105</v>
      </c>
      <c r="E743" s="186" t="s">
        <v>31</v>
      </c>
      <c r="F743" s="187">
        <v>92505</v>
      </c>
      <c r="G743" s="192">
        <v>331.79</v>
      </c>
      <c r="H743" s="64"/>
      <c r="I743" s="64"/>
    </row>
    <row r="744" spans="1:9" ht="15.75" hidden="1" customHeight="1">
      <c r="A744" s="64"/>
      <c r="B744" s="189"/>
      <c r="C744" s="189"/>
      <c r="D744" s="189"/>
      <c r="E744" s="190" t="s">
        <v>440</v>
      </c>
      <c r="F744" s="190"/>
      <c r="G744" s="191"/>
      <c r="H744" s="64"/>
      <c r="I744" s="64"/>
    </row>
    <row r="745" spans="1:9" ht="15.75" hidden="1" customHeight="1">
      <c r="A745" s="64"/>
      <c r="B745" s="185">
        <v>45925</v>
      </c>
      <c r="C745" s="183">
        <v>0</v>
      </c>
      <c r="D745" s="183">
        <v>13105</v>
      </c>
      <c r="E745" s="186" t="s">
        <v>31</v>
      </c>
      <c r="F745" s="187">
        <v>92506</v>
      </c>
      <c r="G745" s="192">
        <v>151.47</v>
      </c>
      <c r="H745" s="64"/>
      <c r="I745" s="64"/>
    </row>
    <row r="746" spans="1:9" ht="15.75" hidden="1" customHeight="1">
      <c r="A746" s="64"/>
      <c r="B746" s="189"/>
      <c r="C746" s="189"/>
      <c r="D746" s="189"/>
      <c r="E746" s="190" t="s">
        <v>507</v>
      </c>
      <c r="F746" s="190"/>
      <c r="G746" s="191"/>
      <c r="H746" s="64"/>
      <c r="I746" s="64"/>
    </row>
    <row r="747" spans="1:9" ht="15.75" hidden="1" customHeight="1">
      <c r="A747" s="64"/>
      <c r="B747" s="185">
        <v>45925</v>
      </c>
      <c r="C747" s="183">
        <v>0</v>
      </c>
      <c r="D747" s="183">
        <v>13105</v>
      </c>
      <c r="E747" s="186" t="s">
        <v>31</v>
      </c>
      <c r="F747" s="187">
        <v>92507</v>
      </c>
      <c r="G747" s="192">
        <v>855.85</v>
      </c>
      <c r="H747" s="64"/>
      <c r="I747" s="64"/>
    </row>
    <row r="748" spans="1:9" ht="15.75" hidden="1" customHeight="1">
      <c r="A748" s="64"/>
      <c r="B748" s="189"/>
      <c r="C748" s="189"/>
      <c r="D748" s="189"/>
      <c r="E748" s="190" t="s">
        <v>46</v>
      </c>
      <c r="F748" s="190"/>
      <c r="G748" s="191"/>
      <c r="H748" s="64"/>
      <c r="I748" s="64"/>
    </row>
    <row r="749" spans="1:9" ht="15.75" hidden="1" customHeight="1">
      <c r="A749" s="64"/>
      <c r="B749" s="185">
        <v>45925</v>
      </c>
      <c r="C749" s="183">
        <v>0</v>
      </c>
      <c r="D749" s="183">
        <v>13105</v>
      </c>
      <c r="E749" s="186" t="s">
        <v>31</v>
      </c>
      <c r="F749" s="187">
        <v>92508</v>
      </c>
      <c r="G749" s="192">
        <v>304.02999999999997</v>
      </c>
      <c r="H749" s="64"/>
      <c r="I749" s="64"/>
    </row>
    <row r="750" spans="1:9" ht="15.75" hidden="1" customHeight="1">
      <c r="A750" s="64"/>
      <c r="B750" s="189"/>
      <c r="C750" s="189"/>
      <c r="D750" s="189"/>
      <c r="E750" s="190" t="s">
        <v>1295</v>
      </c>
      <c r="F750" s="190"/>
      <c r="G750" s="191"/>
      <c r="H750" s="64"/>
      <c r="I750" s="64"/>
    </row>
    <row r="751" spans="1:9" ht="15.75" hidden="1" customHeight="1">
      <c r="A751" s="64"/>
      <c r="B751" s="185">
        <v>45925</v>
      </c>
      <c r="C751" s="183">
        <v>0</v>
      </c>
      <c r="D751" s="183">
        <v>13105</v>
      </c>
      <c r="E751" s="186" t="s">
        <v>31</v>
      </c>
      <c r="F751" s="187">
        <v>92509</v>
      </c>
      <c r="G751" s="192">
        <v>786.26</v>
      </c>
      <c r="H751" s="64"/>
      <c r="I751" s="64"/>
    </row>
    <row r="752" spans="1:9" ht="15.75" hidden="1" customHeight="1">
      <c r="A752" s="64"/>
      <c r="B752" s="189"/>
      <c r="C752" s="189"/>
      <c r="D752" s="189"/>
      <c r="E752" s="190" t="s">
        <v>46</v>
      </c>
      <c r="F752" s="190"/>
      <c r="G752" s="191"/>
      <c r="H752" s="64"/>
      <c r="I752" s="64"/>
    </row>
    <row r="753" spans="1:9" ht="15.75" hidden="1" customHeight="1">
      <c r="A753" s="64"/>
      <c r="B753" s="185">
        <v>45925</v>
      </c>
      <c r="C753" s="183">
        <v>0</v>
      </c>
      <c r="D753" s="183">
        <v>0</v>
      </c>
      <c r="E753" s="186" t="s">
        <v>59</v>
      </c>
      <c r="F753" s="187">
        <v>9903</v>
      </c>
      <c r="G753" s="192">
        <v>222.02</v>
      </c>
      <c r="H753" s="64"/>
      <c r="I753" s="64"/>
    </row>
    <row r="754" spans="1:9" ht="15.75" hidden="1" customHeight="1">
      <c r="A754" s="64"/>
      <c r="B754" s="189"/>
      <c r="C754" s="189"/>
      <c r="D754" s="189"/>
      <c r="E754" s="190" t="s">
        <v>53</v>
      </c>
      <c r="F754" s="190"/>
      <c r="G754" s="191"/>
      <c r="H754" s="64"/>
      <c r="I754" s="64"/>
    </row>
    <row r="755" spans="1:9" ht="15.75" hidden="1" customHeight="1">
      <c r="A755" s="64"/>
      <c r="B755" s="185">
        <v>45926</v>
      </c>
      <c r="C755" s="183">
        <v>0</v>
      </c>
      <c r="D755" s="183">
        <v>14175</v>
      </c>
      <c r="E755" s="186" t="s">
        <v>62</v>
      </c>
      <c r="F755" s="187">
        <v>395832565</v>
      </c>
      <c r="G755" s="188">
        <v>6300</v>
      </c>
      <c r="H755" s="64"/>
      <c r="I755" s="64"/>
    </row>
    <row r="756" spans="1:9" ht="15.75" hidden="1" customHeight="1">
      <c r="A756" s="64"/>
      <c r="B756" s="189"/>
      <c r="C756" s="189"/>
      <c r="D756" s="189"/>
      <c r="E756" s="190" t="s">
        <v>97</v>
      </c>
      <c r="F756" s="190"/>
      <c r="G756" s="191"/>
      <c r="H756" s="64"/>
      <c r="I756" s="64"/>
    </row>
    <row r="757" spans="1:9" ht="15.75" hidden="1" customHeight="1">
      <c r="A757" s="64"/>
      <c r="B757" s="185">
        <v>45926</v>
      </c>
      <c r="C757" s="183">
        <v>0</v>
      </c>
      <c r="D757" s="183">
        <v>14397</v>
      </c>
      <c r="E757" s="186" t="s">
        <v>57</v>
      </c>
      <c r="F757" s="187">
        <v>260914359238551</v>
      </c>
      <c r="G757" s="188">
        <v>626.59</v>
      </c>
      <c r="H757" s="64"/>
      <c r="I757" s="64"/>
    </row>
    <row r="758" spans="1:9" ht="15.75" hidden="1" customHeight="1">
      <c r="A758" s="64"/>
      <c r="B758" s="189"/>
      <c r="C758" s="189"/>
      <c r="D758" s="189"/>
      <c r="E758" s="190" t="s">
        <v>1376</v>
      </c>
      <c r="F758" s="190"/>
      <c r="G758" s="191"/>
      <c r="H758" s="64"/>
      <c r="I758" s="64"/>
    </row>
    <row r="759" spans="1:9" ht="15.75" hidden="1" customHeight="1">
      <c r="A759" s="64"/>
      <c r="B759" s="185">
        <v>45926</v>
      </c>
      <c r="C759" s="183">
        <v>0</v>
      </c>
      <c r="D759" s="183">
        <v>14397</v>
      </c>
      <c r="E759" s="186" t="s">
        <v>57</v>
      </c>
      <c r="F759" s="187">
        <v>261711416152722</v>
      </c>
      <c r="G759" s="188">
        <v>4</v>
      </c>
      <c r="H759" s="64"/>
      <c r="I759" s="64"/>
    </row>
    <row r="760" spans="1:9" ht="15.75" hidden="1" customHeight="1">
      <c r="A760" s="64"/>
      <c r="B760" s="189"/>
      <c r="C760" s="189"/>
      <c r="D760" s="189"/>
      <c r="E760" s="190" t="s">
        <v>1377</v>
      </c>
      <c r="F760" s="190"/>
      <c r="G760" s="191"/>
      <c r="H760" s="64"/>
      <c r="I760" s="64"/>
    </row>
    <row r="761" spans="1:9" ht="15.75" hidden="1" customHeight="1">
      <c r="A761" s="64"/>
      <c r="B761" s="185">
        <v>45926</v>
      </c>
      <c r="C761" s="183">
        <v>1533</v>
      </c>
      <c r="D761" s="183">
        <v>99008</v>
      </c>
      <c r="E761" s="186" t="s">
        <v>29</v>
      </c>
      <c r="F761" s="187">
        <v>119343</v>
      </c>
      <c r="G761" s="192">
        <v>100</v>
      </c>
      <c r="H761" s="64"/>
      <c r="I761" s="64"/>
    </row>
    <row r="762" spans="1:9" ht="15.75" hidden="1" customHeight="1">
      <c r="A762" s="64"/>
      <c r="B762" s="189"/>
      <c r="C762" s="189"/>
      <c r="D762" s="189"/>
      <c r="E762" s="190" t="s">
        <v>1378</v>
      </c>
      <c r="F762" s="190"/>
      <c r="G762" s="191"/>
      <c r="H762" s="64"/>
      <c r="I762" s="64"/>
    </row>
    <row r="763" spans="1:9" ht="15.75" hidden="1" customHeight="1">
      <c r="A763" s="64"/>
      <c r="B763" s="185">
        <v>45926</v>
      </c>
      <c r="C763" s="183">
        <v>0</v>
      </c>
      <c r="D763" s="183">
        <v>13105</v>
      </c>
      <c r="E763" s="186" t="s">
        <v>31</v>
      </c>
      <c r="F763" s="187">
        <v>92601</v>
      </c>
      <c r="G763" s="192">
        <v>125.41</v>
      </c>
      <c r="H763" s="64"/>
      <c r="I763" s="64"/>
    </row>
    <row r="764" spans="1:9" ht="15.75" hidden="1" customHeight="1">
      <c r="A764" s="64"/>
      <c r="B764" s="189"/>
      <c r="C764" s="189"/>
      <c r="D764" s="189"/>
      <c r="E764" s="190" t="s">
        <v>1318</v>
      </c>
      <c r="F764" s="190"/>
      <c r="G764" s="191"/>
      <c r="H764" s="64"/>
      <c r="I764" s="64"/>
    </row>
    <row r="765" spans="1:9" ht="15.75" hidden="1" customHeight="1">
      <c r="A765" s="64"/>
      <c r="B765" s="185">
        <v>45926</v>
      </c>
      <c r="C765" s="183">
        <v>0</v>
      </c>
      <c r="D765" s="183">
        <v>13105</v>
      </c>
      <c r="E765" s="186" t="s">
        <v>31</v>
      </c>
      <c r="F765" s="187">
        <v>92602</v>
      </c>
      <c r="G765" s="192">
        <v>4001.11</v>
      </c>
      <c r="H765" s="64"/>
      <c r="I765" s="64"/>
    </row>
    <row r="766" spans="1:9" ht="15.75" hidden="1" customHeight="1">
      <c r="A766" s="64"/>
      <c r="B766" s="189"/>
      <c r="C766" s="189"/>
      <c r="D766" s="189"/>
      <c r="E766" s="190" t="s">
        <v>32</v>
      </c>
      <c r="F766" s="190"/>
      <c r="G766" s="191"/>
      <c r="H766" s="64"/>
      <c r="I766" s="64"/>
    </row>
    <row r="767" spans="1:9" ht="15.75" hidden="1" customHeight="1">
      <c r="A767" s="64"/>
      <c r="B767" s="185">
        <v>45926</v>
      </c>
      <c r="C767" s="183">
        <v>0</v>
      </c>
      <c r="D767" s="183">
        <v>13105</v>
      </c>
      <c r="E767" s="186" t="s">
        <v>31</v>
      </c>
      <c r="F767" s="187">
        <v>92603</v>
      </c>
      <c r="G767" s="192">
        <v>784.66</v>
      </c>
      <c r="H767" s="64"/>
      <c r="I767" s="64"/>
    </row>
    <row r="768" spans="1:9" ht="15.75" hidden="1" customHeight="1">
      <c r="A768" s="64"/>
      <c r="B768" s="189"/>
      <c r="C768" s="189"/>
      <c r="D768" s="189"/>
      <c r="E768" s="190" t="s">
        <v>66</v>
      </c>
      <c r="F768" s="190"/>
      <c r="G768" s="191"/>
      <c r="H768" s="64"/>
      <c r="I768" s="64"/>
    </row>
    <row r="769" spans="1:9" ht="15.75" hidden="1" customHeight="1">
      <c r="A769" s="64"/>
      <c r="B769" s="185">
        <v>45926</v>
      </c>
      <c r="C769" s="183">
        <v>0</v>
      </c>
      <c r="D769" s="183">
        <v>13105</v>
      </c>
      <c r="E769" s="186" t="s">
        <v>31</v>
      </c>
      <c r="F769" s="187">
        <v>92604</v>
      </c>
      <c r="G769" s="192">
        <v>870</v>
      </c>
      <c r="H769" s="64"/>
      <c r="I769" s="64"/>
    </row>
    <row r="770" spans="1:9" ht="15.75" hidden="1" customHeight="1">
      <c r="A770" s="64"/>
      <c r="B770" s="189"/>
      <c r="C770" s="189"/>
      <c r="D770" s="189"/>
      <c r="E770" s="190" t="s">
        <v>455</v>
      </c>
      <c r="F770" s="190"/>
      <c r="G770" s="191"/>
      <c r="H770" s="64"/>
      <c r="I770" s="64"/>
    </row>
    <row r="771" spans="1:9" ht="15.75" hidden="1" customHeight="1">
      <c r="A771" s="64"/>
      <c r="B771" s="185">
        <v>45926</v>
      </c>
      <c r="C771" s="183">
        <v>0</v>
      </c>
      <c r="D771" s="183">
        <v>13105</v>
      </c>
      <c r="E771" s="186" t="s">
        <v>31</v>
      </c>
      <c r="F771" s="187">
        <v>92605</v>
      </c>
      <c r="G771" s="192">
        <v>79.760000000000005</v>
      </c>
      <c r="H771" s="64"/>
      <c r="I771" s="64"/>
    </row>
    <row r="772" spans="1:9" ht="15.75" hidden="1" customHeight="1">
      <c r="A772" s="64"/>
      <c r="B772" s="189"/>
      <c r="C772" s="189"/>
      <c r="D772" s="189"/>
      <c r="E772" s="190" t="s">
        <v>46</v>
      </c>
      <c r="F772" s="190"/>
      <c r="G772" s="191"/>
      <c r="H772" s="64"/>
      <c r="I772" s="64"/>
    </row>
    <row r="773" spans="1:9" ht="15.75" hidden="1" customHeight="1">
      <c r="A773" s="64"/>
      <c r="B773" s="185">
        <v>45926</v>
      </c>
      <c r="C773" s="183">
        <v>0</v>
      </c>
      <c r="D773" s="183">
        <v>13105</v>
      </c>
      <c r="E773" s="186" t="s">
        <v>31</v>
      </c>
      <c r="F773" s="187">
        <v>92606</v>
      </c>
      <c r="G773" s="192">
        <v>453.78</v>
      </c>
      <c r="H773" s="64"/>
      <c r="I773" s="64"/>
    </row>
    <row r="774" spans="1:9" ht="15.75" hidden="1" customHeight="1">
      <c r="A774" s="64"/>
      <c r="B774" s="189"/>
      <c r="C774" s="189"/>
      <c r="D774" s="189"/>
      <c r="E774" s="190" t="s">
        <v>45</v>
      </c>
      <c r="F774" s="190"/>
      <c r="G774" s="191"/>
      <c r="H774" s="64"/>
      <c r="I774" s="64"/>
    </row>
    <row r="775" spans="1:9" ht="15.75" hidden="1" customHeight="1">
      <c r="A775" s="64"/>
      <c r="B775" s="185">
        <v>45926</v>
      </c>
      <c r="C775" s="183">
        <v>0</v>
      </c>
      <c r="D775" s="183">
        <v>13105</v>
      </c>
      <c r="E775" s="186" t="s">
        <v>31</v>
      </c>
      <c r="F775" s="187">
        <v>92607</v>
      </c>
      <c r="G775" s="192">
        <v>332.88</v>
      </c>
      <c r="H775" s="64"/>
      <c r="I775" s="64"/>
    </row>
    <row r="776" spans="1:9" ht="15.75" hidden="1" customHeight="1">
      <c r="A776" s="64"/>
      <c r="B776" s="189"/>
      <c r="C776" s="189"/>
      <c r="D776" s="189"/>
      <c r="E776" s="190" t="s">
        <v>45</v>
      </c>
      <c r="F776" s="190"/>
      <c r="G776" s="191"/>
      <c r="H776" s="64"/>
      <c r="I776" s="64"/>
    </row>
    <row r="777" spans="1:9" ht="15.75" hidden="1" customHeight="1">
      <c r="A777" s="64"/>
      <c r="B777" s="185">
        <v>45926</v>
      </c>
      <c r="C777" s="183">
        <v>0</v>
      </c>
      <c r="D777" s="183">
        <v>13105</v>
      </c>
      <c r="E777" s="186" t="s">
        <v>31</v>
      </c>
      <c r="F777" s="187">
        <v>92608</v>
      </c>
      <c r="G777" s="192">
        <v>166.73</v>
      </c>
      <c r="H777" s="64"/>
      <c r="I777" s="64"/>
    </row>
    <row r="778" spans="1:9" ht="15.75" hidden="1" customHeight="1">
      <c r="A778" s="64"/>
      <c r="B778" s="189"/>
      <c r="C778" s="189"/>
      <c r="D778" s="189"/>
      <c r="E778" s="190" t="s">
        <v>111</v>
      </c>
      <c r="F778" s="190"/>
      <c r="G778" s="191"/>
      <c r="H778" s="64"/>
      <c r="I778" s="64"/>
    </row>
    <row r="779" spans="1:9" ht="15.75" hidden="1" customHeight="1">
      <c r="A779" s="64"/>
      <c r="B779" s="185">
        <v>45926</v>
      </c>
      <c r="C779" s="183">
        <v>0</v>
      </c>
      <c r="D779" s="183">
        <v>13105</v>
      </c>
      <c r="E779" s="186" t="s">
        <v>31</v>
      </c>
      <c r="F779" s="187">
        <v>92609</v>
      </c>
      <c r="G779" s="192">
        <v>256.08</v>
      </c>
      <c r="H779" s="64"/>
      <c r="I779" s="64"/>
    </row>
    <row r="780" spans="1:9" ht="15.75" hidden="1" customHeight="1">
      <c r="A780" s="64"/>
      <c r="B780" s="189"/>
      <c r="C780" s="189"/>
      <c r="D780" s="189"/>
      <c r="E780" s="190" t="s">
        <v>111</v>
      </c>
      <c r="F780" s="190"/>
      <c r="G780" s="191"/>
      <c r="H780" s="64"/>
      <c r="I780" s="64"/>
    </row>
    <row r="781" spans="1:9" ht="15.75" hidden="1" customHeight="1">
      <c r="A781" s="64"/>
      <c r="B781" s="185">
        <v>45926</v>
      </c>
      <c r="C781" s="183">
        <v>0</v>
      </c>
      <c r="D781" s="183">
        <v>0</v>
      </c>
      <c r="E781" s="186" t="s">
        <v>52</v>
      </c>
      <c r="F781" s="187">
        <v>9903</v>
      </c>
      <c r="G781" s="188">
        <v>239.82</v>
      </c>
      <c r="H781" s="64"/>
      <c r="I781" s="64"/>
    </row>
    <row r="782" spans="1:9" ht="15.75" hidden="1" customHeight="1">
      <c r="A782" s="64"/>
      <c r="B782" s="189"/>
      <c r="C782" s="189"/>
      <c r="D782" s="189"/>
      <c r="E782" s="190" t="s">
        <v>53</v>
      </c>
      <c r="F782" s="190"/>
      <c r="G782" s="191"/>
      <c r="H782" s="64"/>
      <c r="I782" s="64"/>
    </row>
    <row r="783" spans="1:9" ht="15.75" hidden="1" customHeight="1">
      <c r="A783" s="64"/>
      <c r="B783" s="185">
        <v>45929</v>
      </c>
      <c r="C783" s="183">
        <v>0</v>
      </c>
      <c r="D783" s="183">
        <v>14175</v>
      </c>
      <c r="E783" s="186" t="s">
        <v>62</v>
      </c>
      <c r="F783" s="187">
        <v>395987151</v>
      </c>
      <c r="G783" s="188">
        <v>5000</v>
      </c>
      <c r="H783" s="64"/>
      <c r="I783" s="64"/>
    </row>
    <row r="784" spans="1:9" ht="15.75" hidden="1" customHeight="1">
      <c r="A784" s="64"/>
      <c r="B784" s="189"/>
      <c r="C784" s="189"/>
      <c r="D784" s="189"/>
      <c r="E784" s="190" t="s">
        <v>97</v>
      </c>
      <c r="F784" s="190"/>
      <c r="G784" s="191"/>
      <c r="H784" s="64"/>
      <c r="I784" s="64"/>
    </row>
    <row r="785" spans="1:9" ht="15.75" hidden="1" customHeight="1">
      <c r="A785" s="64"/>
      <c r="B785" s="185">
        <v>45929</v>
      </c>
      <c r="C785" s="183">
        <v>0</v>
      </c>
      <c r="D785" s="183">
        <v>14397</v>
      </c>
      <c r="E785" s="186" t="s">
        <v>57</v>
      </c>
      <c r="F785" s="187">
        <v>291552122721512</v>
      </c>
      <c r="G785" s="188">
        <v>3200</v>
      </c>
      <c r="H785" s="64"/>
      <c r="I785" s="64"/>
    </row>
    <row r="786" spans="1:9" ht="15.75" hidden="1" customHeight="1">
      <c r="A786" s="64"/>
      <c r="B786" s="189"/>
      <c r="C786" s="189"/>
      <c r="D786" s="189"/>
      <c r="E786" s="190" t="s">
        <v>1379</v>
      </c>
      <c r="F786" s="190"/>
      <c r="G786" s="191"/>
      <c r="H786" s="64"/>
      <c r="I786" s="64"/>
    </row>
    <row r="787" spans="1:9" ht="15.75" hidden="1" customHeight="1">
      <c r="A787" s="64"/>
      <c r="B787" s="185">
        <v>45929</v>
      </c>
      <c r="C787" s="183">
        <v>0</v>
      </c>
      <c r="D787" s="183">
        <v>14397</v>
      </c>
      <c r="E787" s="186" t="s">
        <v>57</v>
      </c>
      <c r="F787" s="187">
        <v>291620209638461</v>
      </c>
      <c r="G787" s="188">
        <v>2000</v>
      </c>
      <c r="H787" s="64"/>
      <c r="I787" s="64"/>
    </row>
    <row r="788" spans="1:9" ht="15.75" hidden="1" customHeight="1">
      <c r="A788" s="64"/>
      <c r="B788" s="189"/>
      <c r="C788" s="189"/>
      <c r="D788" s="189"/>
      <c r="E788" s="190" t="s">
        <v>1380</v>
      </c>
      <c r="F788" s="190"/>
      <c r="G788" s="191"/>
      <c r="H788" s="64"/>
      <c r="I788" s="64"/>
    </row>
    <row r="789" spans="1:9" ht="15.75" hidden="1" customHeight="1">
      <c r="A789" s="64"/>
      <c r="B789" s="185">
        <v>45929</v>
      </c>
      <c r="C789" s="183">
        <v>0</v>
      </c>
      <c r="D789" s="183">
        <v>13105</v>
      </c>
      <c r="E789" s="186" t="s">
        <v>80</v>
      </c>
      <c r="F789" s="187">
        <v>92901</v>
      </c>
      <c r="G789" s="192">
        <v>2364.5500000000002</v>
      </c>
      <c r="H789" s="64"/>
      <c r="I789" s="64"/>
    </row>
    <row r="790" spans="1:9" ht="15.75" hidden="1" customHeight="1">
      <c r="A790" s="64"/>
      <c r="B790" s="189"/>
      <c r="C790" s="189"/>
      <c r="D790" s="189"/>
      <c r="E790" s="190" t="s">
        <v>81</v>
      </c>
      <c r="F790" s="190"/>
      <c r="G790" s="191"/>
      <c r="H790" s="64"/>
      <c r="I790" s="64"/>
    </row>
    <row r="791" spans="1:9" ht="15.75" hidden="1" customHeight="1">
      <c r="A791" s="64"/>
      <c r="B791" s="185">
        <v>45929</v>
      </c>
      <c r="C791" s="183">
        <v>0</v>
      </c>
      <c r="D791" s="183">
        <v>13128</v>
      </c>
      <c r="E791" s="186" t="s">
        <v>1224</v>
      </c>
      <c r="F791" s="187">
        <v>153313862000076</v>
      </c>
      <c r="G791" s="192">
        <v>7736.26</v>
      </c>
      <c r="H791" s="64"/>
      <c r="I791" s="64"/>
    </row>
    <row r="792" spans="1:9" ht="15.75" hidden="1" customHeight="1">
      <c r="A792" s="64"/>
      <c r="B792" s="185">
        <v>45929</v>
      </c>
      <c r="C792" s="183">
        <v>0</v>
      </c>
      <c r="D792" s="183">
        <v>0</v>
      </c>
      <c r="E792" s="186" t="s">
        <v>59</v>
      </c>
      <c r="F792" s="187">
        <v>9903</v>
      </c>
      <c r="G792" s="192">
        <v>99.19</v>
      </c>
      <c r="H792" s="64"/>
      <c r="I792" s="64"/>
    </row>
    <row r="793" spans="1:9" ht="15.75" hidden="1" customHeight="1">
      <c r="A793" s="64"/>
      <c r="B793" s="189"/>
      <c r="C793" s="189"/>
      <c r="D793" s="189"/>
      <c r="E793" s="190" t="s">
        <v>53</v>
      </c>
      <c r="F793" s="190"/>
      <c r="G793" s="191"/>
      <c r="H793" s="64"/>
      <c r="I793" s="64"/>
    </row>
    <row r="794" spans="1:9" ht="15.75" hidden="1" customHeight="1">
      <c r="A794" s="64"/>
      <c r="B794" s="185">
        <v>45930</v>
      </c>
      <c r="C794" s="183">
        <v>0</v>
      </c>
      <c r="D794" s="183">
        <v>14397</v>
      </c>
      <c r="E794" s="186" t="s">
        <v>57</v>
      </c>
      <c r="F794" s="187">
        <v>300754211980721</v>
      </c>
      <c r="G794" s="188">
        <v>5833</v>
      </c>
      <c r="H794" s="64"/>
      <c r="I794" s="64"/>
    </row>
    <row r="795" spans="1:9" ht="15.75" hidden="1" customHeight="1">
      <c r="A795" s="64"/>
      <c r="B795" s="189"/>
      <c r="C795" s="189"/>
      <c r="D795" s="189"/>
      <c r="E795" s="190" t="s">
        <v>1381</v>
      </c>
      <c r="F795" s="190"/>
      <c r="G795" s="191"/>
      <c r="H795" s="64"/>
      <c r="I795" s="64"/>
    </row>
    <row r="796" spans="1:9" ht="15.75" hidden="1" customHeight="1">
      <c r="A796" s="64"/>
      <c r="B796" s="185">
        <v>45930</v>
      </c>
      <c r="C796" s="183">
        <v>0</v>
      </c>
      <c r="D796" s="183">
        <v>14397</v>
      </c>
      <c r="E796" s="186" t="s">
        <v>57</v>
      </c>
      <c r="F796" s="187">
        <v>300917511927191</v>
      </c>
      <c r="G796" s="188">
        <v>160</v>
      </c>
      <c r="H796" s="64"/>
      <c r="I796" s="64"/>
    </row>
    <row r="797" spans="1:9" ht="15.75" hidden="1" customHeight="1">
      <c r="A797" s="64"/>
      <c r="B797" s="189"/>
      <c r="C797" s="189"/>
      <c r="D797" s="189"/>
      <c r="E797" s="190" t="s">
        <v>1382</v>
      </c>
      <c r="F797" s="190"/>
      <c r="G797" s="191"/>
      <c r="H797" s="64"/>
      <c r="I797" s="64"/>
    </row>
    <row r="798" spans="1:9" ht="15.75" hidden="1" customHeight="1">
      <c r="A798" s="64"/>
      <c r="B798" s="185">
        <v>45930</v>
      </c>
      <c r="C798" s="183">
        <v>0</v>
      </c>
      <c r="D798" s="183">
        <v>14397</v>
      </c>
      <c r="E798" s="186" t="s">
        <v>57</v>
      </c>
      <c r="F798" s="187">
        <v>301013465341421</v>
      </c>
      <c r="G798" s="188">
        <v>392.27</v>
      </c>
      <c r="H798" s="64"/>
      <c r="I798" s="64"/>
    </row>
    <row r="799" spans="1:9" ht="15.75" hidden="1" customHeight="1">
      <c r="A799" s="64"/>
      <c r="B799" s="189"/>
      <c r="C799" s="189"/>
      <c r="D799" s="189"/>
      <c r="E799" s="190" t="s">
        <v>1383</v>
      </c>
      <c r="F799" s="190"/>
      <c r="G799" s="191"/>
      <c r="H799" s="64"/>
      <c r="I799" s="64"/>
    </row>
    <row r="800" spans="1:9" ht="15.75" hidden="1" customHeight="1">
      <c r="A800" s="64"/>
      <c r="B800" s="185">
        <v>45930</v>
      </c>
      <c r="C800" s="183">
        <v>0</v>
      </c>
      <c r="D800" s="183">
        <v>14397</v>
      </c>
      <c r="E800" s="186" t="s">
        <v>57</v>
      </c>
      <c r="F800" s="187">
        <v>301049410134302</v>
      </c>
      <c r="G800" s="188">
        <v>71</v>
      </c>
      <c r="H800" s="64"/>
      <c r="I800" s="64"/>
    </row>
    <row r="801" spans="1:9" ht="15.75" hidden="1" customHeight="1">
      <c r="A801" s="64"/>
      <c r="B801" s="189"/>
      <c r="C801" s="189"/>
      <c r="D801" s="189"/>
      <c r="E801" s="190" t="s">
        <v>1384</v>
      </c>
      <c r="F801" s="190"/>
      <c r="G801" s="191"/>
      <c r="H801" s="64"/>
      <c r="I801" s="64"/>
    </row>
    <row r="802" spans="1:9" ht="15.75" hidden="1" customHeight="1">
      <c r="A802" s="64"/>
      <c r="B802" s="185">
        <v>45930</v>
      </c>
      <c r="C802" s="183">
        <v>0</v>
      </c>
      <c r="D802" s="183">
        <v>14397</v>
      </c>
      <c r="E802" s="186" t="s">
        <v>57</v>
      </c>
      <c r="F802" s="187">
        <v>301346365713872</v>
      </c>
      <c r="G802" s="188">
        <v>3049.31</v>
      </c>
      <c r="H802" s="64"/>
      <c r="I802" s="64"/>
    </row>
    <row r="803" spans="1:9" ht="15.75" hidden="1" customHeight="1">
      <c r="A803" s="64"/>
      <c r="B803" s="189"/>
      <c r="C803" s="189"/>
      <c r="D803" s="189"/>
      <c r="E803" s="190" t="s">
        <v>1385</v>
      </c>
      <c r="F803" s="190"/>
      <c r="G803" s="191"/>
      <c r="H803" s="64"/>
      <c r="I803" s="64"/>
    </row>
    <row r="804" spans="1:9" ht="15.75" hidden="1" customHeight="1">
      <c r="A804" s="64"/>
      <c r="B804" s="185">
        <v>45930</v>
      </c>
      <c r="C804" s="183">
        <v>0</v>
      </c>
      <c r="D804" s="183">
        <v>13105</v>
      </c>
      <c r="E804" s="186" t="s">
        <v>80</v>
      </c>
      <c r="F804" s="187">
        <v>93001</v>
      </c>
      <c r="G804" s="192">
        <v>4783.93</v>
      </c>
      <c r="H804" s="64"/>
      <c r="I804" s="64"/>
    </row>
    <row r="805" spans="1:9" ht="15.75" hidden="1" customHeight="1">
      <c r="A805" s="64"/>
      <c r="B805" s="189"/>
      <c r="C805" s="189"/>
      <c r="D805" s="189"/>
      <c r="E805" s="190" t="s">
        <v>172</v>
      </c>
      <c r="F805" s="190"/>
      <c r="G805" s="191"/>
      <c r="H805" s="64"/>
      <c r="I805" s="64"/>
    </row>
    <row r="806" spans="1:9" ht="15.75" hidden="1" customHeight="1">
      <c r="A806" s="64"/>
      <c r="B806" s="185">
        <v>45930</v>
      </c>
      <c r="C806" s="183">
        <v>0</v>
      </c>
      <c r="D806" s="183">
        <v>13013</v>
      </c>
      <c r="E806" s="186" t="s">
        <v>204</v>
      </c>
      <c r="F806" s="187">
        <v>3941</v>
      </c>
      <c r="G806" s="192">
        <v>865.74</v>
      </c>
      <c r="H806" s="64"/>
      <c r="I806" s="64"/>
    </row>
    <row r="807" spans="1:9" ht="15.75" hidden="1" customHeight="1">
      <c r="A807" s="64"/>
      <c r="B807" s="189"/>
      <c r="C807" s="189"/>
      <c r="D807" s="189"/>
      <c r="E807" s="190" t="s">
        <v>205</v>
      </c>
      <c r="F807" s="190"/>
      <c r="G807" s="191"/>
      <c r="H807" s="64"/>
      <c r="I807" s="64"/>
    </row>
    <row r="808" spans="1:9" ht="15.75" hidden="1" customHeight="1">
      <c r="A808" s="64"/>
      <c r="B808" s="185">
        <v>45930</v>
      </c>
      <c r="C808" s="183">
        <v>0</v>
      </c>
      <c r="D808" s="183">
        <v>13013</v>
      </c>
      <c r="E808" s="186" t="s">
        <v>204</v>
      </c>
      <c r="F808" s="187">
        <v>3941</v>
      </c>
      <c r="G808" s="192">
        <v>1063.2</v>
      </c>
      <c r="H808" s="64"/>
      <c r="I808" s="64"/>
    </row>
    <row r="809" spans="1:9" ht="15.75" hidden="1" customHeight="1">
      <c r="A809" s="64"/>
      <c r="B809" s="189"/>
      <c r="C809" s="189"/>
      <c r="D809" s="189"/>
      <c r="E809" s="190" t="s">
        <v>205</v>
      </c>
      <c r="F809" s="190"/>
      <c r="G809" s="191"/>
      <c r="H809" s="64"/>
      <c r="I809" s="64"/>
    </row>
    <row r="810" spans="1:9" ht="15.75" hidden="1" customHeight="1">
      <c r="A810" s="64"/>
      <c r="B810" s="185">
        <v>45930</v>
      </c>
      <c r="C810" s="183">
        <v>0</v>
      </c>
      <c r="D810" s="183">
        <v>13013</v>
      </c>
      <c r="E810" s="186" t="s">
        <v>204</v>
      </c>
      <c r="F810" s="187">
        <v>3941</v>
      </c>
      <c r="G810" s="192">
        <v>838.59</v>
      </c>
      <c r="H810" s="64"/>
      <c r="I810" s="64"/>
    </row>
    <row r="811" spans="1:9" ht="15.75" hidden="1" customHeight="1">
      <c r="A811" s="64"/>
      <c r="B811" s="189"/>
      <c r="C811" s="189"/>
      <c r="D811" s="189"/>
      <c r="E811" s="190" t="s">
        <v>205</v>
      </c>
      <c r="F811" s="190"/>
      <c r="G811" s="191"/>
      <c r="H811" s="64"/>
      <c r="I811" s="64"/>
    </row>
    <row r="812" spans="1:9" ht="15.75" hidden="1" customHeight="1">
      <c r="A812" s="64"/>
      <c r="B812" s="185">
        <v>45930</v>
      </c>
      <c r="C812" s="183">
        <v>0</v>
      </c>
      <c r="D812" s="183">
        <v>13013</v>
      </c>
      <c r="E812" s="186" t="s">
        <v>204</v>
      </c>
      <c r="F812" s="187">
        <v>3941</v>
      </c>
      <c r="G812" s="192">
        <v>517.73</v>
      </c>
      <c r="H812" s="64"/>
      <c r="I812" s="64"/>
    </row>
    <row r="813" spans="1:9" ht="15.75" hidden="1" customHeight="1">
      <c r="A813" s="64"/>
      <c r="B813" s="189"/>
      <c r="C813" s="189"/>
      <c r="D813" s="189"/>
      <c r="E813" s="190" t="s">
        <v>205</v>
      </c>
      <c r="F813" s="190"/>
      <c r="G813" s="190"/>
      <c r="H813" s="64"/>
      <c r="I813" s="64"/>
    </row>
    <row r="814" spans="1:9" ht="15.75" customHeight="1">
      <c r="E814" s="181"/>
      <c r="G814" s="81"/>
    </row>
    <row r="815" spans="1:9" ht="15.75" customHeight="1">
      <c r="E815" s="181"/>
      <c r="G815" s="81"/>
    </row>
    <row r="816" spans="1:9" ht="15.75" customHeight="1">
      <c r="E816" s="181"/>
      <c r="G816" s="81"/>
    </row>
    <row r="817" spans="5:7" ht="15.75" customHeight="1">
      <c r="E817" s="181"/>
      <c r="G817" s="81"/>
    </row>
    <row r="818" spans="5:7" ht="15.75" customHeight="1">
      <c r="E818" s="181"/>
      <c r="G818" s="81"/>
    </row>
    <row r="819" spans="5:7" ht="15.75" customHeight="1">
      <c r="E819" s="181"/>
      <c r="G819" s="81"/>
    </row>
    <row r="820" spans="5:7" ht="15.75" customHeight="1">
      <c r="E820" s="181"/>
      <c r="G820" s="81"/>
    </row>
    <row r="821" spans="5:7" ht="15.75" customHeight="1">
      <c r="E821" s="181"/>
      <c r="G821" s="81"/>
    </row>
    <row r="822" spans="5:7" ht="15.75" customHeight="1">
      <c r="E822" s="181"/>
      <c r="G822" s="81"/>
    </row>
    <row r="823" spans="5:7" ht="15.75" customHeight="1">
      <c r="E823" s="181"/>
      <c r="G823" s="81"/>
    </row>
    <row r="824" spans="5:7" ht="15.75" customHeight="1">
      <c r="E824" s="181"/>
      <c r="G824" s="81"/>
    </row>
    <row r="825" spans="5:7" ht="15.75" customHeight="1">
      <c r="E825" s="181"/>
      <c r="G825" s="81"/>
    </row>
    <row r="826" spans="5:7" ht="15.75" customHeight="1">
      <c r="E826" s="181"/>
      <c r="G826" s="81"/>
    </row>
    <row r="827" spans="5:7" ht="15.75" customHeight="1">
      <c r="E827" s="181"/>
      <c r="G827" s="81"/>
    </row>
    <row r="828" spans="5:7" ht="15.75" customHeight="1">
      <c r="E828" s="181"/>
      <c r="G828" s="81"/>
    </row>
    <row r="829" spans="5:7" ht="15.75" customHeight="1">
      <c r="E829" s="181"/>
      <c r="G829" s="81"/>
    </row>
    <row r="830" spans="5:7" ht="15.75" customHeight="1">
      <c r="E830" s="181"/>
      <c r="G830" s="81"/>
    </row>
    <row r="831" spans="5:7" ht="15.75" customHeight="1">
      <c r="E831" s="181"/>
      <c r="G831" s="81"/>
    </row>
    <row r="832" spans="5:7" ht="15.75" customHeight="1">
      <c r="E832" s="181"/>
      <c r="G832" s="81"/>
    </row>
    <row r="833" spans="5:7" ht="15.75" customHeight="1">
      <c r="E833" s="181"/>
      <c r="G833" s="81"/>
    </row>
    <row r="834" spans="5:7" ht="15.75" customHeight="1">
      <c r="E834" s="181"/>
      <c r="G834" s="81"/>
    </row>
    <row r="835" spans="5:7" ht="15.75" customHeight="1">
      <c r="E835" s="181"/>
      <c r="G835" s="81"/>
    </row>
    <row r="836" spans="5:7" ht="15.75" customHeight="1">
      <c r="E836" s="181"/>
      <c r="G836" s="81"/>
    </row>
    <row r="837" spans="5:7" ht="15.75" customHeight="1">
      <c r="E837" s="181"/>
      <c r="G837" s="81"/>
    </row>
    <row r="838" spans="5:7" ht="15.75" customHeight="1">
      <c r="E838" s="181"/>
      <c r="G838" s="81"/>
    </row>
    <row r="839" spans="5:7" ht="15.75" customHeight="1">
      <c r="E839" s="181"/>
      <c r="G839" s="81"/>
    </row>
    <row r="840" spans="5:7" ht="15.75" customHeight="1">
      <c r="E840" s="181"/>
      <c r="G840" s="81"/>
    </row>
    <row r="841" spans="5:7" ht="15.75" customHeight="1">
      <c r="E841" s="181"/>
      <c r="G841" s="81"/>
    </row>
    <row r="842" spans="5:7" ht="15.75" customHeight="1">
      <c r="E842" s="181"/>
      <c r="G842" s="81"/>
    </row>
    <row r="843" spans="5:7" ht="15.75" customHeight="1">
      <c r="E843" s="181"/>
      <c r="G843" s="81"/>
    </row>
    <row r="844" spans="5:7" ht="15.75" customHeight="1">
      <c r="E844" s="181"/>
      <c r="G844" s="81"/>
    </row>
    <row r="845" spans="5:7" ht="15.75" customHeight="1">
      <c r="E845" s="181"/>
      <c r="G845" s="81"/>
    </row>
    <row r="846" spans="5:7" ht="15.75" customHeight="1">
      <c r="E846" s="181"/>
      <c r="G846" s="81"/>
    </row>
    <row r="847" spans="5:7" ht="15.75" customHeight="1">
      <c r="E847" s="181"/>
      <c r="G847" s="81"/>
    </row>
    <row r="848" spans="5:7" ht="15.75" customHeight="1">
      <c r="E848" s="181"/>
      <c r="G848" s="81"/>
    </row>
    <row r="849" spans="5:7" ht="15.75" customHeight="1">
      <c r="E849" s="181"/>
      <c r="G849" s="81"/>
    </row>
    <row r="850" spans="5:7" ht="15.75" customHeight="1">
      <c r="E850" s="181"/>
      <c r="G850" s="81"/>
    </row>
    <row r="851" spans="5:7" ht="15.75" customHeight="1">
      <c r="E851" s="181"/>
      <c r="G851" s="81"/>
    </row>
    <row r="852" spans="5:7" ht="15.75" customHeight="1">
      <c r="E852" s="181"/>
      <c r="G852" s="81"/>
    </row>
    <row r="853" spans="5:7" ht="15.75" customHeight="1">
      <c r="E853" s="181"/>
      <c r="G853" s="81"/>
    </row>
    <row r="854" spans="5:7" ht="15.75" customHeight="1">
      <c r="E854" s="181"/>
      <c r="G854" s="81"/>
    </row>
    <row r="855" spans="5:7" ht="15.75" customHeight="1">
      <c r="E855" s="181"/>
      <c r="G855" s="81"/>
    </row>
    <row r="856" spans="5:7" ht="15.75" customHeight="1">
      <c r="E856" s="181"/>
      <c r="G856" s="81"/>
    </row>
    <row r="857" spans="5:7" ht="15.75" customHeight="1">
      <c r="E857" s="181"/>
      <c r="G857" s="81"/>
    </row>
    <row r="858" spans="5:7" ht="15.75" customHeight="1">
      <c r="E858" s="181"/>
      <c r="G858" s="81"/>
    </row>
    <row r="859" spans="5:7" ht="15.75" customHeight="1">
      <c r="E859" s="181"/>
      <c r="G859" s="81"/>
    </row>
    <row r="860" spans="5:7" ht="15.75" customHeight="1">
      <c r="E860" s="181"/>
      <c r="G860" s="81"/>
    </row>
    <row r="861" spans="5:7" ht="15.75" customHeight="1">
      <c r="E861" s="181"/>
      <c r="G861" s="81"/>
    </row>
    <row r="862" spans="5:7" ht="15.75" customHeight="1">
      <c r="E862" s="181"/>
      <c r="G862" s="81"/>
    </row>
    <row r="863" spans="5:7" ht="15.75" customHeight="1">
      <c r="E863" s="181"/>
      <c r="G863" s="81"/>
    </row>
    <row r="864" spans="5:7" ht="15.75" customHeight="1">
      <c r="E864" s="181"/>
      <c r="G864" s="81"/>
    </row>
    <row r="865" spans="5:7" ht="15.75" customHeight="1">
      <c r="E865" s="181"/>
      <c r="G865" s="81"/>
    </row>
    <row r="866" spans="5:7" ht="15.75" customHeight="1">
      <c r="E866" s="181"/>
      <c r="G866" s="81"/>
    </row>
    <row r="867" spans="5:7" ht="15.75" customHeight="1">
      <c r="E867" s="181"/>
      <c r="G867" s="81"/>
    </row>
    <row r="868" spans="5:7" ht="15.75" customHeight="1">
      <c r="E868" s="181"/>
      <c r="G868" s="81"/>
    </row>
    <row r="869" spans="5:7" ht="15.75" customHeight="1">
      <c r="E869" s="181"/>
      <c r="G869" s="81"/>
    </row>
    <row r="870" spans="5:7" ht="15.75" customHeight="1">
      <c r="E870" s="181"/>
      <c r="G870" s="81"/>
    </row>
    <row r="871" spans="5:7" ht="15.75" customHeight="1">
      <c r="E871" s="181"/>
      <c r="G871" s="81"/>
    </row>
    <row r="872" spans="5:7" ht="15.75" customHeight="1">
      <c r="E872" s="181"/>
      <c r="G872" s="81"/>
    </row>
    <row r="873" spans="5:7" ht="15.75" customHeight="1">
      <c r="E873" s="181"/>
      <c r="G873" s="81"/>
    </row>
    <row r="874" spans="5:7" ht="15.75" customHeight="1">
      <c r="E874" s="181"/>
      <c r="G874" s="81"/>
    </row>
    <row r="875" spans="5:7" ht="15.75" customHeight="1">
      <c r="E875" s="181"/>
      <c r="G875" s="81"/>
    </row>
    <row r="876" spans="5:7" ht="15.75" customHeight="1">
      <c r="E876" s="181"/>
      <c r="G876" s="81"/>
    </row>
    <row r="877" spans="5:7" ht="15.75" customHeight="1">
      <c r="E877" s="181"/>
      <c r="G877" s="81"/>
    </row>
    <row r="878" spans="5:7" ht="15.75" customHeight="1">
      <c r="E878" s="181"/>
      <c r="G878" s="81"/>
    </row>
    <row r="879" spans="5:7" ht="15.75" customHeight="1">
      <c r="E879" s="181"/>
      <c r="G879" s="81"/>
    </row>
    <row r="880" spans="5:7" ht="15.75" customHeight="1">
      <c r="E880" s="181"/>
      <c r="G880" s="81"/>
    </row>
    <row r="881" spans="5:7" ht="15.75" customHeight="1">
      <c r="E881" s="181"/>
      <c r="G881" s="81"/>
    </row>
    <row r="882" spans="5:7" ht="15.75" customHeight="1">
      <c r="E882" s="181"/>
      <c r="G882" s="81"/>
    </row>
    <row r="883" spans="5:7" ht="15.75" customHeight="1">
      <c r="E883" s="181"/>
      <c r="G883" s="81"/>
    </row>
    <row r="884" spans="5:7" ht="15.75" customHeight="1">
      <c r="E884" s="181"/>
      <c r="G884" s="81"/>
    </row>
    <row r="885" spans="5:7" ht="15.75" customHeight="1">
      <c r="E885" s="181"/>
      <c r="G885" s="81"/>
    </row>
    <row r="886" spans="5:7" ht="15.75" customHeight="1">
      <c r="E886" s="181"/>
      <c r="G886" s="81"/>
    </row>
    <row r="887" spans="5:7" ht="15.75" customHeight="1">
      <c r="E887" s="181"/>
      <c r="G887" s="81"/>
    </row>
    <row r="888" spans="5:7" ht="15.75" customHeight="1">
      <c r="E888" s="181"/>
      <c r="G888" s="81"/>
    </row>
    <row r="889" spans="5:7" ht="15.75" customHeight="1">
      <c r="E889" s="181"/>
      <c r="G889" s="81"/>
    </row>
    <row r="890" spans="5:7" ht="15.75" customHeight="1">
      <c r="E890" s="181"/>
      <c r="G890" s="81"/>
    </row>
    <row r="891" spans="5:7" ht="15.75" customHeight="1">
      <c r="E891" s="181"/>
      <c r="G891" s="81"/>
    </row>
    <row r="892" spans="5:7" ht="15.75" customHeight="1">
      <c r="E892" s="181"/>
      <c r="G892" s="81"/>
    </row>
    <row r="893" spans="5:7" ht="15.75" customHeight="1">
      <c r="E893" s="181"/>
      <c r="G893" s="81"/>
    </row>
    <row r="894" spans="5:7" ht="15.75" customHeight="1">
      <c r="E894" s="181"/>
      <c r="G894" s="81"/>
    </row>
    <row r="895" spans="5:7" ht="15.75" customHeight="1">
      <c r="E895" s="181"/>
      <c r="G895" s="81"/>
    </row>
    <row r="896" spans="5:7" ht="15.75" customHeight="1">
      <c r="E896" s="181"/>
      <c r="G896" s="81"/>
    </row>
    <row r="897" spans="5:7" ht="15.75" customHeight="1">
      <c r="E897" s="181"/>
      <c r="G897" s="81"/>
    </row>
    <row r="898" spans="5:7" ht="15.75" customHeight="1">
      <c r="E898" s="181"/>
      <c r="G898" s="81"/>
    </row>
    <row r="899" spans="5:7" ht="15.75" customHeight="1">
      <c r="E899" s="181"/>
      <c r="G899" s="81"/>
    </row>
    <row r="900" spans="5:7" ht="15.75" customHeight="1">
      <c r="E900" s="181"/>
      <c r="G900" s="81"/>
    </row>
    <row r="901" spans="5:7" ht="15.75" customHeight="1">
      <c r="E901" s="181"/>
      <c r="G901" s="81"/>
    </row>
    <row r="902" spans="5:7" ht="15.75" customHeight="1">
      <c r="E902" s="181"/>
      <c r="G902" s="81"/>
    </row>
    <row r="903" spans="5:7" ht="15.75" customHeight="1">
      <c r="E903" s="181"/>
      <c r="G903" s="81"/>
    </row>
    <row r="904" spans="5:7" ht="15.75" customHeight="1">
      <c r="E904" s="181"/>
      <c r="G904" s="81"/>
    </row>
    <row r="905" spans="5:7" ht="15.75" customHeight="1">
      <c r="E905" s="181"/>
      <c r="G905" s="81"/>
    </row>
    <row r="906" spans="5:7" ht="15.75" customHeight="1">
      <c r="E906" s="181"/>
      <c r="G906" s="81"/>
    </row>
    <row r="907" spans="5:7" ht="15.75" customHeight="1">
      <c r="E907" s="181"/>
      <c r="G907" s="81"/>
    </row>
    <row r="908" spans="5:7" ht="15.75" customHeight="1">
      <c r="E908" s="181"/>
      <c r="G908" s="81"/>
    </row>
    <row r="909" spans="5:7" ht="15.75" customHeight="1">
      <c r="E909" s="181"/>
      <c r="G909" s="81"/>
    </row>
    <row r="910" spans="5:7" ht="15.75" customHeight="1">
      <c r="E910" s="181"/>
      <c r="G910" s="81"/>
    </row>
    <row r="911" spans="5:7" ht="15.75" customHeight="1">
      <c r="E911" s="181"/>
      <c r="G911" s="81"/>
    </row>
    <row r="912" spans="5:7" ht="15.75" customHeight="1">
      <c r="E912" s="181"/>
      <c r="G912" s="81"/>
    </row>
    <row r="913" spans="5:7" ht="15.75" customHeight="1">
      <c r="E913" s="181"/>
      <c r="G913" s="81"/>
    </row>
    <row r="914" spans="5:7" ht="15.75" customHeight="1">
      <c r="E914" s="181"/>
      <c r="G914" s="81"/>
    </row>
    <row r="915" spans="5:7" ht="15.75" customHeight="1">
      <c r="E915" s="181"/>
      <c r="G915" s="81"/>
    </row>
    <row r="916" spans="5:7" ht="15.75" customHeight="1">
      <c r="E916" s="181"/>
      <c r="G916" s="81"/>
    </row>
    <row r="917" spans="5:7" ht="15.75" customHeight="1">
      <c r="E917" s="181"/>
      <c r="G917" s="81"/>
    </row>
    <row r="918" spans="5:7" ht="15.75" customHeight="1">
      <c r="E918" s="181"/>
      <c r="G918" s="81"/>
    </row>
    <row r="919" spans="5:7" ht="15.75" customHeight="1">
      <c r="E919" s="181"/>
      <c r="G919" s="81"/>
    </row>
    <row r="920" spans="5:7" ht="15.75" customHeight="1">
      <c r="E920" s="181"/>
      <c r="G920" s="81"/>
    </row>
    <row r="921" spans="5:7" ht="15.75" customHeight="1">
      <c r="E921" s="181"/>
      <c r="G921" s="81"/>
    </row>
    <row r="922" spans="5:7" ht="15.75" customHeight="1">
      <c r="E922" s="181"/>
      <c r="G922" s="81"/>
    </row>
    <row r="923" spans="5:7" ht="15.75" customHeight="1">
      <c r="E923" s="181"/>
      <c r="G923" s="81"/>
    </row>
    <row r="924" spans="5:7" ht="15.75" customHeight="1">
      <c r="E924" s="181"/>
      <c r="G924" s="81"/>
    </row>
    <row r="925" spans="5:7" ht="15.75" customHeight="1">
      <c r="E925" s="181"/>
      <c r="G925" s="81"/>
    </row>
    <row r="926" spans="5:7" ht="15.75" customHeight="1">
      <c r="E926" s="181"/>
      <c r="G926" s="81"/>
    </row>
    <row r="927" spans="5:7" ht="15.75" customHeight="1">
      <c r="E927" s="181"/>
      <c r="G927" s="81"/>
    </row>
    <row r="928" spans="5:7" ht="15.75" customHeight="1">
      <c r="E928" s="181"/>
      <c r="G928" s="81"/>
    </row>
    <row r="929" spans="5:7" ht="15.75" customHeight="1">
      <c r="E929" s="181"/>
      <c r="G929" s="81"/>
    </row>
    <row r="930" spans="5:7" ht="15.75" customHeight="1">
      <c r="E930" s="181"/>
      <c r="G930" s="81"/>
    </row>
    <row r="931" spans="5:7" ht="15.75" customHeight="1">
      <c r="E931" s="181"/>
      <c r="G931" s="81"/>
    </row>
    <row r="932" spans="5:7" ht="15.75" customHeight="1">
      <c r="E932" s="181"/>
      <c r="G932" s="81"/>
    </row>
    <row r="933" spans="5:7" ht="15.75" customHeight="1">
      <c r="E933" s="181"/>
      <c r="G933" s="81"/>
    </row>
    <row r="934" spans="5:7" ht="15.75" customHeight="1">
      <c r="E934" s="181"/>
      <c r="G934" s="81"/>
    </row>
    <row r="935" spans="5:7" ht="15.75" customHeight="1">
      <c r="E935" s="181"/>
      <c r="G935" s="81"/>
    </row>
    <row r="936" spans="5:7" ht="15.75" customHeight="1">
      <c r="E936" s="181"/>
      <c r="G936" s="81"/>
    </row>
    <row r="937" spans="5:7" ht="15.75" customHeight="1">
      <c r="E937" s="181"/>
      <c r="G937" s="81"/>
    </row>
    <row r="938" spans="5:7" ht="15.75" customHeight="1">
      <c r="E938" s="181"/>
      <c r="G938" s="81"/>
    </row>
    <row r="939" spans="5:7" ht="15.75" customHeight="1">
      <c r="E939" s="181"/>
      <c r="G939" s="81"/>
    </row>
    <row r="940" spans="5:7" ht="15.75" customHeight="1">
      <c r="E940" s="181"/>
      <c r="G940" s="81"/>
    </row>
    <row r="941" spans="5:7" ht="15.75" customHeight="1">
      <c r="E941" s="181"/>
      <c r="G941" s="81"/>
    </row>
    <row r="942" spans="5:7" ht="15.75" customHeight="1">
      <c r="E942" s="181"/>
      <c r="G942" s="81"/>
    </row>
    <row r="943" spans="5:7" ht="15.75" customHeight="1">
      <c r="E943" s="181"/>
      <c r="G943" s="81"/>
    </row>
    <row r="944" spans="5:7" ht="15.75" customHeight="1">
      <c r="E944" s="181"/>
      <c r="G944" s="81"/>
    </row>
    <row r="945" spans="5:7" ht="15.75" customHeight="1">
      <c r="E945" s="181"/>
      <c r="G945" s="81"/>
    </row>
    <row r="946" spans="5:7" ht="15.75" customHeight="1">
      <c r="E946" s="181"/>
      <c r="G946" s="81"/>
    </row>
    <row r="947" spans="5:7" ht="15.75" customHeight="1">
      <c r="E947" s="181"/>
      <c r="G947" s="81"/>
    </row>
    <row r="948" spans="5:7" ht="15.75" customHeight="1">
      <c r="E948" s="181"/>
      <c r="G948" s="81"/>
    </row>
    <row r="949" spans="5:7" ht="15.75" customHeight="1">
      <c r="E949" s="181"/>
      <c r="G949" s="81"/>
    </row>
    <row r="950" spans="5:7" ht="15.75" customHeight="1">
      <c r="E950" s="181"/>
      <c r="G950" s="81"/>
    </row>
    <row r="951" spans="5:7" ht="15.75" customHeight="1">
      <c r="E951" s="181"/>
      <c r="G951" s="81"/>
    </row>
    <row r="952" spans="5:7" ht="15.75" customHeight="1">
      <c r="E952" s="181"/>
      <c r="G952" s="81"/>
    </row>
    <row r="953" spans="5:7" ht="15.75" customHeight="1">
      <c r="E953" s="181"/>
      <c r="G953" s="81"/>
    </row>
    <row r="954" spans="5:7" ht="15.75" customHeight="1">
      <c r="E954" s="181"/>
      <c r="G954" s="81"/>
    </row>
    <row r="955" spans="5:7" ht="15.75" customHeight="1">
      <c r="E955" s="181"/>
      <c r="G955" s="81"/>
    </row>
    <row r="956" spans="5:7" ht="15.75" customHeight="1">
      <c r="E956" s="181"/>
      <c r="G956" s="81"/>
    </row>
    <row r="957" spans="5:7" ht="15.75" customHeight="1">
      <c r="E957" s="181"/>
      <c r="G957" s="81"/>
    </row>
    <row r="958" spans="5:7" ht="15.75" customHeight="1">
      <c r="E958" s="181"/>
      <c r="G958" s="81"/>
    </row>
    <row r="959" spans="5:7" ht="15.75" customHeight="1">
      <c r="E959" s="181"/>
      <c r="G959" s="81"/>
    </row>
    <row r="960" spans="5:7" ht="15.75" customHeight="1">
      <c r="E960" s="181"/>
      <c r="G960" s="81"/>
    </row>
    <row r="961" spans="5:7" ht="15.75" customHeight="1">
      <c r="E961" s="181"/>
      <c r="G961" s="81"/>
    </row>
    <row r="962" spans="5:7" ht="15.75" customHeight="1">
      <c r="E962" s="181"/>
      <c r="G962" s="81"/>
    </row>
    <row r="963" spans="5:7" ht="15.75" customHeight="1">
      <c r="E963" s="181"/>
      <c r="G963" s="81"/>
    </row>
    <row r="964" spans="5:7" ht="15.75" customHeight="1">
      <c r="E964" s="181"/>
      <c r="G964" s="81"/>
    </row>
    <row r="965" spans="5:7" ht="15.75" customHeight="1">
      <c r="E965" s="181"/>
      <c r="G965" s="81"/>
    </row>
    <row r="966" spans="5:7" ht="15.75" customHeight="1">
      <c r="E966" s="181"/>
      <c r="G966" s="81"/>
    </row>
    <row r="967" spans="5:7" ht="15.75" customHeight="1">
      <c r="E967" s="181"/>
      <c r="G967" s="81"/>
    </row>
    <row r="968" spans="5:7" ht="15.75" customHeight="1">
      <c r="E968" s="181"/>
      <c r="G968" s="81"/>
    </row>
    <row r="969" spans="5:7" ht="15.75" customHeight="1">
      <c r="E969" s="181"/>
      <c r="G969" s="81"/>
    </row>
    <row r="970" spans="5:7" ht="15.75" customHeight="1">
      <c r="E970" s="181"/>
      <c r="G970" s="81"/>
    </row>
    <row r="971" spans="5:7" ht="15.75" customHeight="1">
      <c r="E971" s="181"/>
      <c r="G971" s="81"/>
    </row>
    <row r="972" spans="5:7" ht="15.75" customHeight="1">
      <c r="E972" s="181"/>
      <c r="G972" s="81"/>
    </row>
    <row r="973" spans="5:7" ht="15.75" customHeight="1">
      <c r="E973" s="181"/>
      <c r="G973" s="81"/>
    </row>
    <row r="974" spans="5:7" ht="15.75" customHeight="1">
      <c r="E974" s="181"/>
      <c r="G974" s="81"/>
    </row>
    <row r="975" spans="5:7" ht="15.75" customHeight="1">
      <c r="E975" s="181"/>
      <c r="G975" s="81"/>
    </row>
    <row r="976" spans="5:7" ht="15.75" customHeight="1">
      <c r="E976" s="181"/>
      <c r="G976" s="81"/>
    </row>
    <row r="977" spans="5:7" ht="15.75" customHeight="1">
      <c r="E977" s="181"/>
      <c r="G977" s="81"/>
    </row>
    <row r="978" spans="5:7" ht="15.75" customHeight="1">
      <c r="E978" s="181"/>
      <c r="G978" s="81"/>
    </row>
    <row r="979" spans="5:7" ht="15.75" customHeight="1">
      <c r="E979" s="181"/>
      <c r="G979" s="81"/>
    </row>
    <row r="980" spans="5:7" ht="15.75" customHeight="1">
      <c r="E980" s="181"/>
      <c r="G980" s="81"/>
    </row>
    <row r="981" spans="5:7" ht="15.75" customHeight="1">
      <c r="E981" s="181"/>
      <c r="G981" s="81"/>
    </row>
    <row r="982" spans="5:7" ht="15.75" customHeight="1">
      <c r="E982" s="181"/>
      <c r="G982" s="81"/>
    </row>
    <row r="983" spans="5:7" ht="15.75" customHeight="1">
      <c r="E983" s="181"/>
      <c r="G983" s="81"/>
    </row>
    <row r="984" spans="5:7" ht="15.75" customHeight="1">
      <c r="E984" s="181"/>
      <c r="G984" s="81"/>
    </row>
    <row r="985" spans="5:7" ht="15.75" customHeight="1">
      <c r="E985" s="181"/>
      <c r="G985" s="81"/>
    </row>
    <row r="986" spans="5:7" ht="15.75" customHeight="1">
      <c r="E986" s="181"/>
      <c r="G986" s="81"/>
    </row>
    <row r="987" spans="5:7" ht="15.75" customHeight="1">
      <c r="E987" s="181"/>
      <c r="G987" s="81"/>
    </row>
    <row r="988" spans="5:7" ht="15.75" customHeight="1">
      <c r="E988" s="181"/>
      <c r="G988" s="81"/>
    </row>
    <row r="989" spans="5:7" ht="15.75" customHeight="1">
      <c r="E989" s="181"/>
      <c r="G989" s="81"/>
    </row>
    <row r="990" spans="5:7" ht="15.75" customHeight="1">
      <c r="E990" s="181"/>
      <c r="G990" s="81"/>
    </row>
    <row r="991" spans="5:7" ht="15.75" customHeight="1">
      <c r="E991" s="181"/>
      <c r="G991" s="81"/>
    </row>
    <row r="992" spans="5:7" ht="15.75" customHeight="1">
      <c r="E992" s="181"/>
      <c r="G992" s="81"/>
    </row>
    <row r="993" spans="5:7" ht="15.75" customHeight="1">
      <c r="E993" s="181"/>
      <c r="G993" s="81"/>
    </row>
    <row r="994" spans="5:7" ht="15.75" customHeight="1">
      <c r="E994" s="181"/>
      <c r="G994" s="81"/>
    </row>
    <row r="995" spans="5:7" ht="15.75" customHeight="1">
      <c r="E995" s="181"/>
      <c r="G995" s="81"/>
    </row>
    <row r="996" spans="5:7" ht="15.75" customHeight="1">
      <c r="E996" s="181"/>
      <c r="G996" s="81"/>
    </row>
    <row r="997" spans="5:7" ht="15.75" customHeight="1">
      <c r="E997" s="181"/>
      <c r="G997" s="81"/>
    </row>
    <row r="998" spans="5:7" ht="15.75" customHeight="1">
      <c r="E998" s="181"/>
      <c r="G998" s="81"/>
    </row>
    <row r="999" spans="5:7" ht="15.75" customHeight="1">
      <c r="E999" s="181"/>
      <c r="G999" s="81"/>
    </row>
    <row r="1000" spans="5:7" ht="15.75" customHeight="1">
      <c r="E1000" s="181"/>
      <c r="G1000" s="81"/>
    </row>
  </sheetData>
  <pageMargins left="0.511811024" right="0.511811024" top="0.78740157499999996" bottom="0.78740157499999996" header="0" footer="0"/>
  <pageSetup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B1E4-2B99-4863-89DB-3F9B84C10479}">
  <sheetPr codeName="Planilha11"/>
  <dimension ref="A1:M947"/>
  <sheetViews>
    <sheetView tabSelected="1" topLeftCell="B1" workbookViewId="0">
      <selection activeCell="J25" sqref="J25"/>
    </sheetView>
  </sheetViews>
  <sheetFormatPr defaultRowHeight="15"/>
  <cols>
    <col min="2" max="2" width="12.42578125" customWidth="1"/>
    <col min="3" max="3" width="11.5703125" customWidth="1"/>
    <col min="5" max="5" width="10.28515625" customWidth="1"/>
    <col min="6" max="6" width="18.42578125" bestFit="1" customWidth="1"/>
    <col min="7" max="7" width="14.140625" style="209" bestFit="1" customWidth="1"/>
    <col min="8" max="8" width="13.5703125" style="218" customWidth="1"/>
    <col min="9" max="9" width="19.28515625" style="252" customWidth="1"/>
    <col min="10" max="10" width="22.7109375" bestFit="1" customWidth="1"/>
    <col min="11" max="11" width="12.85546875" bestFit="1" customWidth="1"/>
    <col min="12" max="13" width="14" bestFit="1" customWidth="1"/>
  </cols>
  <sheetData>
    <row r="1" spans="1:13">
      <c r="J1" s="210" t="s">
        <v>798</v>
      </c>
      <c r="K1" s="211">
        <f>SUMIF(I:I,"Hematologia", G:G)</f>
        <v>49957.200000000012</v>
      </c>
      <c r="L1" s="212" t="s">
        <v>536</v>
      </c>
      <c r="M1" s="213">
        <f>SUBTOTAL(9,Tabelaout[Valor R$])</f>
        <v>107252.61</v>
      </c>
    </row>
    <row r="2" spans="1:13">
      <c r="J2" s="214" t="s">
        <v>800</v>
      </c>
      <c r="K2" s="215">
        <f>SUMIF(I:I,"Coagulação", G:G)</f>
        <v>12900.830000000004</v>
      </c>
      <c r="L2" s="216" t="s">
        <v>691</v>
      </c>
      <c r="M2" s="217">
        <f>SUMIF(A:A,"Baixado",G:G)</f>
        <v>105318.02</v>
      </c>
    </row>
    <row r="3" spans="1:13">
      <c r="J3" s="214" t="s">
        <v>803</v>
      </c>
      <c r="K3" s="215">
        <f>SUMIF(I:I,"Ionograma", G:G)</f>
        <v>42459.990000000013</v>
      </c>
      <c r="L3" s="216" t="s">
        <v>692</v>
      </c>
      <c r="M3" s="217">
        <f>SUMIF(A:A,"Pendente",G:G)</f>
        <v>1934.5900000000001</v>
      </c>
    </row>
    <row r="5" spans="1:13">
      <c r="A5" s="218" t="s">
        <v>18</v>
      </c>
      <c r="B5" s="229" t="s">
        <v>19</v>
      </c>
      <c r="C5" s="229" t="s">
        <v>20</v>
      </c>
      <c r="D5" s="229" t="s">
        <v>21</v>
      </c>
      <c r="E5" s="226" t="s">
        <v>22</v>
      </c>
      <c r="F5" s="230" t="s">
        <v>23</v>
      </c>
      <c r="G5" s="231" t="s">
        <v>24</v>
      </c>
      <c r="H5" s="229" t="s">
        <v>404</v>
      </c>
      <c r="I5" s="253" t="s">
        <v>405</v>
      </c>
    </row>
    <row r="6" spans="1:13" ht="24" hidden="1">
      <c r="B6" s="219">
        <v>45930</v>
      </c>
      <c r="C6" s="220">
        <v>0</v>
      </c>
      <c r="D6" s="220">
        <v>0</v>
      </c>
      <c r="E6" s="221" t="s">
        <v>26</v>
      </c>
      <c r="F6" s="222"/>
      <c r="G6" s="223">
        <v>0</v>
      </c>
      <c r="H6" s="222"/>
      <c r="I6" s="254"/>
    </row>
    <row r="7" spans="1:13" ht="27" hidden="1">
      <c r="B7" s="219">
        <v>45931</v>
      </c>
      <c r="C7" s="220">
        <v>2256</v>
      </c>
      <c r="D7" s="220">
        <v>99021</v>
      </c>
      <c r="E7" s="224" t="s">
        <v>27</v>
      </c>
      <c r="F7" s="225">
        <v>612256000106555</v>
      </c>
      <c r="G7" s="223">
        <v>554.15</v>
      </c>
      <c r="H7" s="222"/>
      <c r="I7" s="254"/>
    </row>
    <row r="8" spans="1:13" ht="48" hidden="1">
      <c r="B8" s="226"/>
      <c r="C8" s="226"/>
      <c r="D8" s="226"/>
      <c r="E8" s="221" t="s">
        <v>1386</v>
      </c>
      <c r="F8" s="221"/>
      <c r="G8" s="227"/>
      <c r="H8" s="221"/>
      <c r="I8" s="255"/>
    </row>
    <row r="9" spans="1:13" ht="27" hidden="1">
      <c r="B9" s="219">
        <v>45931</v>
      </c>
      <c r="C9" s="220">
        <v>0</v>
      </c>
      <c r="D9" s="220">
        <v>14175</v>
      </c>
      <c r="E9" s="224" t="s">
        <v>62</v>
      </c>
      <c r="F9" s="225">
        <v>396438844</v>
      </c>
      <c r="G9" s="223">
        <v>8000</v>
      </c>
      <c r="H9" s="222"/>
      <c r="I9" s="254"/>
    </row>
    <row r="10" spans="1:13" ht="60" hidden="1">
      <c r="B10" s="226"/>
      <c r="C10" s="226"/>
      <c r="D10" s="226"/>
      <c r="E10" s="221" t="s">
        <v>97</v>
      </c>
      <c r="F10" s="221"/>
      <c r="G10" s="227"/>
      <c r="H10" s="221"/>
      <c r="I10" s="255"/>
    </row>
    <row r="11" spans="1:13" ht="18" hidden="1">
      <c r="B11" s="219">
        <v>45931</v>
      </c>
      <c r="C11" s="220">
        <v>0</v>
      </c>
      <c r="D11" s="220">
        <v>14397</v>
      </c>
      <c r="E11" s="224" t="s">
        <v>57</v>
      </c>
      <c r="F11" s="225">
        <v>11105506014392</v>
      </c>
      <c r="G11" s="223">
        <v>800</v>
      </c>
      <c r="H11" s="222"/>
      <c r="I11" s="254"/>
    </row>
    <row r="12" spans="1:13" ht="60" hidden="1">
      <c r="B12" s="226"/>
      <c r="C12" s="226"/>
      <c r="D12" s="226"/>
      <c r="E12" s="221" t="s">
        <v>1387</v>
      </c>
      <c r="F12" s="221"/>
      <c r="G12" s="227"/>
      <c r="H12" s="221"/>
      <c r="I12" s="255"/>
    </row>
    <row r="13" spans="1:13" ht="18" hidden="1">
      <c r="B13" s="219">
        <v>45931</v>
      </c>
      <c r="C13" s="220">
        <v>0</v>
      </c>
      <c r="D13" s="220">
        <v>14397</v>
      </c>
      <c r="E13" s="224" t="s">
        <v>57</v>
      </c>
      <c r="F13" s="225">
        <v>11515508888002</v>
      </c>
      <c r="G13" s="223">
        <v>4036.15</v>
      </c>
      <c r="H13" s="222"/>
      <c r="I13" s="254"/>
    </row>
    <row r="14" spans="1:13" ht="48" hidden="1">
      <c r="B14" s="226"/>
      <c r="C14" s="226"/>
      <c r="D14" s="226"/>
      <c r="E14" s="221" t="s">
        <v>1388</v>
      </c>
      <c r="F14" s="221"/>
      <c r="G14" s="227"/>
      <c r="H14" s="221"/>
      <c r="I14" s="255"/>
    </row>
    <row r="15" spans="1:13" ht="18" hidden="1">
      <c r="B15" s="219">
        <v>45931</v>
      </c>
      <c r="C15" s="220">
        <v>0</v>
      </c>
      <c r="D15" s="220">
        <v>14397</v>
      </c>
      <c r="E15" s="224" t="s">
        <v>57</v>
      </c>
      <c r="F15" s="225">
        <v>11604080538762</v>
      </c>
      <c r="G15" s="223">
        <v>148.5</v>
      </c>
      <c r="H15" s="222"/>
      <c r="I15" s="254"/>
    </row>
    <row r="16" spans="1:13" ht="60" hidden="1">
      <c r="B16" s="226"/>
      <c r="C16" s="226"/>
      <c r="D16" s="226"/>
      <c r="E16" s="221" t="s">
        <v>1389</v>
      </c>
      <c r="F16" s="221"/>
      <c r="G16" s="227"/>
      <c r="H16" s="221"/>
      <c r="I16" s="255"/>
    </row>
    <row r="17" spans="1:9" ht="18" hidden="1">
      <c r="B17" s="219">
        <v>45931</v>
      </c>
      <c r="C17" s="220">
        <v>0</v>
      </c>
      <c r="D17" s="220">
        <v>14397</v>
      </c>
      <c r="E17" s="224" t="s">
        <v>57</v>
      </c>
      <c r="F17" s="225">
        <v>11658498892932</v>
      </c>
      <c r="G17" s="223">
        <v>638.59</v>
      </c>
      <c r="H17" s="222"/>
      <c r="I17" s="254"/>
    </row>
    <row r="18" spans="1:9" ht="60" hidden="1">
      <c r="B18" s="226"/>
      <c r="C18" s="226"/>
      <c r="D18" s="226"/>
      <c r="E18" s="221" t="s">
        <v>1390</v>
      </c>
      <c r="F18" s="221"/>
      <c r="G18" s="227"/>
      <c r="H18" s="221"/>
      <c r="I18" s="255"/>
    </row>
    <row r="19" spans="1:9" ht="18">
      <c r="A19" s="179" t="s">
        <v>140</v>
      </c>
      <c r="B19" s="219">
        <v>45931</v>
      </c>
      <c r="C19" s="220">
        <v>0</v>
      </c>
      <c r="D19" s="220">
        <v>14138</v>
      </c>
      <c r="E19" s="224" t="s">
        <v>141</v>
      </c>
      <c r="F19" s="225">
        <v>202509300020089</v>
      </c>
      <c r="G19" s="223">
        <v>289.27</v>
      </c>
      <c r="H19" s="222">
        <v>4007</v>
      </c>
      <c r="I19" s="254" t="s">
        <v>419</v>
      </c>
    </row>
    <row r="20" spans="1:9" ht="36" hidden="1">
      <c r="B20" s="226"/>
      <c r="C20" s="226"/>
      <c r="D20" s="226"/>
      <c r="E20" s="221" t="s">
        <v>143</v>
      </c>
      <c r="F20" s="221"/>
      <c r="G20" s="227"/>
      <c r="H20" s="221"/>
      <c r="I20" s="255"/>
    </row>
    <row r="21" spans="1:9" ht="18">
      <c r="A21" s="179" t="s">
        <v>140</v>
      </c>
      <c r="B21" s="219">
        <v>45931</v>
      </c>
      <c r="C21" s="220">
        <v>0</v>
      </c>
      <c r="D21" s="220">
        <v>14138</v>
      </c>
      <c r="E21" s="224" t="s">
        <v>141</v>
      </c>
      <c r="F21" s="225">
        <v>202509300020103</v>
      </c>
      <c r="G21" s="223">
        <v>926.63</v>
      </c>
      <c r="H21" s="222">
        <v>4008</v>
      </c>
      <c r="I21" s="254" t="s">
        <v>419</v>
      </c>
    </row>
    <row r="22" spans="1:9" ht="36" hidden="1">
      <c r="B22" s="226"/>
      <c r="C22" s="226"/>
      <c r="D22" s="226"/>
      <c r="E22" s="221" t="s">
        <v>143</v>
      </c>
      <c r="F22" s="221"/>
      <c r="G22" s="227"/>
      <c r="H22" s="221"/>
      <c r="I22" s="255"/>
    </row>
    <row r="23" spans="1:9" ht="18">
      <c r="A23" s="179" t="s">
        <v>140</v>
      </c>
      <c r="B23" s="219">
        <v>45931</v>
      </c>
      <c r="C23" s="220">
        <v>0</v>
      </c>
      <c r="D23" s="220">
        <v>14138</v>
      </c>
      <c r="E23" s="224" t="s">
        <v>141</v>
      </c>
      <c r="F23" s="225">
        <v>202509300020116</v>
      </c>
      <c r="G23" s="223">
        <v>609.28</v>
      </c>
      <c r="H23" s="222">
        <v>3997</v>
      </c>
      <c r="I23" s="254" t="s">
        <v>419</v>
      </c>
    </row>
    <row r="24" spans="1:9" ht="36" hidden="1">
      <c r="B24" s="226"/>
      <c r="C24" s="226"/>
      <c r="D24" s="226"/>
      <c r="E24" s="221" t="s">
        <v>143</v>
      </c>
      <c r="F24" s="221"/>
      <c r="G24" s="227"/>
      <c r="H24" s="221"/>
      <c r="I24" s="255"/>
    </row>
    <row r="25" spans="1:9" ht="18">
      <c r="A25" s="179" t="s">
        <v>140</v>
      </c>
      <c r="B25" s="219">
        <v>45931</v>
      </c>
      <c r="C25" s="220">
        <v>0</v>
      </c>
      <c r="D25" s="220">
        <v>14138</v>
      </c>
      <c r="E25" s="224" t="s">
        <v>141</v>
      </c>
      <c r="F25" s="225">
        <v>202509300020118</v>
      </c>
      <c r="G25" s="223">
        <v>609.28</v>
      </c>
      <c r="H25" s="222">
        <v>3996</v>
      </c>
      <c r="I25" s="254" t="s">
        <v>419</v>
      </c>
    </row>
    <row r="26" spans="1:9" ht="36" hidden="1">
      <c r="B26" s="226"/>
      <c r="C26" s="226"/>
      <c r="D26" s="226"/>
      <c r="E26" s="221" t="s">
        <v>143</v>
      </c>
      <c r="F26" s="221"/>
      <c r="G26" s="227"/>
      <c r="H26" s="221"/>
      <c r="I26" s="255"/>
    </row>
    <row r="27" spans="1:9" ht="18" hidden="1">
      <c r="B27" s="219">
        <v>45931</v>
      </c>
      <c r="C27" s="220">
        <v>1533</v>
      </c>
      <c r="D27" s="220">
        <v>99008</v>
      </c>
      <c r="E27" s="224" t="s">
        <v>29</v>
      </c>
      <c r="F27" s="225">
        <v>540522</v>
      </c>
      <c r="G27" s="228">
        <v>188.83</v>
      </c>
      <c r="H27" s="222"/>
      <c r="I27" s="254"/>
    </row>
    <row r="28" spans="1:9" ht="48" hidden="1">
      <c r="B28" s="226"/>
      <c r="C28" s="226"/>
      <c r="D28" s="226"/>
      <c r="E28" s="221" t="s">
        <v>1391</v>
      </c>
      <c r="F28" s="221"/>
      <c r="G28" s="227"/>
      <c r="H28" s="221"/>
      <c r="I28" s="255"/>
    </row>
    <row r="29" spans="1:9" ht="18" hidden="1">
      <c r="B29" s="219">
        <v>45931</v>
      </c>
      <c r="C29" s="220">
        <v>0</v>
      </c>
      <c r="D29" s="220">
        <v>13105</v>
      </c>
      <c r="E29" s="224" t="s">
        <v>31</v>
      </c>
      <c r="F29" s="225">
        <v>100101</v>
      </c>
      <c r="G29" s="228">
        <v>1632.23</v>
      </c>
      <c r="H29" s="222"/>
      <c r="I29" s="254"/>
    </row>
    <row r="30" spans="1:9" ht="48" hidden="1">
      <c r="B30" s="226"/>
      <c r="C30" s="226"/>
      <c r="D30" s="226"/>
      <c r="E30" s="221" t="s">
        <v>95</v>
      </c>
      <c r="F30" s="221"/>
      <c r="G30" s="227"/>
      <c r="H30" s="221"/>
      <c r="I30" s="255"/>
    </row>
    <row r="31" spans="1:9" ht="18" hidden="1">
      <c r="B31" s="219">
        <v>45931</v>
      </c>
      <c r="C31" s="220">
        <v>0</v>
      </c>
      <c r="D31" s="220">
        <v>13105</v>
      </c>
      <c r="E31" s="224" t="s">
        <v>31</v>
      </c>
      <c r="F31" s="225">
        <v>100102</v>
      </c>
      <c r="G31" s="228">
        <v>410.53</v>
      </c>
      <c r="H31" s="222"/>
      <c r="I31" s="254"/>
    </row>
    <row r="32" spans="1:9" hidden="1">
      <c r="B32" s="226"/>
      <c r="C32" s="226"/>
      <c r="D32" s="226"/>
      <c r="E32" s="221" t="s">
        <v>67</v>
      </c>
      <c r="F32" s="221"/>
      <c r="G32" s="227"/>
      <c r="H32" s="221"/>
      <c r="I32" s="255"/>
    </row>
    <row r="33" spans="2:9" ht="18" hidden="1">
      <c r="B33" s="219">
        <v>45931</v>
      </c>
      <c r="C33" s="220">
        <v>0</v>
      </c>
      <c r="D33" s="220">
        <v>13105</v>
      </c>
      <c r="E33" s="224" t="s">
        <v>31</v>
      </c>
      <c r="F33" s="225">
        <v>100103</v>
      </c>
      <c r="G33" s="228">
        <v>186.5</v>
      </c>
      <c r="H33" s="222"/>
      <c r="I33" s="254"/>
    </row>
    <row r="34" spans="2:9" hidden="1">
      <c r="B34" s="226"/>
      <c r="C34" s="226"/>
      <c r="D34" s="226"/>
      <c r="E34" s="221" t="s">
        <v>67</v>
      </c>
      <c r="F34" s="221"/>
      <c r="G34" s="227"/>
      <c r="H34" s="221"/>
      <c r="I34" s="255"/>
    </row>
    <row r="35" spans="2:9" ht="18" hidden="1">
      <c r="B35" s="219">
        <v>45931</v>
      </c>
      <c r="C35" s="220">
        <v>0</v>
      </c>
      <c r="D35" s="220">
        <v>13105</v>
      </c>
      <c r="E35" s="224" t="s">
        <v>31</v>
      </c>
      <c r="F35" s="225">
        <v>100104</v>
      </c>
      <c r="G35" s="228">
        <v>816.5</v>
      </c>
      <c r="H35" s="222"/>
      <c r="I35" s="254"/>
    </row>
    <row r="36" spans="2:9" ht="60" hidden="1">
      <c r="B36" s="226"/>
      <c r="C36" s="226"/>
      <c r="D36" s="226"/>
      <c r="E36" s="221" t="s">
        <v>188</v>
      </c>
      <c r="F36" s="221"/>
      <c r="G36" s="227"/>
      <c r="H36" s="221"/>
      <c r="I36" s="255"/>
    </row>
    <row r="37" spans="2:9" ht="18" hidden="1">
      <c r="B37" s="219">
        <v>45931</v>
      </c>
      <c r="C37" s="220">
        <v>0</v>
      </c>
      <c r="D37" s="220">
        <v>13105</v>
      </c>
      <c r="E37" s="224" t="s">
        <v>31</v>
      </c>
      <c r="F37" s="225">
        <v>100105</v>
      </c>
      <c r="G37" s="228">
        <v>96.96</v>
      </c>
      <c r="H37" s="222"/>
      <c r="I37" s="254"/>
    </row>
    <row r="38" spans="2:9" ht="36" hidden="1">
      <c r="B38" s="226"/>
      <c r="C38" s="226"/>
      <c r="D38" s="226"/>
      <c r="E38" s="221" t="s">
        <v>43</v>
      </c>
      <c r="F38" s="221"/>
      <c r="G38" s="227"/>
      <c r="H38" s="221"/>
      <c r="I38" s="255"/>
    </row>
    <row r="39" spans="2:9" ht="18" hidden="1">
      <c r="B39" s="219">
        <v>45931</v>
      </c>
      <c r="C39" s="220">
        <v>0</v>
      </c>
      <c r="D39" s="220">
        <v>13105</v>
      </c>
      <c r="E39" s="224" t="s">
        <v>31</v>
      </c>
      <c r="F39" s="225">
        <v>100106</v>
      </c>
      <c r="G39" s="228">
        <v>224.48</v>
      </c>
      <c r="H39" s="222"/>
      <c r="I39" s="254"/>
    </row>
    <row r="40" spans="2:9" ht="60" hidden="1">
      <c r="B40" s="226"/>
      <c r="C40" s="226"/>
      <c r="D40" s="226"/>
      <c r="E40" s="221" t="s">
        <v>46</v>
      </c>
      <c r="F40" s="221"/>
      <c r="G40" s="227"/>
      <c r="H40" s="221"/>
      <c r="I40" s="255"/>
    </row>
    <row r="41" spans="2:9" ht="18" hidden="1">
      <c r="B41" s="219">
        <v>45931</v>
      </c>
      <c r="C41" s="220">
        <v>0</v>
      </c>
      <c r="D41" s="220">
        <v>13105</v>
      </c>
      <c r="E41" s="224" t="s">
        <v>31</v>
      </c>
      <c r="F41" s="225">
        <v>100107</v>
      </c>
      <c r="G41" s="228">
        <v>37.69</v>
      </c>
      <c r="H41" s="222"/>
      <c r="I41" s="254"/>
    </row>
    <row r="42" spans="2:9" ht="60" hidden="1">
      <c r="B42" s="226"/>
      <c r="C42" s="226"/>
      <c r="D42" s="226"/>
      <c r="E42" s="221" t="s">
        <v>46</v>
      </c>
      <c r="F42" s="221"/>
      <c r="G42" s="227"/>
      <c r="H42" s="221"/>
      <c r="I42" s="255"/>
    </row>
    <row r="43" spans="2:9" ht="18" hidden="1">
      <c r="B43" s="219">
        <v>45931</v>
      </c>
      <c r="C43" s="220">
        <v>0</v>
      </c>
      <c r="D43" s="220">
        <v>13105</v>
      </c>
      <c r="E43" s="224" t="s">
        <v>31</v>
      </c>
      <c r="F43" s="225">
        <v>100108</v>
      </c>
      <c r="G43" s="228">
        <v>309.76</v>
      </c>
      <c r="H43" s="222"/>
      <c r="I43" s="254"/>
    </row>
    <row r="44" spans="2:9" ht="60" hidden="1">
      <c r="B44" s="226"/>
      <c r="C44" s="226"/>
      <c r="D44" s="226"/>
      <c r="E44" s="221" t="s">
        <v>45</v>
      </c>
      <c r="F44" s="221"/>
      <c r="G44" s="227"/>
      <c r="H44" s="221"/>
      <c r="I44" s="255"/>
    </row>
    <row r="45" spans="2:9" ht="18" hidden="1">
      <c r="B45" s="219">
        <v>45931</v>
      </c>
      <c r="C45" s="220">
        <v>0</v>
      </c>
      <c r="D45" s="220">
        <v>13105</v>
      </c>
      <c r="E45" s="224" t="s">
        <v>31</v>
      </c>
      <c r="F45" s="225">
        <v>100109</v>
      </c>
      <c r="G45" s="228">
        <v>406.29</v>
      </c>
      <c r="H45" s="222"/>
      <c r="I45" s="254"/>
    </row>
    <row r="46" spans="2:9" ht="60" hidden="1">
      <c r="B46" s="226"/>
      <c r="C46" s="226"/>
      <c r="D46" s="226"/>
      <c r="E46" s="221" t="s">
        <v>45</v>
      </c>
      <c r="F46" s="221"/>
      <c r="G46" s="227"/>
      <c r="H46" s="221"/>
      <c r="I46" s="255"/>
    </row>
    <row r="47" spans="2:9" ht="18" hidden="1">
      <c r="B47" s="219">
        <v>45931</v>
      </c>
      <c r="C47" s="220">
        <v>0</v>
      </c>
      <c r="D47" s="220">
        <v>13105</v>
      </c>
      <c r="E47" s="224" t="s">
        <v>31</v>
      </c>
      <c r="F47" s="225">
        <v>100110</v>
      </c>
      <c r="G47" s="228">
        <v>379.56</v>
      </c>
      <c r="H47" s="222"/>
      <c r="I47" s="254"/>
    </row>
    <row r="48" spans="2:9" ht="60" hidden="1">
      <c r="B48" s="226"/>
      <c r="C48" s="226"/>
      <c r="D48" s="226"/>
      <c r="E48" s="221" t="s">
        <v>45</v>
      </c>
      <c r="F48" s="221"/>
      <c r="G48" s="227"/>
      <c r="H48" s="221"/>
      <c r="I48" s="255"/>
    </row>
    <row r="49" spans="2:9" ht="18" hidden="1">
      <c r="B49" s="219">
        <v>45931</v>
      </c>
      <c r="C49" s="220">
        <v>0</v>
      </c>
      <c r="D49" s="220">
        <v>13105</v>
      </c>
      <c r="E49" s="224" t="s">
        <v>31</v>
      </c>
      <c r="F49" s="225">
        <v>100111</v>
      </c>
      <c r="G49" s="228">
        <v>423.34</v>
      </c>
      <c r="H49" s="222"/>
      <c r="I49" s="254"/>
    </row>
    <row r="50" spans="2:9" ht="60" hidden="1">
      <c r="B50" s="226"/>
      <c r="C50" s="226"/>
      <c r="D50" s="226"/>
      <c r="E50" s="221" t="s">
        <v>45</v>
      </c>
      <c r="F50" s="221"/>
      <c r="G50" s="227"/>
      <c r="H50" s="221"/>
      <c r="I50" s="255"/>
    </row>
    <row r="51" spans="2:9" ht="18" hidden="1">
      <c r="B51" s="219">
        <v>45931</v>
      </c>
      <c r="C51" s="220">
        <v>0</v>
      </c>
      <c r="D51" s="220">
        <v>13105</v>
      </c>
      <c r="E51" s="224" t="s">
        <v>31</v>
      </c>
      <c r="F51" s="225">
        <v>100112</v>
      </c>
      <c r="G51" s="228">
        <v>878.66</v>
      </c>
      <c r="H51" s="222"/>
      <c r="I51" s="254"/>
    </row>
    <row r="52" spans="2:9" ht="36" hidden="1">
      <c r="B52" s="226"/>
      <c r="C52" s="226"/>
      <c r="D52" s="226"/>
      <c r="E52" s="221" t="s">
        <v>44</v>
      </c>
      <c r="F52" s="221"/>
      <c r="G52" s="227"/>
      <c r="H52" s="221"/>
      <c r="I52" s="255"/>
    </row>
    <row r="53" spans="2:9" ht="18" hidden="1">
      <c r="B53" s="219">
        <v>45931</v>
      </c>
      <c r="C53" s="220">
        <v>0</v>
      </c>
      <c r="D53" s="220">
        <v>13105</v>
      </c>
      <c r="E53" s="224" t="s">
        <v>31</v>
      </c>
      <c r="F53" s="225">
        <v>100113</v>
      </c>
      <c r="G53" s="228">
        <v>204.55</v>
      </c>
      <c r="H53" s="222"/>
      <c r="I53" s="254"/>
    </row>
    <row r="54" spans="2:9" ht="36" hidden="1">
      <c r="B54" s="226"/>
      <c r="C54" s="226"/>
      <c r="D54" s="226"/>
      <c r="E54" s="221" t="s">
        <v>111</v>
      </c>
      <c r="F54" s="221"/>
      <c r="G54" s="227"/>
      <c r="H54" s="221"/>
      <c r="I54" s="255"/>
    </row>
    <row r="55" spans="2:9" ht="18" hidden="1">
      <c r="B55" s="219">
        <v>45931</v>
      </c>
      <c r="C55" s="220">
        <v>0</v>
      </c>
      <c r="D55" s="220">
        <v>13105</v>
      </c>
      <c r="E55" s="224" t="s">
        <v>31</v>
      </c>
      <c r="F55" s="225">
        <v>100114</v>
      </c>
      <c r="G55" s="228">
        <v>269.82</v>
      </c>
      <c r="H55" s="222"/>
      <c r="I55" s="254"/>
    </row>
    <row r="56" spans="2:9" ht="36" hidden="1">
      <c r="B56" s="226"/>
      <c r="C56" s="226"/>
      <c r="D56" s="226"/>
      <c r="E56" s="221" t="s">
        <v>111</v>
      </c>
      <c r="F56" s="221"/>
      <c r="G56" s="227"/>
      <c r="H56" s="221"/>
      <c r="I56" s="255"/>
    </row>
    <row r="57" spans="2:9" ht="18" hidden="1">
      <c r="B57" s="219">
        <v>45931</v>
      </c>
      <c r="C57" s="220">
        <v>0</v>
      </c>
      <c r="D57" s="220">
        <v>13105</v>
      </c>
      <c r="E57" s="224" t="s">
        <v>31</v>
      </c>
      <c r="F57" s="225">
        <v>100115</v>
      </c>
      <c r="G57" s="228">
        <v>238.26</v>
      </c>
      <c r="H57" s="222"/>
      <c r="I57" s="254"/>
    </row>
    <row r="58" spans="2:9" ht="36" hidden="1">
      <c r="B58" s="226"/>
      <c r="C58" s="226"/>
      <c r="D58" s="226"/>
      <c r="E58" s="221" t="s">
        <v>111</v>
      </c>
      <c r="F58" s="221"/>
      <c r="G58" s="227"/>
      <c r="H58" s="221"/>
      <c r="I58" s="255"/>
    </row>
    <row r="59" spans="2:9" ht="18" hidden="1">
      <c r="B59" s="219">
        <v>45931</v>
      </c>
      <c r="C59" s="220">
        <v>0</v>
      </c>
      <c r="D59" s="220">
        <v>13105</v>
      </c>
      <c r="E59" s="224" t="s">
        <v>31</v>
      </c>
      <c r="F59" s="225">
        <v>100116</v>
      </c>
      <c r="G59" s="228">
        <v>271.41000000000003</v>
      </c>
      <c r="H59" s="222"/>
      <c r="I59" s="254"/>
    </row>
    <row r="60" spans="2:9" ht="36" hidden="1">
      <c r="B60" s="226"/>
      <c r="C60" s="226"/>
      <c r="D60" s="226"/>
      <c r="E60" s="221" t="s">
        <v>111</v>
      </c>
      <c r="F60" s="221"/>
      <c r="G60" s="227"/>
      <c r="H60" s="221"/>
      <c r="I60" s="255"/>
    </row>
    <row r="61" spans="2:9" ht="18" hidden="1">
      <c r="B61" s="219">
        <v>45931</v>
      </c>
      <c r="C61" s="220">
        <v>0</v>
      </c>
      <c r="D61" s="220">
        <v>13105</v>
      </c>
      <c r="E61" s="224" t="s">
        <v>31</v>
      </c>
      <c r="F61" s="225">
        <v>100117</v>
      </c>
      <c r="G61" s="228">
        <v>252.91</v>
      </c>
      <c r="H61" s="222"/>
      <c r="I61" s="254"/>
    </row>
    <row r="62" spans="2:9" ht="36" hidden="1">
      <c r="B62" s="226"/>
      <c r="C62" s="226"/>
      <c r="D62" s="226"/>
      <c r="E62" s="221" t="s">
        <v>111</v>
      </c>
      <c r="F62" s="221"/>
      <c r="G62" s="227"/>
      <c r="H62" s="221"/>
      <c r="I62" s="255"/>
    </row>
    <row r="63" spans="2:9" ht="18" hidden="1">
      <c r="B63" s="219">
        <v>45931</v>
      </c>
      <c r="C63" s="220">
        <v>0</v>
      </c>
      <c r="D63" s="220">
        <v>13105</v>
      </c>
      <c r="E63" s="224" t="s">
        <v>31</v>
      </c>
      <c r="F63" s="225">
        <v>100118</v>
      </c>
      <c r="G63" s="228">
        <v>203.13</v>
      </c>
      <c r="H63" s="222"/>
      <c r="I63" s="254"/>
    </row>
    <row r="64" spans="2:9" ht="36" hidden="1">
      <c r="B64" s="226"/>
      <c r="C64" s="226"/>
      <c r="D64" s="226"/>
      <c r="E64" s="221" t="s">
        <v>111</v>
      </c>
      <c r="F64" s="221"/>
      <c r="G64" s="227"/>
      <c r="H64" s="221"/>
      <c r="I64" s="255"/>
    </row>
    <row r="65" spans="2:9" ht="18" hidden="1">
      <c r="B65" s="219">
        <v>45931</v>
      </c>
      <c r="C65" s="220">
        <v>0</v>
      </c>
      <c r="D65" s="220">
        <v>13105</v>
      </c>
      <c r="E65" s="224" t="s">
        <v>31</v>
      </c>
      <c r="F65" s="225">
        <v>100119</v>
      </c>
      <c r="G65" s="228">
        <v>242.37</v>
      </c>
      <c r="H65" s="222"/>
      <c r="I65" s="254"/>
    </row>
    <row r="66" spans="2:9" ht="36" hidden="1">
      <c r="B66" s="226"/>
      <c r="C66" s="226"/>
      <c r="D66" s="226"/>
      <c r="E66" s="221" t="s">
        <v>111</v>
      </c>
      <c r="F66" s="221"/>
      <c r="G66" s="227"/>
      <c r="H66" s="221"/>
      <c r="I66" s="255"/>
    </row>
    <row r="67" spans="2:9" ht="18" hidden="1">
      <c r="B67" s="219">
        <v>45931</v>
      </c>
      <c r="C67" s="220">
        <v>0</v>
      </c>
      <c r="D67" s="220">
        <v>13105</v>
      </c>
      <c r="E67" s="224" t="s">
        <v>31</v>
      </c>
      <c r="F67" s="225">
        <v>100120</v>
      </c>
      <c r="G67" s="228">
        <v>1419.35</v>
      </c>
      <c r="H67" s="222"/>
      <c r="I67" s="254"/>
    </row>
    <row r="68" spans="2:9" ht="48" hidden="1">
      <c r="B68" s="226"/>
      <c r="C68" s="226"/>
      <c r="D68" s="226"/>
      <c r="E68" s="221" t="s">
        <v>1392</v>
      </c>
      <c r="F68" s="221"/>
      <c r="G68" s="227"/>
      <c r="H68" s="221"/>
      <c r="I68" s="255"/>
    </row>
    <row r="69" spans="2:9" ht="18" hidden="1">
      <c r="B69" s="219">
        <v>45931</v>
      </c>
      <c r="C69" s="220">
        <v>0</v>
      </c>
      <c r="D69" s="220">
        <v>13105</v>
      </c>
      <c r="E69" s="224" t="s">
        <v>31</v>
      </c>
      <c r="F69" s="225">
        <v>100121</v>
      </c>
      <c r="G69" s="228">
        <v>748.82</v>
      </c>
      <c r="H69" s="222"/>
      <c r="I69" s="254"/>
    </row>
    <row r="70" spans="2:9" ht="36" hidden="1">
      <c r="B70" s="226"/>
      <c r="C70" s="226"/>
      <c r="D70" s="226"/>
      <c r="E70" s="221" t="s">
        <v>163</v>
      </c>
      <c r="F70" s="221"/>
      <c r="G70" s="227"/>
      <c r="H70" s="221"/>
      <c r="I70" s="255"/>
    </row>
    <row r="71" spans="2:9" ht="18" hidden="1">
      <c r="B71" s="219">
        <v>45931</v>
      </c>
      <c r="C71" s="220">
        <v>0</v>
      </c>
      <c r="D71" s="220">
        <v>13105</v>
      </c>
      <c r="E71" s="224" t="s">
        <v>31</v>
      </c>
      <c r="F71" s="225">
        <v>100122</v>
      </c>
      <c r="G71" s="228">
        <v>392.62</v>
      </c>
      <c r="H71" s="222"/>
      <c r="I71" s="254"/>
    </row>
    <row r="72" spans="2:9" ht="36" hidden="1">
      <c r="B72" s="226"/>
      <c r="C72" s="226"/>
      <c r="D72" s="226"/>
      <c r="E72" s="221" t="s">
        <v>636</v>
      </c>
      <c r="F72" s="221"/>
      <c r="G72" s="227"/>
      <c r="H72" s="221"/>
      <c r="I72" s="255"/>
    </row>
    <row r="73" spans="2:9" ht="18" hidden="1">
      <c r="B73" s="219">
        <v>45931</v>
      </c>
      <c r="C73" s="220">
        <v>0</v>
      </c>
      <c r="D73" s="220">
        <v>13105</v>
      </c>
      <c r="E73" s="224" t="s">
        <v>31</v>
      </c>
      <c r="F73" s="225">
        <v>100123</v>
      </c>
      <c r="G73" s="228">
        <v>1020</v>
      </c>
      <c r="H73" s="222"/>
      <c r="I73" s="254"/>
    </row>
    <row r="74" spans="2:9" ht="48" hidden="1">
      <c r="B74" s="226"/>
      <c r="C74" s="226"/>
      <c r="D74" s="226"/>
      <c r="E74" s="221" t="s">
        <v>37</v>
      </c>
      <c r="F74" s="221"/>
      <c r="G74" s="227"/>
      <c r="H74" s="221"/>
      <c r="I74" s="255"/>
    </row>
    <row r="75" spans="2:9" ht="18" hidden="1">
      <c r="B75" s="219">
        <v>45931</v>
      </c>
      <c r="C75" s="220">
        <v>0</v>
      </c>
      <c r="D75" s="220">
        <v>13105</v>
      </c>
      <c r="E75" s="224" t="s">
        <v>31</v>
      </c>
      <c r="F75" s="225">
        <v>100124</v>
      </c>
      <c r="G75" s="228">
        <v>1442.88</v>
      </c>
      <c r="H75" s="222"/>
      <c r="I75" s="254"/>
    </row>
    <row r="76" spans="2:9" ht="48" hidden="1">
      <c r="B76" s="226"/>
      <c r="C76" s="226"/>
      <c r="D76" s="226"/>
      <c r="E76" s="221" t="s">
        <v>71</v>
      </c>
      <c r="F76" s="221"/>
      <c r="G76" s="227"/>
      <c r="H76" s="221"/>
      <c r="I76" s="255"/>
    </row>
    <row r="77" spans="2:9" ht="18" hidden="1">
      <c r="B77" s="219">
        <v>45931</v>
      </c>
      <c r="C77" s="220">
        <v>0</v>
      </c>
      <c r="D77" s="220">
        <v>13105</v>
      </c>
      <c r="E77" s="224" t="s">
        <v>31</v>
      </c>
      <c r="F77" s="225">
        <v>100125</v>
      </c>
      <c r="G77" s="228">
        <v>318.3</v>
      </c>
      <c r="H77" s="222"/>
      <c r="I77" s="254"/>
    </row>
    <row r="78" spans="2:9" ht="60" hidden="1">
      <c r="B78" s="226"/>
      <c r="C78" s="226"/>
      <c r="D78" s="226"/>
      <c r="E78" s="221" t="s">
        <v>1318</v>
      </c>
      <c r="F78" s="221"/>
      <c r="G78" s="227"/>
      <c r="H78" s="221"/>
      <c r="I78" s="255"/>
    </row>
    <row r="79" spans="2:9" ht="18" hidden="1">
      <c r="B79" s="219">
        <v>45931</v>
      </c>
      <c r="C79" s="220">
        <v>0</v>
      </c>
      <c r="D79" s="220">
        <v>13105</v>
      </c>
      <c r="E79" s="224" t="s">
        <v>31</v>
      </c>
      <c r="F79" s="225">
        <v>100126</v>
      </c>
      <c r="G79" s="228">
        <v>1959.46</v>
      </c>
      <c r="H79" s="222"/>
      <c r="I79" s="254"/>
    </row>
    <row r="80" spans="2:9" ht="36" hidden="1">
      <c r="B80" s="226"/>
      <c r="C80" s="226"/>
      <c r="D80" s="226"/>
      <c r="E80" s="221" t="s">
        <v>55</v>
      </c>
      <c r="F80" s="221"/>
      <c r="G80" s="227"/>
      <c r="H80" s="221"/>
      <c r="I80" s="255"/>
    </row>
    <row r="81" spans="2:9" ht="18" hidden="1">
      <c r="B81" s="219">
        <v>45931</v>
      </c>
      <c r="C81" s="220">
        <v>0</v>
      </c>
      <c r="D81" s="220">
        <v>13105</v>
      </c>
      <c r="E81" s="224" t="s">
        <v>31</v>
      </c>
      <c r="F81" s="225">
        <v>100127</v>
      </c>
      <c r="G81" s="228">
        <v>763.33</v>
      </c>
      <c r="H81" s="222"/>
      <c r="I81" s="254"/>
    </row>
    <row r="82" spans="2:9" ht="60" hidden="1">
      <c r="B82" s="226"/>
      <c r="C82" s="226"/>
      <c r="D82" s="226"/>
      <c r="E82" s="221" t="s">
        <v>165</v>
      </c>
      <c r="F82" s="221"/>
      <c r="G82" s="227"/>
      <c r="H82" s="221"/>
      <c r="I82" s="255"/>
    </row>
    <row r="83" spans="2:9" ht="18" hidden="1">
      <c r="B83" s="219">
        <v>45931</v>
      </c>
      <c r="C83" s="220">
        <v>0</v>
      </c>
      <c r="D83" s="220">
        <v>13105</v>
      </c>
      <c r="E83" s="224" t="s">
        <v>34</v>
      </c>
      <c r="F83" s="225">
        <v>100128</v>
      </c>
      <c r="G83" s="228">
        <v>64.489999999999995</v>
      </c>
      <c r="H83" s="222"/>
      <c r="I83" s="254"/>
    </row>
    <row r="84" spans="2:9" hidden="1">
      <c r="B84" s="226"/>
      <c r="C84" s="226"/>
      <c r="D84" s="226"/>
      <c r="E84" s="221" t="s">
        <v>288</v>
      </c>
      <c r="F84" s="221"/>
      <c r="G84" s="227"/>
      <c r="H84" s="221"/>
      <c r="I84" s="255"/>
    </row>
    <row r="85" spans="2:9" ht="18" hidden="1">
      <c r="B85" s="219">
        <v>45931</v>
      </c>
      <c r="C85" s="220">
        <v>0</v>
      </c>
      <c r="D85" s="220">
        <v>13105</v>
      </c>
      <c r="E85" s="224" t="s">
        <v>31</v>
      </c>
      <c r="F85" s="225">
        <v>100129</v>
      </c>
      <c r="G85" s="228">
        <v>1774.22</v>
      </c>
      <c r="H85" s="222"/>
      <c r="I85" s="254"/>
    </row>
    <row r="86" spans="2:9" ht="60" hidden="1">
      <c r="B86" s="226"/>
      <c r="C86" s="226"/>
      <c r="D86" s="226"/>
      <c r="E86" s="221" t="s">
        <v>122</v>
      </c>
      <c r="F86" s="221"/>
      <c r="G86" s="227"/>
      <c r="H86" s="221"/>
      <c r="I86" s="255"/>
    </row>
    <row r="87" spans="2:9" ht="18" hidden="1">
      <c r="B87" s="219">
        <v>45931</v>
      </c>
      <c r="C87" s="220">
        <v>0</v>
      </c>
      <c r="D87" s="220">
        <v>13105</v>
      </c>
      <c r="E87" s="224" t="s">
        <v>31</v>
      </c>
      <c r="F87" s="225">
        <v>100130</v>
      </c>
      <c r="G87" s="228">
        <v>300.66000000000003</v>
      </c>
      <c r="H87" s="222"/>
      <c r="I87" s="254"/>
    </row>
    <row r="88" spans="2:9" ht="60" hidden="1">
      <c r="B88" s="226"/>
      <c r="C88" s="226"/>
      <c r="D88" s="226"/>
      <c r="E88" s="221" t="s">
        <v>110</v>
      </c>
      <c r="F88" s="221"/>
      <c r="G88" s="227"/>
      <c r="H88" s="221"/>
      <c r="I88" s="255"/>
    </row>
    <row r="89" spans="2:9" ht="18" hidden="1">
      <c r="B89" s="219">
        <v>45931</v>
      </c>
      <c r="C89" s="220">
        <v>0</v>
      </c>
      <c r="D89" s="220">
        <v>0</v>
      </c>
      <c r="E89" s="224" t="s">
        <v>52</v>
      </c>
      <c r="F89" s="225">
        <v>9903</v>
      </c>
      <c r="G89" s="223">
        <v>1266.06</v>
      </c>
      <c r="H89" s="222"/>
      <c r="I89" s="254"/>
    </row>
    <row r="90" spans="2:9" ht="24" hidden="1">
      <c r="B90" s="226"/>
      <c r="C90" s="226"/>
      <c r="D90" s="226"/>
      <c r="E90" s="221" t="s">
        <v>53</v>
      </c>
      <c r="F90" s="221"/>
      <c r="G90" s="227"/>
      <c r="H90" s="221"/>
      <c r="I90" s="255"/>
    </row>
    <row r="91" spans="2:9" ht="18" hidden="1">
      <c r="B91" s="219">
        <v>45932</v>
      </c>
      <c r="C91" s="220">
        <v>0</v>
      </c>
      <c r="D91" s="220">
        <v>14397</v>
      </c>
      <c r="E91" s="224" t="s">
        <v>57</v>
      </c>
      <c r="F91" s="225">
        <v>21404306828551</v>
      </c>
      <c r="G91" s="223">
        <v>6507.18</v>
      </c>
      <c r="H91" s="222"/>
      <c r="I91" s="254"/>
    </row>
    <row r="92" spans="2:9" ht="60" hidden="1">
      <c r="B92" s="226"/>
      <c r="C92" s="226"/>
      <c r="D92" s="226"/>
      <c r="E92" s="221" t="s">
        <v>1393</v>
      </c>
      <c r="F92" s="221"/>
      <c r="G92" s="227"/>
      <c r="H92" s="221"/>
      <c r="I92" s="255"/>
    </row>
    <row r="93" spans="2:9" ht="18" hidden="1">
      <c r="B93" s="219">
        <v>45932</v>
      </c>
      <c r="C93" s="220">
        <v>0</v>
      </c>
      <c r="D93" s="220">
        <v>14397</v>
      </c>
      <c r="E93" s="224" t="s">
        <v>57</v>
      </c>
      <c r="F93" s="225">
        <v>21532089013522</v>
      </c>
      <c r="G93" s="223">
        <v>600</v>
      </c>
      <c r="H93" s="222"/>
      <c r="I93" s="254"/>
    </row>
    <row r="94" spans="2:9" ht="60" hidden="1">
      <c r="B94" s="226"/>
      <c r="C94" s="226"/>
      <c r="D94" s="226"/>
      <c r="E94" s="221" t="s">
        <v>1394</v>
      </c>
      <c r="F94" s="221"/>
      <c r="G94" s="227"/>
      <c r="H94" s="221"/>
      <c r="I94" s="255"/>
    </row>
    <row r="95" spans="2:9" ht="18" hidden="1">
      <c r="B95" s="219">
        <v>45932</v>
      </c>
      <c r="C95" s="220">
        <v>0</v>
      </c>
      <c r="D95" s="220">
        <v>13105</v>
      </c>
      <c r="E95" s="224" t="s">
        <v>31</v>
      </c>
      <c r="F95" s="225">
        <v>100201</v>
      </c>
      <c r="G95" s="228">
        <v>158.59</v>
      </c>
      <c r="H95" s="222"/>
      <c r="I95" s="254"/>
    </row>
    <row r="96" spans="2:9" ht="48" hidden="1">
      <c r="B96" s="226"/>
      <c r="C96" s="226"/>
      <c r="D96" s="226"/>
      <c r="E96" s="221" t="s">
        <v>507</v>
      </c>
      <c r="F96" s="221"/>
      <c r="G96" s="227"/>
      <c r="H96" s="221"/>
      <c r="I96" s="255"/>
    </row>
    <row r="97" spans="2:9" ht="18" hidden="1">
      <c r="B97" s="219">
        <v>45932</v>
      </c>
      <c r="C97" s="220">
        <v>0</v>
      </c>
      <c r="D97" s="220">
        <v>13105</v>
      </c>
      <c r="E97" s="224" t="s">
        <v>34</v>
      </c>
      <c r="F97" s="225">
        <v>100202</v>
      </c>
      <c r="G97" s="228">
        <v>132.96</v>
      </c>
      <c r="H97" s="222"/>
      <c r="I97" s="254"/>
    </row>
    <row r="98" spans="2:9" hidden="1">
      <c r="B98" s="226"/>
      <c r="C98" s="226"/>
      <c r="D98" s="226"/>
      <c r="E98" s="221" t="s">
        <v>35</v>
      </c>
      <c r="F98" s="221"/>
      <c r="G98" s="227"/>
      <c r="H98" s="221"/>
      <c r="I98" s="255"/>
    </row>
    <row r="99" spans="2:9" ht="18" hidden="1">
      <c r="B99" s="219">
        <v>45932</v>
      </c>
      <c r="C99" s="220">
        <v>0</v>
      </c>
      <c r="D99" s="220">
        <v>13105</v>
      </c>
      <c r="E99" s="224" t="s">
        <v>31</v>
      </c>
      <c r="F99" s="225">
        <v>100203</v>
      </c>
      <c r="G99" s="228">
        <v>77.260000000000005</v>
      </c>
      <c r="H99" s="222"/>
      <c r="I99" s="254"/>
    </row>
    <row r="100" spans="2:9" ht="60" hidden="1">
      <c r="B100" s="226"/>
      <c r="C100" s="226"/>
      <c r="D100" s="226"/>
      <c r="E100" s="221" t="s">
        <v>46</v>
      </c>
      <c r="F100" s="221"/>
      <c r="G100" s="227"/>
      <c r="H100" s="221"/>
      <c r="I100" s="255"/>
    </row>
    <row r="101" spans="2:9" ht="18" hidden="1">
      <c r="B101" s="219">
        <v>45932</v>
      </c>
      <c r="C101" s="220">
        <v>0</v>
      </c>
      <c r="D101" s="220">
        <v>13105</v>
      </c>
      <c r="E101" s="224" t="s">
        <v>31</v>
      </c>
      <c r="F101" s="225">
        <v>100204</v>
      </c>
      <c r="G101" s="228">
        <v>273.73</v>
      </c>
      <c r="H101" s="222"/>
      <c r="I101" s="254"/>
    </row>
    <row r="102" spans="2:9" ht="60" hidden="1">
      <c r="B102" s="226"/>
      <c r="C102" s="226"/>
      <c r="D102" s="226"/>
      <c r="E102" s="221" t="s">
        <v>46</v>
      </c>
      <c r="F102" s="221"/>
      <c r="G102" s="227"/>
      <c r="H102" s="221"/>
      <c r="I102" s="255"/>
    </row>
    <row r="103" spans="2:9" ht="18" hidden="1">
      <c r="B103" s="219">
        <v>45932</v>
      </c>
      <c r="C103" s="220">
        <v>0</v>
      </c>
      <c r="D103" s="220">
        <v>13105</v>
      </c>
      <c r="E103" s="224" t="s">
        <v>31</v>
      </c>
      <c r="F103" s="225">
        <v>100205</v>
      </c>
      <c r="G103" s="228">
        <v>248.39</v>
      </c>
      <c r="H103" s="222"/>
      <c r="I103" s="254"/>
    </row>
    <row r="104" spans="2:9" ht="60" hidden="1">
      <c r="B104" s="226"/>
      <c r="C104" s="226"/>
      <c r="D104" s="226"/>
      <c r="E104" s="221" t="s">
        <v>45</v>
      </c>
      <c r="F104" s="221"/>
      <c r="G104" s="227"/>
      <c r="H104" s="221"/>
      <c r="I104" s="255"/>
    </row>
    <row r="105" spans="2:9" ht="18" hidden="1">
      <c r="B105" s="219">
        <v>45932</v>
      </c>
      <c r="C105" s="220">
        <v>0</v>
      </c>
      <c r="D105" s="220">
        <v>13105</v>
      </c>
      <c r="E105" s="224" t="s">
        <v>31</v>
      </c>
      <c r="F105" s="225">
        <v>100206</v>
      </c>
      <c r="G105" s="228">
        <v>245.42</v>
      </c>
      <c r="H105" s="222"/>
      <c r="I105" s="254"/>
    </row>
    <row r="106" spans="2:9" ht="60" hidden="1">
      <c r="B106" s="226"/>
      <c r="C106" s="226"/>
      <c r="D106" s="226"/>
      <c r="E106" s="221" t="s">
        <v>45</v>
      </c>
      <c r="F106" s="221"/>
      <c r="G106" s="227"/>
      <c r="H106" s="221"/>
      <c r="I106" s="255"/>
    </row>
    <row r="107" spans="2:9" ht="18" hidden="1">
      <c r="B107" s="219">
        <v>45932</v>
      </c>
      <c r="C107" s="220">
        <v>0</v>
      </c>
      <c r="D107" s="220">
        <v>13105</v>
      </c>
      <c r="E107" s="224" t="s">
        <v>31</v>
      </c>
      <c r="F107" s="225">
        <v>100207</v>
      </c>
      <c r="G107" s="228">
        <v>462.54</v>
      </c>
      <c r="H107" s="222"/>
      <c r="I107" s="254"/>
    </row>
    <row r="108" spans="2:9" ht="48" hidden="1">
      <c r="B108" s="226"/>
      <c r="C108" s="226"/>
      <c r="D108" s="226"/>
      <c r="E108" s="221" t="s">
        <v>340</v>
      </c>
      <c r="F108" s="221"/>
      <c r="G108" s="227"/>
      <c r="H108" s="221"/>
      <c r="I108" s="255"/>
    </row>
    <row r="109" spans="2:9" ht="18" hidden="1">
      <c r="B109" s="219">
        <v>45932</v>
      </c>
      <c r="C109" s="220">
        <v>0</v>
      </c>
      <c r="D109" s="220">
        <v>13105</v>
      </c>
      <c r="E109" s="224" t="s">
        <v>31</v>
      </c>
      <c r="F109" s="225">
        <v>100208</v>
      </c>
      <c r="G109" s="228">
        <v>2715.7</v>
      </c>
      <c r="H109" s="222"/>
      <c r="I109" s="254"/>
    </row>
    <row r="110" spans="2:9" ht="36" hidden="1">
      <c r="B110" s="226"/>
      <c r="C110" s="226"/>
      <c r="D110" s="226"/>
      <c r="E110" s="221" t="s">
        <v>33</v>
      </c>
      <c r="F110" s="221"/>
      <c r="G110" s="227"/>
      <c r="H110" s="221"/>
      <c r="I110" s="255"/>
    </row>
    <row r="111" spans="2:9" ht="18" hidden="1">
      <c r="B111" s="219">
        <v>45932</v>
      </c>
      <c r="C111" s="220">
        <v>0</v>
      </c>
      <c r="D111" s="220">
        <v>13105</v>
      </c>
      <c r="E111" s="224" t="s">
        <v>31</v>
      </c>
      <c r="F111" s="225">
        <v>100209</v>
      </c>
      <c r="G111" s="228">
        <v>255.57</v>
      </c>
      <c r="H111" s="222"/>
      <c r="I111" s="254"/>
    </row>
    <row r="112" spans="2:9" ht="36" hidden="1">
      <c r="B112" s="226"/>
      <c r="C112" s="226"/>
      <c r="D112" s="226"/>
      <c r="E112" s="221" t="s">
        <v>111</v>
      </c>
      <c r="F112" s="221"/>
      <c r="G112" s="227"/>
      <c r="H112" s="221"/>
      <c r="I112" s="255"/>
    </row>
    <row r="113" spans="2:9" ht="18" hidden="1">
      <c r="B113" s="219">
        <v>45932</v>
      </c>
      <c r="C113" s="220">
        <v>0</v>
      </c>
      <c r="D113" s="220">
        <v>13105</v>
      </c>
      <c r="E113" s="224" t="s">
        <v>31</v>
      </c>
      <c r="F113" s="225">
        <v>100210</v>
      </c>
      <c r="G113" s="228">
        <v>183.79</v>
      </c>
      <c r="H113" s="222"/>
      <c r="I113" s="254"/>
    </row>
    <row r="114" spans="2:9" ht="36" hidden="1">
      <c r="B114" s="226"/>
      <c r="C114" s="226"/>
      <c r="D114" s="226"/>
      <c r="E114" s="221" t="s">
        <v>111</v>
      </c>
      <c r="F114" s="221"/>
      <c r="G114" s="227"/>
      <c r="H114" s="221"/>
      <c r="I114" s="255"/>
    </row>
    <row r="115" spans="2:9" ht="18" hidden="1">
      <c r="B115" s="219">
        <v>45932</v>
      </c>
      <c r="C115" s="220">
        <v>0</v>
      </c>
      <c r="D115" s="220">
        <v>13105</v>
      </c>
      <c r="E115" s="224" t="s">
        <v>31</v>
      </c>
      <c r="F115" s="225">
        <v>100211</v>
      </c>
      <c r="G115" s="228">
        <v>253.01</v>
      </c>
      <c r="H115" s="222"/>
      <c r="I115" s="254"/>
    </row>
    <row r="116" spans="2:9" ht="36" hidden="1">
      <c r="B116" s="226"/>
      <c r="C116" s="226"/>
      <c r="D116" s="226"/>
      <c r="E116" s="221" t="s">
        <v>111</v>
      </c>
      <c r="F116" s="221"/>
      <c r="G116" s="227"/>
      <c r="H116" s="221"/>
      <c r="I116" s="255"/>
    </row>
    <row r="117" spans="2:9" ht="18" hidden="1">
      <c r="B117" s="219">
        <v>45932</v>
      </c>
      <c r="C117" s="220">
        <v>0</v>
      </c>
      <c r="D117" s="220">
        <v>13105</v>
      </c>
      <c r="E117" s="224" t="s">
        <v>31</v>
      </c>
      <c r="F117" s="225">
        <v>100212</v>
      </c>
      <c r="G117" s="228">
        <v>624.97</v>
      </c>
      <c r="H117" s="222"/>
      <c r="I117" s="254"/>
    </row>
    <row r="118" spans="2:9" ht="60" hidden="1">
      <c r="B118" s="226"/>
      <c r="C118" s="226"/>
      <c r="D118" s="226"/>
      <c r="E118" s="221" t="s">
        <v>165</v>
      </c>
      <c r="F118" s="221"/>
      <c r="G118" s="227"/>
      <c r="H118" s="221"/>
      <c r="I118" s="255"/>
    </row>
    <row r="119" spans="2:9" ht="18" hidden="1">
      <c r="B119" s="219">
        <v>45932</v>
      </c>
      <c r="C119" s="220">
        <v>0</v>
      </c>
      <c r="D119" s="220">
        <v>13105</v>
      </c>
      <c r="E119" s="224" t="s">
        <v>31</v>
      </c>
      <c r="F119" s="225">
        <v>100213</v>
      </c>
      <c r="G119" s="228">
        <v>365.22</v>
      </c>
      <c r="H119" s="222"/>
      <c r="I119" s="254"/>
    </row>
    <row r="120" spans="2:9" ht="60" hidden="1">
      <c r="B120" s="226"/>
      <c r="C120" s="226"/>
      <c r="D120" s="226"/>
      <c r="E120" s="221" t="s">
        <v>110</v>
      </c>
      <c r="F120" s="221"/>
      <c r="G120" s="227"/>
      <c r="H120" s="221"/>
      <c r="I120" s="255"/>
    </row>
    <row r="121" spans="2:9" ht="18" hidden="1">
      <c r="B121" s="219">
        <v>45932</v>
      </c>
      <c r="C121" s="220">
        <v>0</v>
      </c>
      <c r="D121" s="220">
        <v>13105</v>
      </c>
      <c r="E121" s="224" t="s">
        <v>31</v>
      </c>
      <c r="F121" s="225">
        <v>100214</v>
      </c>
      <c r="G121" s="228">
        <v>316.70999999999998</v>
      </c>
      <c r="H121" s="222"/>
      <c r="I121" s="254"/>
    </row>
    <row r="122" spans="2:9" ht="48" hidden="1">
      <c r="B122" s="226"/>
      <c r="C122" s="226"/>
      <c r="D122" s="226"/>
      <c r="E122" s="221" t="s">
        <v>340</v>
      </c>
      <c r="F122" s="221"/>
      <c r="G122" s="227"/>
      <c r="H122" s="221"/>
      <c r="I122" s="255"/>
    </row>
    <row r="123" spans="2:9" ht="18" hidden="1">
      <c r="B123" s="219">
        <v>45932</v>
      </c>
      <c r="C123" s="220">
        <v>0</v>
      </c>
      <c r="D123" s="220">
        <v>13105</v>
      </c>
      <c r="E123" s="224" t="s">
        <v>31</v>
      </c>
      <c r="F123" s="225">
        <v>100215</v>
      </c>
      <c r="G123" s="228">
        <v>237.6</v>
      </c>
      <c r="H123" s="222"/>
      <c r="I123" s="254"/>
    </row>
    <row r="124" spans="2:9" ht="48" hidden="1">
      <c r="B124" s="226"/>
      <c r="C124" s="226"/>
      <c r="D124" s="226"/>
      <c r="E124" s="221" t="s">
        <v>340</v>
      </c>
      <c r="F124" s="221"/>
      <c r="G124" s="227"/>
      <c r="H124" s="221"/>
      <c r="I124" s="255"/>
    </row>
    <row r="125" spans="2:9" ht="18" hidden="1">
      <c r="B125" s="219">
        <v>45932</v>
      </c>
      <c r="C125" s="220">
        <v>0</v>
      </c>
      <c r="D125" s="220">
        <v>0</v>
      </c>
      <c r="E125" s="224" t="s">
        <v>59</v>
      </c>
      <c r="F125" s="225">
        <v>9903</v>
      </c>
      <c r="G125" s="228">
        <v>555.72</v>
      </c>
      <c r="H125" s="222"/>
      <c r="I125" s="254"/>
    </row>
    <row r="126" spans="2:9" ht="24" hidden="1">
      <c r="B126" s="226"/>
      <c r="C126" s="226"/>
      <c r="D126" s="226"/>
      <c r="E126" s="221" t="s">
        <v>53</v>
      </c>
      <c r="F126" s="221"/>
      <c r="G126" s="227"/>
      <c r="H126" s="221"/>
      <c r="I126" s="255"/>
    </row>
    <row r="127" spans="2:9" ht="27" hidden="1">
      <c r="B127" s="219">
        <v>45936</v>
      </c>
      <c r="C127" s="220">
        <v>1845</v>
      </c>
      <c r="D127" s="220">
        <v>99021</v>
      </c>
      <c r="E127" s="224" t="s">
        <v>27</v>
      </c>
      <c r="F127" s="225">
        <v>611845000040070</v>
      </c>
      <c r="G127" s="223">
        <v>921.93</v>
      </c>
      <c r="H127" s="222"/>
      <c r="I127" s="254"/>
    </row>
    <row r="128" spans="2:9" ht="60" hidden="1">
      <c r="B128" s="226"/>
      <c r="C128" s="226"/>
      <c r="D128" s="226"/>
      <c r="E128" s="221" t="s">
        <v>1395</v>
      </c>
      <c r="F128" s="221"/>
      <c r="G128" s="227"/>
      <c r="H128" s="221"/>
      <c r="I128" s="255"/>
    </row>
    <row r="129" spans="2:9" ht="27" hidden="1">
      <c r="B129" s="219">
        <v>45936</v>
      </c>
      <c r="C129" s="220">
        <v>2256</v>
      </c>
      <c r="D129" s="220">
        <v>99021</v>
      </c>
      <c r="E129" s="224" t="s">
        <v>27</v>
      </c>
      <c r="F129" s="225">
        <v>612256000106555</v>
      </c>
      <c r="G129" s="223">
        <v>763.61</v>
      </c>
      <c r="H129" s="222"/>
      <c r="I129" s="254"/>
    </row>
    <row r="130" spans="2:9" ht="48" hidden="1">
      <c r="B130" s="226"/>
      <c r="C130" s="226"/>
      <c r="D130" s="226"/>
      <c r="E130" s="221" t="s">
        <v>1396</v>
      </c>
      <c r="F130" s="221"/>
      <c r="G130" s="227"/>
      <c r="H130" s="221"/>
      <c r="I130" s="255"/>
    </row>
    <row r="131" spans="2:9" ht="27" hidden="1">
      <c r="B131" s="219">
        <v>45936</v>
      </c>
      <c r="C131" s="220">
        <v>0</v>
      </c>
      <c r="D131" s="220">
        <v>14175</v>
      </c>
      <c r="E131" s="224" t="s">
        <v>62</v>
      </c>
      <c r="F131" s="225">
        <v>397148826</v>
      </c>
      <c r="G131" s="223">
        <v>2236</v>
      </c>
      <c r="H131" s="222"/>
      <c r="I131" s="254"/>
    </row>
    <row r="132" spans="2:9" ht="60" hidden="1">
      <c r="B132" s="226"/>
      <c r="C132" s="226"/>
      <c r="D132" s="226"/>
      <c r="E132" s="221" t="s">
        <v>97</v>
      </c>
      <c r="F132" s="221"/>
      <c r="G132" s="227"/>
      <c r="H132" s="221"/>
      <c r="I132" s="255"/>
    </row>
    <row r="133" spans="2:9" ht="18" hidden="1">
      <c r="B133" s="219">
        <v>45936</v>
      </c>
      <c r="C133" s="220">
        <v>0</v>
      </c>
      <c r="D133" s="220">
        <v>14397</v>
      </c>
      <c r="E133" s="224" t="s">
        <v>57</v>
      </c>
      <c r="F133" s="225">
        <v>60852288579141</v>
      </c>
      <c r="G133" s="223">
        <v>80</v>
      </c>
      <c r="H133" s="222"/>
      <c r="I133" s="254"/>
    </row>
    <row r="134" spans="2:9" ht="60" hidden="1">
      <c r="B134" s="226"/>
      <c r="C134" s="226"/>
      <c r="D134" s="226"/>
      <c r="E134" s="221" t="s">
        <v>1397</v>
      </c>
      <c r="F134" s="221"/>
      <c r="G134" s="227"/>
      <c r="H134" s="221"/>
      <c r="I134" s="255"/>
    </row>
    <row r="135" spans="2:9" ht="18" hidden="1">
      <c r="B135" s="219">
        <v>45936</v>
      </c>
      <c r="C135" s="220">
        <v>0</v>
      </c>
      <c r="D135" s="220">
        <v>14397</v>
      </c>
      <c r="E135" s="224" t="s">
        <v>57</v>
      </c>
      <c r="F135" s="225">
        <v>61738441657992</v>
      </c>
      <c r="G135" s="223">
        <v>398.16</v>
      </c>
      <c r="H135" s="222"/>
      <c r="I135" s="254"/>
    </row>
    <row r="136" spans="2:9" ht="60" hidden="1">
      <c r="B136" s="226"/>
      <c r="C136" s="226"/>
      <c r="D136" s="226"/>
      <c r="E136" s="221" t="s">
        <v>1398</v>
      </c>
      <c r="F136" s="221"/>
      <c r="G136" s="227"/>
      <c r="H136" s="221"/>
      <c r="I136" s="255"/>
    </row>
    <row r="137" spans="2:9" ht="18" hidden="1">
      <c r="B137" s="219">
        <v>45936</v>
      </c>
      <c r="C137" s="220">
        <v>0</v>
      </c>
      <c r="D137" s="220">
        <v>14397</v>
      </c>
      <c r="E137" s="224" t="s">
        <v>57</v>
      </c>
      <c r="F137" s="225">
        <v>62010072601722</v>
      </c>
      <c r="G137" s="223">
        <v>3000</v>
      </c>
      <c r="H137" s="222"/>
      <c r="I137" s="254"/>
    </row>
    <row r="138" spans="2:9" ht="60" hidden="1">
      <c r="B138" s="226"/>
      <c r="C138" s="226"/>
      <c r="D138" s="226"/>
      <c r="E138" s="221" t="s">
        <v>1399</v>
      </c>
      <c r="F138" s="221"/>
      <c r="G138" s="227"/>
      <c r="H138" s="221"/>
      <c r="I138" s="255"/>
    </row>
    <row r="139" spans="2:9" ht="18" hidden="1">
      <c r="B139" s="219">
        <v>45936</v>
      </c>
      <c r="C139" s="220">
        <v>1533</v>
      </c>
      <c r="D139" s="220">
        <v>99008</v>
      </c>
      <c r="E139" s="224" t="s">
        <v>29</v>
      </c>
      <c r="F139" s="225">
        <v>448034</v>
      </c>
      <c r="G139" s="228">
        <v>465.83</v>
      </c>
      <c r="H139" s="222"/>
      <c r="I139" s="254"/>
    </row>
    <row r="140" spans="2:9" ht="36" hidden="1">
      <c r="B140" s="226"/>
      <c r="C140" s="226"/>
      <c r="D140" s="226"/>
      <c r="E140" s="221" t="s">
        <v>1400</v>
      </c>
      <c r="F140" s="221"/>
      <c r="G140" s="227"/>
      <c r="H140" s="221"/>
      <c r="I140" s="255"/>
    </row>
    <row r="141" spans="2:9" ht="18" hidden="1">
      <c r="B141" s="219">
        <v>45936</v>
      </c>
      <c r="C141" s="220">
        <v>1533</v>
      </c>
      <c r="D141" s="220">
        <v>99008</v>
      </c>
      <c r="E141" s="224" t="s">
        <v>29</v>
      </c>
      <c r="F141" s="225">
        <v>661575</v>
      </c>
      <c r="G141" s="228">
        <v>199.87</v>
      </c>
      <c r="H141" s="222"/>
      <c r="I141" s="254"/>
    </row>
    <row r="142" spans="2:9" ht="36" hidden="1">
      <c r="B142" s="226"/>
      <c r="C142" s="226"/>
      <c r="D142" s="226"/>
      <c r="E142" s="221" t="s">
        <v>1401</v>
      </c>
      <c r="F142" s="221"/>
      <c r="G142" s="227"/>
      <c r="H142" s="221"/>
      <c r="I142" s="255"/>
    </row>
    <row r="143" spans="2:9" ht="18" hidden="1">
      <c r="B143" s="219">
        <v>45936</v>
      </c>
      <c r="C143" s="220">
        <v>0</v>
      </c>
      <c r="D143" s="220">
        <v>13105</v>
      </c>
      <c r="E143" s="224" t="s">
        <v>31</v>
      </c>
      <c r="F143" s="225">
        <v>100601</v>
      </c>
      <c r="G143" s="228">
        <v>496.76</v>
      </c>
      <c r="H143" s="222"/>
      <c r="I143" s="254"/>
    </row>
    <row r="144" spans="2:9" ht="60" hidden="1">
      <c r="B144" s="226"/>
      <c r="C144" s="226"/>
      <c r="D144" s="226"/>
      <c r="E144" s="221" t="s">
        <v>1318</v>
      </c>
      <c r="F144" s="221"/>
      <c r="G144" s="227"/>
      <c r="H144" s="221"/>
      <c r="I144" s="255"/>
    </row>
    <row r="145" spans="2:9" ht="18" hidden="1">
      <c r="B145" s="219">
        <v>45936</v>
      </c>
      <c r="C145" s="220">
        <v>0</v>
      </c>
      <c r="D145" s="220">
        <v>13105</v>
      </c>
      <c r="E145" s="224" t="s">
        <v>31</v>
      </c>
      <c r="F145" s="225">
        <v>100602</v>
      </c>
      <c r="G145" s="228">
        <v>588.54</v>
      </c>
      <c r="H145" s="222"/>
      <c r="I145" s="254"/>
    </row>
    <row r="146" spans="2:9" ht="60" hidden="1">
      <c r="B146" s="226"/>
      <c r="C146" s="226"/>
      <c r="D146" s="226"/>
      <c r="E146" s="221" t="s">
        <v>45</v>
      </c>
      <c r="F146" s="221"/>
      <c r="G146" s="227"/>
      <c r="H146" s="221"/>
      <c r="I146" s="255"/>
    </row>
    <row r="147" spans="2:9" ht="18" hidden="1">
      <c r="B147" s="219">
        <v>45936</v>
      </c>
      <c r="C147" s="220">
        <v>0</v>
      </c>
      <c r="D147" s="220">
        <v>13105</v>
      </c>
      <c r="E147" s="224" t="s">
        <v>31</v>
      </c>
      <c r="F147" s="225">
        <v>100603</v>
      </c>
      <c r="G147" s="228">
        <v>401.51</v>
      </c>
      <c r="H147" s="222"/>
      <c r="I147" s="254"/>
    </row>
    <row r="148" spans="2:9" ht="60" hidden="1">
      <c r="B148" s="226"/>
      <c r="C148" s="226"/>
      <c r="D148" s="226"/>
      <c r="E148" s="221" t="s">
        <v>45</v>
      </c>
      <c r="F148" s="221"/>
      <c r="G148" s="227"/>
      <c r="H148" s="221"/>
      <c r="I148" s="255"/>
    </row>
    <row r="149" spans="2:9" ht="18" hidden="1">
      <c r="B149" s="219">
        <v>45936</v>
      </c>
      <c r="C149" s="220">
        <v>0</v>
      </c>
      <c r="D149" s="220">
        <v>13105</v>
      </c>
      <c r="E149" s="224" t="s">
        <v>31</v>
      </c>
      <c r="F149" s="225">
        <v>100604</v>
      </c>
      <c r="G149" s="228">
        <v>303.92</v>
      </c>
      <c r="H149" s="222"/>
      <c r="I149" s="254"/>
    </row>
    <row r="150" spans="2:9" ht="60" hidden="1">
      <c r="B150" s="226"/>
      <c r="C150" s="226"/>
      <c r="D150" s="226"/>
      <c r="E150" s="221" t="s">
        <v>46</v>
      </c>
      <c r="F150" s="221"/>
      <c r="G150" s="227"/>
      <c r="H150" s="221"/>
      <c r="I150" s="255"/>
    </row>
    <row r="151" spans="2:9" ht="18" hidden="1">
      <c r="B151" s="219">
        <v>45936</v>
      </c>
      <c r="C151" s="220">
        <v>0</v>
      </c>
      <c r="D151" s="220">
        <v>13105</v>
      </c>
      <c r="E151" s="224" t="s">
        <v>31</v>
      </c>
      <c r="F151" s="225">
        <v>100605</v>
      </c>
      <c r="G151" s="228">
        <v>202.5</v>
      </c>
      <c r="H151" s="222"/>
      <c r="I151" s="254"/>
    </row>
    <row r="152" spans="2:9" ht="36" hidden="1">
      <c r="B152" s="226"/>
      <c r="C152" s="226"/>
      <c r="D152" s="226"/>
      <c r="E152" s="221" t="s">
        <v>111</v>
      </c>
      <c r="F152" s="221"/>
      <c r="G152" s="227"/>
      <c r="H152" s="221"/>
      <c r="I152" s="255"/>
    </row>
    <row r="153" spans="2:9" ht="18" hidden="1">
      <c r="B153" s="219">
        <v>45936</v>
      </c>
      <c r="C153" s="220">
        <v>0</v>
      </c>
      <c r="D153" s="220">
        <v>13105</v>
      </c>
      <c r="E153" s="224" t="s">
        <v>31</v>
      </c>
      <c r="F153" s="225">
        <v>100606</v>
      </c>
      <c r="G153" s="228">
        <v>192.94</v>
      </c>
      <c r="H153" s="222"/>
      <c r="I153" s="254"/>
    </row>
    <row r="154" spans="2:9" ht="36" hidden="1">
      <c r="B154" s="226"/>
      <c r="C154" s="226"/>
      <c r="D154" s="226"/>
      <c r="E154" s="221" t="s">
        <v>111</v>
      </c>
      <c r="F154" s="221"/>
      <c r="G154" s="227"/>
      <c r="H154" s="221"/>
      <c r="I154" s="255"/>
    </row>
    <row r="155" spans="2:9" ht="18" hidden="1">
      <c r="B155" s="219">
        <v>45936</v>
      </c>
      <c r="C155" s="220">
        <v>0</v>
      </c>
      <c r="D155" s="220">
        <v>13105</v>
      </c>
      <c r="E155" s="224" t="s">
        <v>31</v>
      </c>
      <c r="F155" s="225">
        <v>100607</v>
      </c>
      <c r="G155" s="228">
        <v>268.74</v>
      </c>
      <c r="H155" s="222"/>
      <c r="I155" s="254"/>
    </row>
    <row r="156" spans="2:9" ht="36" hidden="1">
      <c r="B156" s="226"/>
      <c r="C156" s="226"/>
      <c r="D156" s="226"/>
      <c r="E156" s="221" t="s">
        <v>111</v>
      </c>
      <c r="F156" s="221"/>
      <c r="G156" s="227"/>
      <c r="H156" s="221"/>
      <c r="I156" s="255"/>
    </row>
    <row r="157" spans="2:9" ht="18" hidden="1">
      <c r="B157" s="219">
        <v>45936</v>
      </c>
      <c r="C157" s="220">
        <v>0</v>
      </c>
      <c r="D157" s="220">
        <v>13105</v>
      </c>
      <c r="E157" s="224" t="s">
        <v>31</v>
      </c>
      <c r="F157" s="225">
        <v>100608</v>
      </c>
      <c r="G157" s="228">
        <v>299</v>
      </c>
      <c r="H157" s="222"/>
      <c r="I157" s="254"/>
    </row>
    <row r="158" spans="2:9" hidden="1">
      <c r="B158" s="226"/>
      <c r="C158" s="226"/>
      <c r="D158" s="226"/>
      <c r="E158" s="221" t="s">
        <v>67</v>
      </c>
      <c r="F158" s="221"/>
      <c r="G158" s="227"/>
      <c r="H158" s="221"/>
      <c r="I158" s="255"/>
    </row>
    <row r="159" spans="2:9" ht="27" hidden="1">
      <c r="B159" s="219">
        <v>45936</v>
      </c>
      <c r="C159" s="220">
        <v>0</v>
      </c>
      <c r="D159" s="220">
        <v>13113</v>
      </c>
      <c r="E159" s="224" t="s">
        <v>72</v>
      </c>
      <c r="F159" s="225">
        <v>842791100638583</v>
      </c>
      <c r="G159" s="228">
        <v>81.400000000000006</v>
      </c>
      <c r="H159" s="222"/>
      <c r="I159" s="254"/>
    </row>
    <row r="160" spans="2:9" ht="36" hidden="1">
      <c r="B160" s="226"/>
      <c r="C160" s="226"/>
      <c r="D160" s="226"/>
      <c r="E160" s="221" t="s">
        <v>1402</v>
      </c>
      <c r="F160" s="221"/>
      <c r="G160" s="227"/>
      <c r="H160" s="221"/>
      <c r="I160" s="255"/>
    </row>
    <row r="161" spans="2:9" ht="18" hidden="1">
      <c r="B161" s="219">
        <v>45936</v>
      </c>
      <c r="C161" s="220">
        <v>0</v>
      </c>
      <c r="D161" s="220">
        <v>0</v>
      </c>
      <c r="E161" s="224" t="s">
        <v>59</v>
      </c>
      <c r="F161" s="225">
        <v>9903</v>
      </c>
      <c r="G161" s="228">
        <v>3898.69</v>
      </c>
      <c r="H161" s="222"/>
      <c r="I161" s="254"/>
    </row>
    <row r="162" spans="2:9" ht="24" hidden="1">
      <c r="B162" s="226"/>
      <c r="C162" s="226"/>
      <c r="D162" s="226"/>
      <c r="E162" s="221" t="s">
        <v>53</v>
      </c>
      <c r="F162" s="221"/>
      <c r="G162" s="227"/>
      <c r="H162" s="221"/>
      <c r="I162" s="255"/>
    </row>
    <row r="163" spans="2:9" ht="27" hidden="1">
      <c r="B163" s="219">
        <v>45937</v>
      </c>
      <c r="C163" s="220">
        <v>1344</v>
      </c>
      <c r="D163" s="220">
        <v>99015</v>
      </c>
      <c r="E163" s="224" t="s">
        <v>27</v>
      </c>
      <c r="F163" s="225">
        <v>551344000008185</v>
      </c>
      <c r="G163" s="223">
        <v>1383.2</v>
      </c>
      <c r="H163" s="222"/>
      <c r="I163" s="254"/>
    </row>
    <row r="164" spans="2:9" ht="48" hidden="1">
      <c r="B164" s="226"/>
      <c r="C164" s="226"/>
      <c r="D164" s="226"/>
      <c r="E164" s="221" t="s">
        <v>1403</v>
      </c>
      <c r="F164" s="221"/>
      <c r="G164" s="227"/>
      <c r="H164" s="221"/>
      <c r="I164" s="255"/>
    </row>
    <row r="165" spans="2:9" ht="27" hidden="1">
      <c r="B165" s="219">
        <v>45937</v>
      </c>
      <c r="C165" s="220">
        <v>3525</v>
      </c>
      <c r="D165" s="220">
        <v>99021</v>
      </c>
      <c r="E165" s="224" t="s">
        <v>27</v>
      </c>
      <c r="F165" s="225">
        <v>613525000032047</v>
      </c>
      <c r="G165" s="223">
        <v>301.83</v>
      </c>
      <c r="H165" s="222"/>
      <c r="I165" s="254"/>
    </row>
    <row r="166" spans="2:9" ht="60" hidden="1">
      <c r="B166" s="226"/>
      <c r="C166" s="226"/>
      <c r="D166" s="226"/>
      <c r="E166" s="221" t="s">
        <v>1404</v>
      </c>
      <c r="F166" s="221"/>
      <c r="G166" s="227"/>
      <c r="H166" s="221"/>
      <c r="I166" s="255"/>
    </row>
    <row r="167" spans="2:9" ht="27" hidden="1">
      <c r="B167" s="219">
        <v>45937</v>
      </c>
      <c r="C167" s="220">
        <v>3525</v>
      </c>
      <c r="D167" s="220">
        <v>99021</v>
      </c>
      <c r="E167" s="224" t="s">
        <v>27</v>
      </c>
      <c r="F167" s="225">
        <v>613525000032047</v>
      </c>
      <c r="G167" s="223">
        <v>522.27</v>
      </c>
      <c r="H167" s="222"/>
      <c r="I167" s="254"/>
    </row>
    <row r="168" spans="2:9" ht="60" hidden="1">
      <c r="B168" s="226"/>
      <c r="C168" s="226"/>
      <c r="D168" s="226"/>
      <c r="E168" s="221" t="s">
        <v>1405</v>
      </c>
      <c r="F168" s="221"/>
      <c r="G168" s="227"/>
      <c r="H168" s="221"/>
      <c r="I168" s="255"/>
    </row>
    <row r="169" spans="2:9" ht="27" hidden="1">
      <c r="B169" s="219">
        <v>45937</v>
      </c>
      <c r="C169" s="220">
        <v>0</v>
      </c>
      <c r="D169" s="220">
        <v>14175</v>
      </c>
      <c r="E169" s="224" t="s">
        <v>62</v>
      </c>
      <c r="F169" s="225">
        <v>397369699</v>
      </c>
      <c r="G169" s="223">
        <v>5300</v>
      </c>
      <c r="H169" s="222"/>
      <c r="I169" s="254"/>
    </row>
    <row r="170" spans="2:9" ht="60" hidden="1">
      <c r="B170" s="226"/>
      <c r="C170" s="226"/>
      <c r="D170" s="226"/>
      <c r="E170" s="221" t="s">
        <v>97</v>
      </c>
      <c r="F170" s="221"/>
      <c r="G170" s="227"/>
      <c r="H170" s="221"/>
      <c r="I170" s="255"/>
    </row>
    <row r="171" spans="2:9" ht="18" hidden="1">
      <c r="B171" s="219">
        <v>45937</v>
      </c>
      <c r="C171" s="220">
        <v>0</v>
      </c>
      <c r="D171" s="220">
        <v>14397</v>
      </c>
      <c r="E171" s="224" t="s">
        <v>57</v>
      </c>
      <c r="F171" s="225">
        <v>71511453169031</v>
      </c>
      <c r="G171" s="223">
        <v>80</v>
      </c>
      <c r="H171" s="222"/>
      <c r="I171" s="254"/>
    </row>
    <row r="172" spans="2:9" ht="60" hidden="1">
      <c r="B172" s="226"/>
      <c r="C172" s="226"/>
      <c r="D172" s="226"/>
      <c r="E172" s="221" t="s">
        <v>1406</v>
      </c>
      <c r="F172" s="221"/>
      <c r="G172" s="227"/>
      <c r="H172" s="221"/>
      <c r="I172" s="255"/>
    </row>
    <row r="173" spans="2:9" ht="18" hidden="1">
      <c r="B173" s="219">
        <v>45937</v>
      </c>
      <c r="C173" s="220">
        <v>0</v>
      </c>
      <c r="D173" s="220">
        <v>14397</v>
      </c>
      <c r="E173" s="224" t="s">
        <v>57</v>
      </c>
      <c r="F173" s="225">
        <v>71521439993971</v>
      </c>
      <c r="G173" s="223">
        <v>261.37</v>
      </c>
      <c r="H173" s="222"/>
      <c r="I173" s="254"/>
    </row>
    <row r="174" spans="2:9" ht="60" hidden="1">
      <c r="B174" s="226"/>
      <c r="C174" s="226"/>
      <c r="D174" s="226"/>
      <c r="E174" s="221" t="s">
        <v>1407</v>
      </c>
      <c r="F174" s="221"/>
      <c r="G174" s="227"/>
      <c r="H174" s="221"/>
      <c r="I174" s="255"/>
    </row>
    <row r="175" spans="2:9" ht="18" hidden="1">
      <c r="B175" s="219">
        <v>45937</v>
      </c>
      <c r="C175" s="220">
        <v>0</v>
      </c>
      <c r="D175" s="220">
        <v>14397</v>
      </c>
      <c r="E175" s="224" t="s">
        <v>57</v>
      </c>
      <c r="F175" s="225">
        <v>71524046230512</v>
      </c>
      <c r="G175" s="223">
        <v>261.36</v>
      </c>
      <c r="H175" s="222"/>
      <c r="I175" s="254"/>
    </row>
    <row r="176" spans="2:9" ht="60" hidden="1">
      <c r="B176" s="226"/>
      <c r="C176" s="226"/>
      <c r="D176" s="226"/>
      <c r="E176" s="221" t="s">
        <v>1408</v>
      </c>
      <c r="F176" s="221"/>
      <c r="G176" s="227"/>
      <c r="H176" s="221"/>
      <c r="I176" s="255"/>
    </row>
    <row r="177" spans="1:9" ht="18" hidden="1">
      <c r="B177" s="219">
        <v>45937</v>
      </c>
      <c r="C177" s="220">
        <v>0</v>
      </c>
      <c r="D177" s="220">
        <v>14397</v>
      </c>
      <c r="E177" s="224" t="s">
        <v>57</v>
      </c>
      <c r="F177" s="225">
        <v>71625306200282</v>
      </c>
      <c r="G177" s="223">
        <v>325.85000000000002</v>
      </c>
      <c r="H177" s="222"/>
      <c r="I177" s="254"/>
    </row>
    <row r="178" spans="1:9" ht="60" hidden="1">
      <c r="B178" s="226"/>
      <c r="C178" s="226"/>
      <c r="D178" s="226"/>
      <c r="E178" s="221" t="s">
        <v>1409</v>
      </c>
      <c r="F178" s="221"/>
      <c r="G178" s="227"/>
      <c r="H178" s="221"/>
      <c r="I178" s="255"/>
    </row>
    <row r="179" spans="1:9" ht="18">
      <c r="A179" s="179" t="s">
        <v>140</v>
      </c>
      <c r="B179" s="219">
        <v>45937</v>
      </c>
      <c r="C179" s="220">
        <v>0</v>
      </c>
      <c r="D179" s="220">
        <v>14138</v>
      </c>
      <c r="E179" s="224" t="s">
        <v>141</v>
      </c>
      <c r="F179" s="225">
        <v>202510060048206</v>
      </c>
      <c r="G179" s="223">
        <v>356.17</v>
      </c>
      <c r="H179" s="222">
        <v>4009</v>
      </c>
      <c r="I179" s="254" t="s">
        <v>419</v>
      </c>
    </row>
    <row r="180" spans="1:9" ht="36" hidden="1">
      <c r="B180" s="226"/>
      <c r="C180" s="226"/>
      <c r="D180" s="226"/>
      <c r="E180" s="221" t="s">
        <v>143</v>
      </c>
      <c r="F180" s="221"/>
      <c r="G180" s="227"/>
      <c r="H180" s="221"/>
      <c r="I180" s="255"/>
    </row>
    <row r="181" spans="1:9" ht="18">
      <c r="A181" s="179" t="s">
        <v>140</v>
      </c>
      <c r="B181" s="219">
        <v>45937</v>
      </c>
      <c r="C181" s="220">
        <v>0</v>
      </c>
      <c r="D181" s="220">
        <v>14138</v>
      </c>
      <c r="E181" s="224" t="s">
        <v>141</v>
      </c>
      <c r="F181" s="225">
        <v>202510060048207</v>
      </c>
      <c r="G181" s="223">
        <v>632.32000000000005</v>
      </c>
      <c r="H181" s="222">
        <v>4000</v>
      </c>
      <c r="I181" s="254" t="s">
        <v>419</v>
      </c>
    </row>
    <row r="182" spans="1:9" ht="36" hidden="1">
      <c r="B182" s="226"/>
      <c r="C182" s="226"/>
      <c r="D182" s="226"/>
      <c r="E182" s="221" t="s">
        <v>143</v>
      </c>
      <c r="F182" s="221"/>
      <c r="G182" s="227"/>
      <c r="H182" s="221"/>
      <c r="I182" s="255"/>
    </row>
    <row r="183" spans="1:9" ht="18" hidden="1">
      <c r="B183" s="219">
        <v>45937</v>
      </c>
      <c r="C183" s="220">
        <v>0</v>
      </c>
      <c r="D183" s="220">
        <v>13105</v>
      </c>
      <c r="E183" s="224" t="s">
        <v>31</v>
      </c>
      <c r="F183" s="225">
        <v>100701</v>
      </c>
      <c r="G183" s="228">
        <v>1320</v>
      </c>
      <c r="H183" s="222"/>
      <c r="I183" s="254"/>
    </row>
    <row r="184" spans="1:9" hidden="1">
      <c r="B184" s="226"/>
      <c r="C184" s="226"/>
      <c r="D184" s="226"/>
      <c r="E184" s="221" t="s">
        <v>769</v>
      </c>
      <c r="F184" s="221"/>
      <c r="G184" s="227"/>
      <c r="H184" s="221"/>
      <c r="I184" s="255"/>
    </row>
    <row r="185" spans="1:9" ht="18" hidden="1">
      <c r="B185" s="219">
        <v>45937</v>
      </c>
      <c r="C185" s="220">
        <v>0</v>
      </c>
      <c r="D185" s="220">
        <v>13105</v>
      </c>
      <c r="E185" s="224" t="s">
        <v>31</v>
      </c>
      <c r="F185" s="225">
        <v>100702</v>
      </c>
      <c r="G185" s="228">
        <v>7619.84</v>
      </c>
      <c r="H185" s="222"/>
      <c r="I185" s="254"/>
    </row>
    <row r="186" spans="1:9" ht="36" hidden="1">
      <c r="B186" s="226"/>
      <c r="C186" s="226"/>
      <c r="D186" s="226"/>
      <c r="E186" s="221" t="s">
        <v>441</v>
      </c>
      <c r="F186" s="221"/>
      <c r="G186" s="227"/>
      <c r="H186" s="221"/>
      <c r="I186" s="255"/>
    </row>
    <row r="187" spans="1:9" ht="18" hidden="1">
      <c r="B187" s="219">
        <v>45937</v>
      </c>
      <c r="C187" s="220">
        <v>0</v>
      </c>
      <c r="D187" s="220">
        <v>13105</v>
      </c>
      <c r="E187" s="224" t="s">
        <v>31</v>
      </c>
      <c r="F187" s="225">
        <v>100703</v>
      </c>
      <c r="G187" s="228">
        <v>686.57</v>
      </c>
      <c r="H187" s="222"/>
      <c r="I187" s="254"/>
    </row>
    <row r="188" spans="1:9" ht="48" hidden="1">
      <c r="B188" s="226"/>
      <c r="C188" s="226"/>
      <c r="D188" s="226"/>
      <c r="E188" s="221" t="s">
        <v>50</v>
      </c>
      <c r="F188" s="221"/>
      <c r="G188" s="227"/>
      <c r="H188" s="221"/>
      <c r="I188" s="255"/>
    </row>
    <row r="189" spans="1:9" ht="18" hidden="1">
      <c r="B189" s="219">
        <v>45937</v>
      </c>
      <c r="C189" s="220">
        <v>0</v>
      </c>
      <c r="D189" s="220">
        <v>13105</v>
      </c>
      <c r="E189" s="224" t="s">
        <v>31</v>
      </c>
      <c r="F189" s="225">
        <v>100704</v>
      </c>
      <c r="G189" s="228">
        <v>683.2</v>
      </c>
      <c r="H189" s="222"/>
      <c r="I189" s="254"/>
    </row>
    <row r="190" spans="1:9" ht="48" hidden="1">
      <c r="B190" s="226"/>
      <c r="C190" s="226"/>
      <c r="D190" s="226"/>
      <c r="E190" s="221" t="s">
        <v>50</v>
      </c>
      <c r="F190" s="221"/>
      <c r="G190" s="227"/>
      <c r="H190" s="221"/>
      <c r="I190" s="255"/>
    </row>
    <row r="191" spans="1:9" ht="18" hidden="1">
      <c r="B191" s="219">
        <v>45937</v>
      </c>
      <c r="C191" s="220">
        <v>0</v>
      </c>
      <c r="D191" s="220">
        <v>13105</v>
      </c>
      <c r="E191" s="224" t="s">
        <v>31</v>
      </c>
      <c r="F191" s="225">
        <v>100705</v>
      </c>
      <c r="G191" s="228">
        <v>679.84</v>
      </c>
      <c r="H191" s="222"/>
      <c r="I191" s="254"/>
    </row>
    <row r="192" spans="1:9" ht="48" hidden="1">
      <c r="B192" s="226"/>
      <c r="C192" s="226"/>
      <c r="D192" s="226"/>
      <c r="E192" s="221" t="s">
        <v>50</v>
      </c>
      <c r="F192" s="221"/>
      <c r="G192" s="227"/>
      <c r="H192" s="221"/>
      <c r="I192" s="255"/>
    </row>
    <row r="193" spans="2:9" ht="18" hidden="1">
      <c r="B193" s="219">
        <v>45937</v>
      </c>
      <c r="C193" s="220">
        <v>0</v>
      </c>
      <c r="D193" s="220">
        <v>13105</v>
      </c>
      <c r="E193" s="224" t="s">
        <v>31</v>
      </c>
      <c r="F193" s="225">
        <v>100706</v>
      </c>
      <c r="G193" s="228">
        <v>115.14</v>
      </c>
      <c r="H193" s="222"/>
      <c r="I193" s="254"/>
    </row>
    <row r="194" spans="2:9" ht="48" hidden="1">
      <c r="B194" s="226"/>
      <c r="C194" s="226"/>
      <c r="D194" s="226"/>
      <c r="E194" s="221" t="s">
        <v>50</v>
      </c>
      <c r="F194" s="221"/>
      <c r="G194" s="227"/>
      <c r="H194" s="221"/>
      <c r="I194" s="255"/>
    </row>
    <row r="195" spans="2:9" ht="18" hidden="1">
      <c r="B195" s="219">
        <v>45937</v>
      </c>
      <c r="C195" s="220">
        <v>0</v>
      </c>
      <c r="D195" s="220">
        <v>13105</v>
      </c>
      <c r="E195" s="224" t="s">
        <v>31</v>
      </c>
      <c r="F195" s="225">
        <v>100707</v>
      </c>
      <c r="G195" s="228">
        <v>71.650000000000006</v>
      </c>
      <c r="H195" s="222"/>
      <c r="I195" s="254"/>
    </row>
    <row r="196" spans="2:9" ht="48" hidden="1">
      <c r="B196" s="226"/>
      <c r="C196" s="226"/>
      <c r="D196" s="226"/>
      <c r="E196" s="221" t="s">
        <v>50</v>
      </c>
      <c r="F196" s="221"/>
      <c r="G196" s="227"/>
      <c r="H196" s="221"/>
      <c r="I196" s="255"/>
    </row>
    <row r="197" spans="2:9" ht="18" hidden="1">
      <c r="B197" s="219">
        <v>45937</v>
      </c>
      <c r="C197" s="220">
        <v>0</v>
      </c>
      <c r="D197" s="220">
        <v>13105</v>
      </c>
      <c r="E197" s="224" t="s">
        <v>31</v>
      </c>
      <c r="F197" s="225">
        <v>100708</v>
      </c>
      <c r="G197" s="228">
        <v>434.99</v>
      </c>
      <c r="H197" s="222"/>
      <c r="I197" s="254"/>
    </row>
    <row r="198" spans="2:9" ht="48" hidden="1">
      <c r="B198" s="226"/>
      <c r="C198" s="226"/>
      <c r="D198" s="226"/>
      <c r="E198" s="221" t="s">
        <v>50</v>
      </c>
      <c r="F198" s="221"/>
      <c r="G198" s="227"/>
      <c r="H198" s="221"/>
      <c r="I198" s="255"/>
    </row>
    <row r="199" spans="2:9" ht="18" hidden="1">
      <c r="B199" s="219">
        <v>45937</v>
      </c>
      <c r="C199" s="220">
        <v>0</v>
      </c>
      <c r="D199" s="220">
        <v>13105</v>
      </c>
      <c r="E199" s="224" t="s">
        <v>31</v>
      </c>
      <c r="F199" s="225">
        <v>100709</v>
      </c>
      <c r="G199" s="228">
        <v>413.7</v>
      </c>
      <c r="H199" s="222"/>
      <c r="I199" s="254"/>
    </row>
    <row r="200" spans="2:9" ht="60" hidden="1">
      <c r="B200" s="226"/>
      <c r="C200" s="226"/>
      <c r="D200" s="226"/>
      <c r="E200" s="221" t="s">
        <v>45</v>
      </c>
      <c r="F200" s="221"/>
      <c r="G200" s="227"/>
      <c r="H200" s="221"/>
      <c r="I200" s="255"/>
    </row>
    <row r="201" spans="2:9" ht="18" hidden="1">
      <c r="B201" s="219">
        <v>45937</v>
      </c>
      <c r="C201" s="220">
        <v>0</v>
      </c>
      <c r="D201" s="220">
        <v>13105</v>
      </c>
      <c r="E201" s="224" t="s">
        <v>31</v>
      </c>
      <c r="F201" s="225">
        <v>100710</v>
      </c>
      <c r="G201" s="228">
        <v>331.06</v>
      </c>
      <c r="H201" s="222"/>
      <c r="I201" s="254"/>
    </row>
    <row r="202" spans="2:9" ht="60" hidden="1">
      <c r="B202" s="226"/>
      <c r="C202" s="226"/>
      <c r="D202" s="226"/>
      <c r="E202" s="221" t="s">
        <v>45</v>
      </c>
      <c r="F202" s="221"/>
      <c r="G202" s="227"/>
      <c r="H202" s="221"/>
      <c r="I202" s="255"/>
    </row>
    <row r="203" spans="2:9" ht="18" hidden="1">
      <c r="B203" s="219">
        <v>45937</v>
      </c>
      <c r="C203" s="220">
        <v>0</v>
      </c>
      <c r="D203" s="220">
        <v>13105</v>
      </c>
      <c r="E203" s="224" t="s">
        <v>31</v>
      </c>
      <c r="F203" s="225">
        <v>100711</v>
      </c>
      <c r="G203" s="228">
        <v>252.41</v>
      </c>
      <c r="H203" s="222"/>
      <c r="I203" s="254"/>
    </row>
    <row r="204" spans="2:9" ht="36" hidden="1">
      <c r="B204" s="226"/>
      <c r="C204" s="226"/>
      <c r="D204" s="226"/>
      <c r="E204" s="221" t="s">
        <v>111</v>
      </c>
      <c r="F204" s="221"/>
      <c r="G204" s="227"/>
      <c r="H204" s="221"/>
      <c r="I204" s="255"/>
    </row>
    <row r="205" spans="2:9" ht="18" hidden="1">
      <c r="B205" s="219">
        <v>45937</v>
      </c>
      <c r="C205" s="220">
        <v>0</v>
      </c>
      <c r="D205" s="220">
        <v>13105</v>
      </c>
      <c r="E205" s="224" t="s">
        <v>31</v>
      </c>
      <c r="F205" s="225">
        <v>100712</v>
      </c>
      <c r="G205" s="228">
        <v>202.72</v>
      </c>
      <c r="H205" s="222"/>
      <c r="I205" s="254"/>
    </row>
    <row r="206" spans="2:9" ht="36" hidden="1">
      <c r="B206" s="226"/>
      <c r="C206" s="226"/>
      <c r="D206" s="226"/>
      <c r="E206" s="221" t="s">
        <v>111</v>
      </c>
      <c r="F206" s="221"/>
      <c r="G206" s="227"/>
      <c r="H206" s="221"/>
      <c r="I206" s="255"/>
    </row>
    <row r="207" spans="2:9" ht="18" hidden="1">
      <c r="B207" s="219">
        <v>45937</v>
      </c>
      <c r="C207" s="220">
        <v>0</v>
      </c>
      <c r="D207" s="220">
        <v>13105</v>
      </c>
      <c r="E207" s="224" t="s">
        <v>31</v>
      </c>
      <c r="F207" s="225">
        <v>100713</v>
      </c>
      <c r="G207" s="228">
        <v>246.7</v>
      </c>
      <c r="H207" s="222"/>
      <c r="I207" s="254"/>
    </row>
    <row r="208" spans="2:9" ht="36" hidden="1">
      <c r="B208" s="226"/>
      <c r="C208" s="226"/>
      <c r="D208" s="226"/>
      <c r="E208" s="221" t="s">
        <v>111</v>
      </c>
      <c r="F208" s="221"/>
      <c r="G208" s="227"/>
      <c r="H208" s="221"/>
      <c r="I208" s="255"/>
    </row>
    <row r="209" spans="2:9" ht="18" hidden="1">
      <c r="B209" s="219">
        <v>45937</v>
      </c>
      <c r="C209" s="220">
        <v>0</v>
      </c>
      <c r="D209" s="220">
        <v>13105</v>
      </c>
      <c r="E209" s="224" t="s">
        <v>31</v>
      </c>
      <c r="F209" s="225">
        <v>100714</v>
      </c>
      <c r="G209" s="228">
        <v>576.82000000000005</v>
      </c>
      <c r="H209" s="222"/>
      <c r="I209" s="254"/>
    </row>
    <row r="210" spans="2:9" ht="48" hidden="1">
      <c r="B210" s="226"/>
      <c r="C210" s="226"/>
      <c r="D210" s="226"/>
      <c r="E210" s="221" t="s">
        <v>340</v>
      </c>
      <c r="F210" s="221"/>
      <c r="G210" s="227"/>
      <c r="H210" s="221"/>
      <c r="I210" s="255"/>
    </row>
    <row r="211" spans="2:9" ht="18" hidden="1">
      <c r="B211" s="219">
        <v>45937</v>
      </c>
      <c r="C211" s="220">
        <v>0</v>
      </c>
      <c r="D211" s="220">
        <v>13105</v>
      </c>
      <c r="E211" s="224" t="s">
        <v>31</v>
      </c>
      <c r="F211" s="225">
        <v>100715</v>
      </c>
      <c r="G211" s="228">
        <v>314.95</v>
      </c>
      <c r="H211" s="222"/>
      <c r="I211" s="254"/>
    </row>
    <row r="212" spans="2:9" ht="48" hidden="1">
      <c r="B212" s="226"/>
      <c r="C212" s="226"/>
      <c r="D212" s="226"/>
      <c r="E212" s="221" t="s">
        <v>340</v>
      </c>
      <c r="F212" s="221"/>
      <c r="G212" s="227"/>
      <c r="H212" s="221"/>
      <c r="I212" s="255"/>
    </row>
    <row r="213" spans="2:9" ht="18" hidden="1">
      <c r="B213" s="219">
        <v>45937</v>
      </c>
      <c r="C213" s="220">
        <v>0</v>
      </c>
      <c r="D213" s="220">
        <v>0</v>
      </c>
      <c r="E213" s="224" t="s">
        <v>52</v>
      </c>
      <c r="F213" s="225">
        <v>9903</v>
      </c>
      <c r="G213" s="223">
        <v>4525.22</v>
      </c>
      <c r="H213" s="222"/>
      <c r="I213" s="254"/>
    </row>
    <row r="214" spans="2:9" ht="24" hidden="1">
      <c r="B214" s="226"/>
      <c r="C214" s="226"/>
      <c r="D214" s="226"/>
      <c r="E214" s="221" t="s">
        <v>53</v>
      </c>
      <c r="F214" s="221"/>
      <c r="G214" s="227"/>
      <c r="H214" s="221"/>
      <c r="I214" s="255"/>
    </row>
    <row r="215" spans="2:9" ht="27" hidden="1">
      <c r="B215" s="219">
        <v>45938</v>
      </c>
      <c r="C215" s="220">
        <v>0</v>
      </c>
      <c r="D215" s="220">
        <v>14175</v>
      </c>
      <c r="E215" s="224" t="s">
        <v>62</v>
      </c>
      <c r="F215" s="225">
        <v>33952873</v>
      </c>
      <c r="G215" s="223">
        <v>11424</v>
      </c>
      <c r="H215" s="222"/>
      <c r="I215" s="254"/>
    </row>
    <row r="216" spans="2:9" ht="60" hidden="1">
      <c r="B216" s="226"/>
      <c r="C216" s="226"/>
      <c r="D216" s="226"/>
      <c r="E216" s="221" t="s">
        <v>301</v>
      </c>
      <c r="F216" s="221"/>
      <c r="G216" s="227"/>
      <c r="H216" s="221"/>
      <c r="I216" s="255"/>
    </row>
    <row r="217" spans="2:9" ht="27" hidden="1">
      <c r="B217" s="219">
        <v>45938</v>
      </c>
      <c r="C217" s="220">
        <v>0</v>
      </c>
      <c r="D217" s="220">
        <v>14175</v>
      </c>
      <c r="E217" s="224" t="s">
        <v>62</v>
      </c>
      <c r="F217" s="225">
        <v>397503639</v>
      </c>
      <c r="G217" s="223">
        <v>1300</v>
      </c>
      <c r="H217" s="222"/>
      <c r="I217" s="254"/>
    </row>
    <row r="218" spans="2:9" ht="60" hidden="1">
      <c r="B218" s="226"/>
      <c r="C218" s="226"/>
      <c r="D218" s="226"/>
      <c r="E218" s="221" t="s">
        <v>97</v>
      </c>
      <c r="F218" s="221"/>
      <c r="G218" s="227"/>
      <c r="H218" s="221"/>
      <c r="I218" s="255"/>
    </row>
    <row r="219" spans="2:9" ht="27" hidden="1">
      <c r="B219" s="219">
        <v>45938</v>
      </c>
      <c r="C219" s="220">
        <v>0</v>
      </c>
      <c r="D219" s="220">
        <v>14175</v>
      </c>
      <c r="E219" s="224" t="s">
        <v>62</v>
      </c>
      <c r="F219" s="225">
        <v>397506907</v>
      </c>
      <c r="G219" s="223">
        <v>500</v>
      </c>
      <c r="H219" s="222"/>
      <c r="I219" s="254"/>
    </row>
    <row r="220" spans="2:9" ht="60" hidden="1">
      <c r="B220" s="226"/>
      <c r="C220" s="226"/>
      <c r="D220" s="226"/>
      <c r="E220" s="221" t="s">
        <v>97</v>
      </c>
      <c r="F220" s="221"/>
      <c r="G220" s="227"/>
      <c r="H220" s="221"/>
      <c r="I220" s="255"/>
    </row>
    <row r="221" spans="2:9" ht="18" hidden="1">
      <c r="B221" s="219">
        <v>45938</v>
      </c>
      <c r="C221" s="220">
        <v>0</v>
      </c>
      <c r="D221" s="220">
        <v>14397</v>
      </c>
      <c r="E221" s="224" t="s">
        <v>57</v>
      </c>
      <c r="F221" s="225">
        <v>80953385235071</v>
      </c>
      <c r="G221" s="223">
        <v>362.23</v>
      </c>
      <c r="H221" s="222"/>
      <c r="I221" s="254"/>
    </row>
    <row r="222" spans="2:9" ht="48" hidden="1">
      <c r="B222" s="226"/>
      <c r="C222" s="226"/>
      <c r="D222" s="226"/>
      <c r="E222" s="221" t="s">
        <v>1410</v>
      </c>
      <c r="F222" s="221"/>
      <c r="G222" s="227"/>
      <c r="H222" s="221"/>
      <c r="I222" s="255"/>
    </row>
    <row r="223" spans="2:9" ht="18" hidden="1">
      <c r="B223" s="219">
        <v>45938</v>
      </c>
      <c r="C223" s="220">
        <v>0</v>
      </c>
      <c r="D223" s="220">
        <v>14397</v>
      </c>
      <c r="E223" s="224" t="s">
        <v>57</v>
      </c>
      <c r="F223" s="225">
        <v>81019129839172</v>
      </c>
      <c r="G223" s="223">
        <v>436.89</v>
      </c>
      <c r="H223" s="222"/>
      <c r="I223" s="254"/>
    </row>
    <row r="224" spans="2:9" ht="48" hidden="1">
      <c r="B224" s="226"/>
      <c r="C224" s="226"/>
      <c r="D224" s="226"/>
      <c r="E224" s="221" t="s">
        <v>1411</v>
      </c>
      <c r="F224" s="221"/>
      <c r="G224" s="227"/>
      <c r="H224" s="221"/>
      <c r="I224" s="255"/>
    </row>
    <row r="225" spans="2:9" ht="18" hidden="1">
      <c r="B225" s="219">
        <v>45938</v>
      </c>
      <c r="C225" s="220">
        <v>0</v>
      </c>
      <c r="D225" s="220">
        <v>14397</v>
      </c>
      <c r="E225" s="224" t="s">
        <v>57</v>
      </c>
      <c r="F225" s="225">
        <v>81523379711852</v>
      </c>
      <c r="G225" s="223">
        <v>1197.55</v>
      </c>
      <c r="H225" s="222"/>
      <c r="I225" s="254"/>
    </row>
    <row r="226" spans="2:9" ht="48" hidden="1">
      <c r="B226" s="226"/>
      <c r="C226" s="226"/>
      <c r="D226" s="226"/>
      <c r="E226" s="221" t="s">
        <v>1412</v>
      </c>
      <c r="F226" s="221"/>
      <c r="G226" s="227"/>
      <c r="H226" s="221"/>
      <c r="I226" s="255"/>
    </row>
    <row r="227" spans="2:9" ht="18" hidden="1">
      <c r="B227" s="219">
        <v>45938</v>
      </c>
      <c r="C227" s="220">
        <v>0</v>
      </c>
      <c r="D227" s="220">
        <v>14397</v>
      </c>
      <c r="E227" s="224" t="s">
        <v>57</v>
      </c>
      <c r="F227" s="225">
        <v>81617552143881</v>
      </c>
      <c r="G227" s="223">
        <v>1200</v>
      </c>
      <c r="H227" s="222"/>
      <c r="I227" s="254"/>
    </row>
    <row r="228" spans="2:9" ht="60" hidden="1">
      <c r="B228" s="226"/>
      <c r="C228" s="226"/>
      <c r="D228" s="226"/>
      <c r="E228" s="221" t="s">
        <v>1413</v>
      </c>
      <c r="F228" s="221"/>
      <c r="G228" s="227"/>
      <c r="H228" s="221"/>
      <c r="I228" s="255"/>
    </row>
    <row r="229" spans="2:9" ht="18" hidden="1">
      <c r="B229" s="219">
        <v>45938</v>
      </c>
      <c r="C229" s="220">
        <v>0</v>
      </c>
      <c r="D229" s="220">
        <v>13105</v>
      </c>
      <c r="E229" s="224" t="s">
        <v>31</v>
      </c>
      <c r="F229" s="225">
        <v>100801</v>
      </c>
      <c r="G229" s="228">
        <v>346.44</v>
      </c>
      <c r="H229" s="222"/>
      <c r="I229" s="254"/>
    </row>
    <row r="230" spans="2:9" ht="60" hidden="1">
      <c r="B230" s="226"/>
      <c r="C230" s="226"/>
      <c r="D230" s="226"/>
      <c r="E230" s="221" t="s">
        <v>41</v>
      </c>
      <c r="F230" s="221"/>
      <c r="G230" s="227"/>
      <c r="H230" s="221"/>
      <c r="I230" s="255"/>
    </row>
    <row r="231" spans="2:9" ht="18" hidden="1">
      <c r="B231" s="219">
        <v>45938</v>
      </c>
      <c r="C231" s="220">
        <v>0</v>
      </c>
      <c r="D231" s="220">
        <v>13105</v>
      </c>
      <c r="E231" s="224" t="s">
        <v>31</v>
      </c>
      <c r="F231" s="225">
        <v>100802</v>
      </c>
      <c r="G231" s="228">
        <v>279.08</v>
      </c>
      <c r="H231" s="222"/>
      <c r="I231" s="254"/>
    </row>
    <row r="232" spans="2:9" ht="60" hidden="1">
      <c r="B232" s="226"/>
      <c r="C232" s="226"/>
      <c r="D232" s="226"/>
      <c r="E232" s="221" t="s">
        <v>41</v>
      </c>
      <c r="F232" s="221"/>
      <c r="G232" s="227"/>
      <c r="H232" s="221"/>
      <c r="I232" s="255"/>
    </row>
    <row r="233" spans="2:9" ht="18" hidden="1">
      <c r="B233" s="219">
        <v>45938</v>
      </c>
      <c r="C233" s="220">
        <v>0</v>
      </c>
      <c r="D233" s="220">
        <v>13105</v>
      </c>
      <c r="E233" s="224" t="s">
        <v>31</v>
      </c>
      <c r="F233" s="225">
        <v>100803</v>
      </c>
      <c r="G233" s="228">
        <v>420.43</v>
      </c>
      <c r="H233" s="222"/>
      <c r="I233" s="254"/>
    </row>
    <row r="234" spans="2:9" ht="60" hidden="1">
      <c r="B234" s="226"/>
      <c r="C234" s="226"/>
      <c r="D234" s="226"/>
      <c r="E234" s="221" t="s">
        <v>41</v>
      </c>
      <c r="F234" s="221"/>
      <c r="G234" s="227"/>
      <c r="H234" s="221"/>
      <c r="I234" s="255"/>
    </row>
    <row r="235" spans="2:9" ht="18" hidden="1">
      <c r="B235" s="219">
        <v>45938</v>
      </c>
      <c r="C235" s="220">
        <v>0</v>
      </c>
      <c r="D235" s="220">
        <v>13105</v>
      </c>
      <c r="E235" s="224" t="s">
        <v>31</v>
      </c>
      <c r="F235" s="225">
        <v>100804</v>
      </c>
      <c r="G235" s="228">
        <v>303.29000000000002</v>
      </c>
      <c r="H235" s="222"/>
      <c r="I235" s="254"/>
    </row>
    <row r="236" spans="2:9" ht="60" hidden="1">
      <c r="B236" s="226"/>
      <c r="C236" s="226"/>
      <c r="D236" s="226"/>
      <c r="E236" s="221" t="s">
        <v>41</v>
      </c>
      <c r="F236" s="221"/>
      <c r="G236" s="227"/>
      <c r="H236" s="221"/>
      <c r="I236" s="255"/>
    </row>
    <row r="237" spans="2:9" ht="18" hidden="1">
      <c r="B237" s="219">
        <v>45938</v>
      </c>
      <c r="C237" s="220">
        <v>0</v>
      </c>
      <c r="D237" s="220">
        <v>13105</v>
      </c>
      <c r="E237" s="224" t="s">
        <v>31</v>
      </c>
      <c r="F237" s="225">
        <v>100805</v>
      </c>
      <c r="G237" s="228">
        <v>338.2</v>
      </c>
      <c r="H237" s="222"/>
      <c r="I237" s="254"/>
    </row>
    <row r="238" spans="2:9" ht="60" hidden="1">
      <c r="B238" s="226"/>
      <c r="C238" s="226"/>
      <c r="D238" s="226"/>
      <c r="E238" s="221" t="s">
        <v>41</v>
      </c>
      <c r="F238" s="221"/>
      <c r="G238" s="227"/>
      <c r="H238" s="221"/>
      <c r="I238" s="255"/>
    </row>
    <row r="239" spans="2:9" ht="18" hidden="1">
      <c r="B239" s="219">
        <v>45938</v>
      </c>
      <c r="C239" s="220">
        <v>0</v>
      </c>
      <c r="D239" s="220">
        <v>13105</v>
      </c>
      <c r="E239" s="224" t="s">
        <v>31</v>
      </c>
      <c r="F239" s="225">
        <v>100806</v>
      </c>
      <c r="G239" s="228">
        <v>4560.7299999999996</v>
      </c>
      <c r="H239" s="222"/>
      <c r="I239" s="254"/>
    </row>
    <row r="240" spans="2:9" ht="48" hidden="1">
      <c r="B240" s="226"/>
      <c r="C240" s="226"/>
      <c r="D240" s="226"/>
      <c r="E240" s="221" t="s">
        <v>65</v>
      </c>
      <c r="F240" s="221"/>
      <c r="G240" s="227"/>
      <c r="H240" s="221"/>
      <c r="I240" s="255"/>
    </row>
    <row r="241" spans="2:9" ht="18" hidden="1">
      <c r="B241" s="219">
        <v>45938</v>
      </c>
      <c r="C241" s="220">
        <v>0</v>
      </c>
      <c r="D241" s="220">
        <v>13105</v>
      </c>
      <c r="E241" s="224" t="s">
        <v>31</v>
      </c>
      <c r="F241" s="225">
        <v>100807</v>
      </c>
      <c r="G241" s="228">
        <v>271.72000000000003</v>
      </c>
      <c r="H241" s="222"/>
      <c r="I241" s="254"/>
    </row>
    <row r="242" spans="2:9" ht="48" hidden="1">
      <c r="B242" s="226"/>
      <c r="C242" s="226"/>
      <c r="D242" s="226"/>
      <c r="E242" s="221" t="s">
        <v>47</v>
      </c>
      <c r="F242" s="221"/>
      <c r="G242" s="227"/>
      <c r="H242" s="221"/>
      <c r="I242" s="255"/>
    </row>
    <row r="243" spans="2:9" ht="18" hidden="1">
      <c r="B243" s="219">
        <v>45938</v>
      </c>
      <c r="C243" s="220">
        <v>0</v>
      </c>
      <c r="D243" s="220">
        <v>13105</v>
      </c>
      <c r="E243" s="224" t="s">
        <v>31</v>
      </c>
      <c r="F243" s="225">
        <v>100808</v>
      </c>
      <c r="G243" s="228">
        <v>908.1</v>
      </c>
      <c r="H243" s="222"/>
      <c r="I243" s="254"/>
    </row>
    <row r="244" spans="2:9" ht="60" hidden="1">
      <c r="B244" s="226"/>
      <c r="C244" s="226"/>
      <c r="D244" s="226"/>
      <c r="E244" s="221" t="s">
        <v>165</v>
      </c>
      <c r="F244" s="221"/>
      <c r="G244" s="227"/>
      <c r="H244" s="221"/>
      <c r="I244" s="255"/>
    </row>
    <row r="245" spans="2:9" ht="18" hidden="1">
      <c r="B245" s="219">
        <v>45938</v>
      </c>
      <c r="C245" s="220">
        <v>0</v>
      </c>
      <c r="D245" s="220">
        <v>13105</v>
      </c>
      <c r="E245" s="224" t="s">
        <v>31</v>
      </c>
      <c r="F245" s="225">
        <v>100809</v>
      </c>
      <c r="G245" s="228">
        <v>701.42</v>
      </c>
      <c r="H245" s="222"/>
      <c r="I245" s="254"/>
    </row>
    <row r="246" spans="2:9" ht="48" hidden="1">
      <c r="B246" s="226"/>
      <c r="C246" s="226"/>
      <c r="D246" s="226"/>
      <c r="E246" s="221" t="s">
        <v>223</v>
      </c>
      <c r="F246" s="221"/>
      <c r="G246" s="227"/>
      <c r="H246" s="221"/>
      <c r="I246" s="255"/>
    </row>
    <row r="247" spans="2:9" ht="18" hidden="1">
      <c r="B247" s="219">
        <v>45938</v>
      </c>
      <c r="C247" s="220">
        <v>0</v>
      </c>
      <c r="D247" s="220">
        <v>13105</v>
      </c>
      <c r="E247" s="224" t="s">
        <v>31</v>
      </c>
      <c r="F247" s="225">
        <v>100810</v>
      </c>
      <c r="G247" s="228">
        <v>688.83</v>
      </c>
      <c r="H247" s="222"/>
      <c r="I247" s="254"/>
    </row>
    <row r="248" spans="2:9" ht="48" hidden="1">
      <c r="B248" s="226"/>
      <c r="C248" s="226"/>
      <c r="D248" s="226"/>
      <c r="E248" s="221" t="s">
        <v>223</v>
      </c>
      <c r="F248" s="221"/>
      <c r="G248" s="227"/>
      <c r="H248" s="221"/>
      <c r="I248" s="255"/>
    </row>
    <row r="249" spans="2:9" ht="18" hidden="1">
      <c r="B249" s="219">
        <v>45938</v>
      </c>
      <c r="C249" s="220">
        <v>0</v>
      </c>
      <c r="D249" s="220">
        <v>13105</v>
      </c>
      <c r="E249" s="224" t="s">
        <v>31</v>
      </c>
      <c r="F249" s="225">
        <v>100811</v>
      </c>
      <c r="G249" s="228">
        <v>86.56</v>
      </c>
      <c r="H249" s="222"/>
      <c r="I249" s="254"/>
    </row>
    <row r="250" spans="2:9" ht="48" hidden="1">
      <c r="B250" s="226"/>
      <c r="C250" s="226"/>
      <c r="D250" s="226"/>
      <c r="E250" s="221" t="s">
        <v>223</v>
      </c>
      <c r="F250" s="221"/>
      <c r="G250" s="227"/>
      <c r="H250" s="221"/>
      <c r="I250" s="255"/>
    </row>
    <row r="251" spans="2:9" hidden="1">
      <c r="B251" s="219">
        <v>45938</v>
      </c>
      <c r="C251" s="220">
        <v>0</v>
      </c>
      <c r="D251" s="220">
        <v>13105</v>
      </c>
      <c r="E251" s="224" t="s">
        <v>80</v>
      </c>
      <c r="F251" s="225">
        <v>100812</v>
      </c>
      <c r="G251" s="228">
        <v>301.85000000000002</v>
      </c>
      <c r="H251" s="222"/>
      <c r="I251" s="254"/>
    </row>
    <row r="252" spans="2:9" ht="36" hidden="1">
      <c r="B252" s="226"/>
      <c r="C252" s="226"/>
      <c r="D252" s="226"/>
      <c r="E252" s="221" t="s">
        <v>81</v>
      </c>
      <c r="F252" s="221"/>
      <c r="G252" s="227"/>
      <c r="H252" s="221"/>
      <c r="I252" s="255"/>
    </row>
    <row r="253" spans="2:9" hidden="1">
      <c r="B253" s="219">
        <v>45938</v>
      </c>
      <c r="C253" s="220">
        <v>0</v>
      </c>
      <c r="D253" s="220">
        <v>13105</v>
      </c>
      <c r="E253" s="224" t="s">
        <v>80</v>
      </c>
      <c r="F253" s="225">
        <v>100813</v>
      </c>
      <c r="G253" s="228">
        <v>170.59</v>
      </c>
      <c r="H253" s="222"/>
      <c r="I253" s="254"/>
    </row>
    <row r="254" spans="2:9" ht="36" hidden="1">
      <c r="B254" s="226"/>
      <c r="C254" s="226"/>
      <c r="D254" s="226"/>
      <c r="E254" s="221" t="s">
        <v>81</v>
      </c>
      <c r="F254" s="221"/>
      <c r="G254" s="227"/>
      <c r="H254" s="221"/>
      <c r="I254" s="255"/>
    </row>
    <row r="255" spans="2:9" ht="18" hidden="1">
      <c r="B255" s="219">
        <v>45938</v>
      </c>
      <c r="C255" s="220">
        <v>0</v>
      </c>
      <c r="D255" s="220">
        <v>13105</v>
      </c>
      <c r="E255" s="224" t="s">
        <v>31</v>
      </c>
      <c r="F255" s="225">
        <v>100814</v>
      </c>
      <c r="G255" s="228">
        <v>1056</v>
      </c>
      <c r="H255" s="222"/>
      <c r="I255" s="254"/>
    </row>
    <row r="256" spans="2:9" hidden="1">
      <c r="B256" s="226"/>
      <c r="C256" s="226"/>
      <c r="D256" s="226"/>
      <c r="E256" s="221" t="s">
        <v>769</v>
      </c>
      <c r="F256" s="221"/>
      <c r="G256" s="227"/>
      <c r="H256" s="221"/>
      <c r="I256" s="255"/>
    </row>
    <row r="257" spans="2:9" ht="18" hidden="1">
      <c r="B257" s="219">
        <v>45938</v>
      </c>
      <c r="C257" s="220">
        <v>0</v>
      </c>
      <c r="D257" s="220">
        <v>13105</v>
      </c>
      <c r="E257" s="224" t="s">
        <v>31</v>
      </c>
      <c r="F257" s="225">
        <v>100815</v>
      </c>
      <c r="G257" s="228">
        <v>239.78</v>
      </c>
      <c r="H257" s="222"/>
      <c r="I257" s="254"/>
    </row>
    <row r="258" spans="2:9" ht="36" hidden="1">
      <c r="B258" s="226"/>
      <c r="C258" s="226"/>
      <c r="D258" s="226"/>
      <c r="E258" s="221" t="s">
        <v>111</v>
      </c>
      <c r="F258" s="221"/>
      <c r="G258" s="227"/>
      <c r="H258" s="221"/>
      <c r="I258" s="255"/>
    </row>
    <row r="259" spans="2:9" ht="18" hidden="1">
      <c r="B259" s="219">
        <v>45938</v>
      </c>
      <c r="C259" s="220">
        <v>0</v>
      </c>
      <c r="D259" s="220">
        <v>13105</v>
      </c>
      <c r="E259" s="224" t="s">
        <v>31</v>
      </c>
      <c r="F259" s="225">
        <v>100816</v>
      </c>
      <c r="G259" s="228">
        <v>444.75</v>
      </c>
      <c r="H259" s="222"/>
      <c r="I259" s="254"/>
    </row>
    <row r="260" spans="2:9" ht="60" hidden="1">
      <c r="B260" s="226"/>
      <c r="C260" s="226"/>
      <c r="D260" s="226"/>
      <c r="E260" s="221" t="s">
        <v>46</v>
      </c>
      <c r="F260" s="221"/>
      <c r="G260" s="227"/>
      <c r="H260" s="221"/>
      <c r="I260" s="255"/>
    </row>
    <row r="261" spans="2:9" ht="18" hidden="1">
      <c r="B261" s="219">
        <v>45938</v>
      </c>
      <c r="C261" s="220">
        <v>0</v>
      </c>
      <c r="D261" s="220">
        <v>13105</v>
      </c>
      <c r="E261" s="224" t="s">
        <v>31</v>
      </c>
      <c r="F261" s="225">
        <v>100817</v>
      </c>
      <c r="G261" s="228">
        <v>331.13</v>
      </c>
      <c r="H261" s="222"/>
      <c r="I261" s="254"/>
    </row>
    <row r="262" spans="2:9" ht="60" hidden="1">
      <c r="B262" s="226"/>
      <c r="C262" s="226"/>
      <c r="D262" s="226"/>
      <c r="E262" s="221" t="s">
        <v>45</v>
      </c>
      <c r="F262" s="221"/>
      <c r="G262" s="227"/>
      <c r="H262" s="221"/>
      <c r="I262" s="255"/>
    </row>
    <row r="263" spans="2:9" ht="18" hidden="1">
      <c r="B263" s="219">
        <v>45938</v>
      </c>
      <c r="C263" s="220">
        <v>0</v>
      </c>
      <c r="D263" s="220">
        <v>13105</v>
      </c>
      <c r="E263" s="224" t="s">
        <v>31</v>
      </c>
      <c r="F263" s="225">
        <v>100818</v>
      </c>
      <c r="G263" s="228">
        <v>275.39</v>
      </c>
      <c r="H263" s="222"/>
      <c r="I263" s="254"/>
    </row>
    <row r="264" spans="2:9" ht="60" hidden="1">
      <c r="B264" s="226"/>
      <c r="C264" s="226"/>
      <c r="D264" s="226"/>
      <c r="E264" s="221" t="s">
        <v>45</v>
      </c>
      <c r="F264" s="221"/>
      <c r="G264" s="227"/>
      <c r="H264" s="221"/>
      <c r="I264" s="255"/>
    </row>
    <row r="265" spans="2:9" ht="18" hidden="1">
      <c r="B265" s="219">
        <v>45938</v>
      </c>
      <c r="C265" s="220">
        <v>0</v>
      </c>
      <c r="D265" s="220">
        <v>13105</v>
      </c>
      <c r="E265" s="224" t="s">
        <v>31</v>
      </c>
      <c r="F265" s="225">
        <v>100819</v>
      </c>
      <c r="G265" s="228">
        <v>434.99</v>
      </c>
      <c r="H265" s="222"/>
      <c r="I265" s="254"/>
    </row>
    <row r="266" spans="2:9" ht="48" hidden="1">
      <c r="B266" s="226"/>
      <c r="C266" s="226"/>
      <c r="D266" s="226"/>
      <c r="E266" s="221" t="s">
        <v>50</v>
      </c>
      <c r="F266" s="221"/>
      <c r="G266" s="227"/>
      <c r="H266" s="221"/>
      <c r="I266" s="255"/>
    </row>
    <row r="267" spans="2:9" ht="18" hidden="1">
      <c r="B267" s="219">
        <v>45938</v>
      </c>
      <c r="C267" s="220">
        <v>0</v>
      </c>
      <c r="D267" s="220">
        <v>13105</v>
      </c>
      <c r="E267" s="224" t="s">
        <v>31</v>
      </c>
      <c r="F267" s="225">
        <v>100820</v>
      </c>
      <c r="G267" s="228">
        <v>35.72</v>
      </c>
      <c r="H267" s="222"/>
      <c r="I267" s="254"/>
    </row>
    <row r="268" spans="2:9" ht="48" hidden="1">
      <c r="B268" s="226"/>
      <c r="C268" s="226"/>
      <c r="D268" s="226"/>
      <c r="E268" s="221" t="s">
        <v>50</v>
      </c>
      <c r="F268" s="221"/>
      <c r="G268" s="227"/>
      <c r="H268" s="221"/>
      <c r="I268" s="255"/>
    </row>
    <row r="269" spans="2:9" ht="18" hidden="1">
      <c r="B269" s="219">
        <v>45938</v>
      </c>
      <c r="C269" s="220">
        <v>0</v>
      </c>
      <c r="D269" s="220">
        <v>13105</v>
      </c>
      <c r="E269" s="224" t="s">
        <v>31</v>
      </c>
      <c r="F269" s="225">
        <v>100821</v>
      </c>
      <c r="G269" s="228">
        <v>499.8</v>
      </c>
      <c r="H269" s="222"/>
      <c r="I269" s="254"/>
    </row>
    <row r="270" spans="2:9" ht="36" hidden="1">
      <c r="B270" s="226"/>
      <c r="C270" s="226"/>
      <c r="D270" s="226"/>
      <c r="E270" s="221" t="s">
        <v>44</v>
      </c>
      <c r="F270" s="221"/>
      <c r="G270" s="227"/>
      <c r="H270" s="221"/>
      <c r="I270" s="255"/>
    </row>
    <row r="271" spans="2:9" ht="18" hidden="1">
      <c r="B271" s="219">
        <v>45938</v>
      </c>
      <c r="C271" s="220">
        <v>0</v>
      </c>
      <c r="D271" s="220">
        <v>13105</v>
      </c>
      <c r="E271" s="224" t="s">
        <v>31</v>
      </c>
      <c r="F271" s="225">
        <v>100822</v>
      </c>
      <c r="G271" s="228">
        <v>465.22</v>
      </c>
      <c r="H271" s="222"/>
      <c r="I271" s="254"/>
    </row>
    <row r="272" spans="2:9" ht="48" hidden="1">
      <c r="B272" s="226"/>
      <c r="C272" s="226"/>
      <c r="D272" s="226"/>
      <c r="E272" s="221" t="s">
        <v>340</v>
      </c>
      <c r="F272" s="221"/>
      <c r="G272" s="227"/>
      <c r="H272" s="221"/>
      <c r="I272" s="255"/>
    </row>
    <row r="273" spans="1:9" ht="18" hidden="1">
      <c r="B273" s="219">
        <v>45938</v>
      </c>
      <c r="C273" s="220">
        <v>0</v>
      </c>
      <c r="D273" s="220">
        <v>13105</v>
      </c>
      <c r="E273" s="224" t="s">
        <v>31</v>
      </c>
      <c r="F273" s="225">
        <v>100823</v>
      </c>
      <c r="G273" s="228">
        <v>315.18</v>
      </c>
      <c r="H273" s="222"/>
      <c r="I273" s="254"/>
    </row>
    <row r="274" spans="1:9" ht="48" hidden="1">
      <c r="B274" s="226"/>
      <c r="C274" s="226"/>
      <c r="D274" s="226"/>
      <c r="E274" s="221" t="s">
        <v>340</v>
      </c>
      <c r="F274" s="221"/>
      <c r="G274" s="227"/>
      <c r="H274" s="221"/>
      <c r="I274" s="255"/>
    </row>
    <row r="275" spans="1:9" ht="18" hidden="1">
      <c r="B275" s="219">
        <v>45938</v>
      </c>
      <c r="C275" s="220">
        <v>0</v>
      </c>
      <c r="D275" s="220">
        <v>13105</v>
      </c>
      <c r="E275" s="224" t="s">
        <v>31</v>
      </c>
      <c r="F275" s="225">
        <v>100824</v>
      </c>
      <c r="G275" s="228">
        <v>236.08</v>
      </c>
      <c r="H275" s="222"/>
      <c r="I275" s="254"/>
    </row>
    <row r="276" spans="1:9" ht="48" hidden="1">
      <c r="B276" s="226"/>
      <c r="C276" s="226"/>
      <c r="D276" s="226"/>
      <c r="E276" s="221" t="s">
        <v>340</v>
      </c>
      <c r="F276" s="221"/>
      <c r="G276" s="227"/>
      <c r="H276" s="221"/>
      <c r="I276" s="255"/>
    </row>
    <row r="277" spans="1:9" ht="18" hidden="1">
      <c r="B277" s="219">
        <v>45938</v>
      </c>
      <c r="C277" s="220">
        <v>0</v>
      </c>
      <c r="D277" s="220">
        <v>13105</v>
      </c>
      <c r="E277" s="224" t="s">
        <v>31</v>
      </c>
      <c r="F277" s="225">
        <v>100825</v>
      </c>
      <c r="G277" s="228">
        <v>296.91000000000003</v>
      </c>
      <c r="H277" s="222"/>
      <c r="I277" s="254"/>
    </row>
    <row r="278" spans="1:9" ht="48" hidden="1">
      <c r="B278" s="226"/>
      <c r="C278" s="226"/>
      <c r="D278" s="226"/>
      <c r="E278" s="221" t="s">
        <v>340</v>
      </c>
      <c r="F278" s="221"/>
      <c r="G278" s="227"/>
      <c r="H278" s="221"/>
      <c r="I278" s="255"/>
    </row>
    <row r="279" spans="1:9" ht="18" hidden="1">
      <c r="B279" s="219">
        <v>45938</v>
      </c>
      <c r="C279" s="220">
        <v>0</v>
      </c>
      <c r="D279" s="220">
        <v>13105</v>
      </c>
      <c r="E279" s="224" t="s">
        <v>31</v>
      </c>
      <c r="F279" s="225">
        <v>100826</v>
      </c>
      <c r="G279" s="228">
        <v>2272.54</v>
      </c>
      <c r="H279" s="222"/>
      <c r="I279" s="254"/>
    </row>
    <row r="280" spans="1:9" ht="48" hidden="1">
      <c r="B280" s="226"/>
      <c r="C280" s="226"/>
      <c r="D280" s="226"/>
      <c r="E280" s="221" t="s">
        <v>65</v>
      </c>
      <c r="F280" s="221"/>
      <c r="G280" s="227"/>
      <c r="H280" s="221"/>
      <c r="I280" s="255"/>
    </row>
    <row r="281" spans="1:9" ht="18" hidden="1">
      <c r="B281" s="219">
        <v>45938</v>
      </c>
      <c r="C281" s="220">
        <v>0</v>
      </c>
      <c r="D281" s="220">
        <v>0</v>
      </c>
      <c r="E281" s="224" t="s">
        <v>59</v>
      </c>
      <c r="F281" s="225">
        <v>9903</v>
      </c>
      <c r="G281" s="228">
        <v>139.94</v>
      </c>
      <c r="H281" s="222"/>
      <c r="I281" s="254"/>
    </row>
    <row r="282" spans="1:9" ht="24" hidden="1">
      <c r="B282" s="226"/>
      <c r="C282" s="226"/>
      <c r="D282" s="226"/>
      <c r="E282" s="221" t="s">
        <v>53</v>
      </c>
      <c r="F282" s="221"/>
      <c r="G282" s="227"/>
      <c r="H282" s="221"/>
      <c r="I282" s="255"/>
    </row>
    <row r="283" spans="1:9" ht="27" hidden="1">
      <c r="B283" s="219">
        <v>45939</v>
      </c>
      <c r="C283" s="220">
        <v>0</v>
      </c>
      <c r="D283" s="220">
        <v>14175</v>
      </c>
      <c r="E283" s="224" t="s">
        <v>62</v>
      </c>
      <c r="F283" s="225">
        <v>397599695</v>
      </c>
      <c r="G283" s="223">
        <v>1000</v>
      </c>
      <c r="H283" s="222"/>
      <c r="I283" s="254"/>
    </row>
    <row r="284" spans="1:9" ht="60" hidden="1">
      <c r="B284" s="226"/>
      <c r="C284" s="226"/>
      <c r="D284" s="226"/>
      <c r="E284" s="221" t="s">
        <v>97</v>
      </c>
      <c r="F284" s="221"/>
      <c r="G284" s="227"/>
      <c r="H284" s="221"/>
      <c r="I284" s="255"/>
    </row>
    <row r="285" spans="1:9" ht="18">
      <c r="A285" s="179" t="s">
        <v>140</v>
      </c>
      <c r="B285" s="219">
        <v>45939</v>
      </c>
      <c r="C285" s="220">
        <v>0</v>
      </c>
      <c r="D285" s="220">
        <v>14138</v>
      </c>
      <c r="E285" s="224" t="s">
        <v>141</v>
      </c>
      <c r="F285" s="225">
        <v>202510080007417</v>
      </c>
      <c r="G285" s="223">
        <v>1553.66</v>
      </c>
      <c r="H285" s="222">
        <v>3970</v>
      </c>
      <c r="I285" s="254" t="s">
        <v>595</v>
      </c>
    </row>
    <row r="286" spans="1:9" ht="36" hidden="1">
      <c r="B286" s="226"/>
      <c r="C286" s="226"/>
      <c r="D286" s="226"/>
      <c r="E286" s="221" t="s">
        <v>143</v>
      </c>
      <c r="F286" s="221"/>
      <c r="G286" s="227"/>
      <c r="H286" s="221"/>
      <c r="I286" s="255"/>
    </row>
    <row r="287" spans="1:9" ht="18">
      <c r="A287" s="179" t="s">
        <v>140</v>
      </c>
      <c r="B287" s="219">
        <v>45939</v>
      </c>
      <c r="C287" s="220">
        <v>0</v>
      </c>
      <c r="D287" s="220">
        <v>14138</v>
      </c>
      <c r="E287" s="224" t="s">
        <v>141</v>
      </c>
      <c r="F287" s="225">
        <v>202510080007418</v>
      </c>
      <c r="G287" s="223">
        <v>1476.65</v>
      </c>
      <c r="H287" s="222">
        <v>3955</v>
      </c>
      <c r="I287" s="254" t="s">
        <v>595</v>
      </c>
    </row>
    <row r="288" spans="1:9" ht="36" hidden="1">
      <c r="B288" s="226"/>
      <c r="C288" s="226"/>
      <c r="D288" s="226"/>
      <c r="E288" s="221" t="s">
        <v>143</v>
      </c>
      <c r="F288" s="221"/>
      <c r="G288" s="227"/>
      <c r="H288" s="221"/>
      <c r="I288" s="255"/>
    </row>
    <row r="289" spans="1:9" ht="18">
      <c r="A289" s="179" t="s">
        <v>140</v>
      </c>
      <c r="B289" s="219">
        <v>45939</v>
      </c>
      <c r="C289" s="220">
        <v>0</v>
      </c>
      <c r="D289" s="220">
        <v>14138</v>
      </c>
      <c r="E289" s="224" t="s">
        <v>141</v>
      </c>
      <c r="F289" s="225">
        <v>202510080007419</v>
      </c>
      <c r="G289" s="223">
        <v>1553.66</v>
      </c>
      <c r="H289" s="222">
        <v>4061</v>
      </c>
      <c r="I289" s="254" t="s">
        <v>595</v>
      </c>
    </row>
    <row r="290" spans="1:9" ht="36" hidden="1">
      <c r="B290" s="226"/>
      <c r="C290" s="226"/>
      <c r="D290" s="226"/>
      <c r="E290" s="221" t="s">
        <v>143</v>
      </c>
      <c r="F290" s="221"/>
      <c r="G290" s="227"/>
      <c r="H290" s="221"/>
      <c r="I290" s="255"/>
    </row>
    <row r="291" spans="1:9" ht="18">
      <c r="A291" s="173" t="s">
        <v>423</v>
      </c>
      <c r="B291" s="219">
        <v>45939</v>
      </c>
      <c r="C291" s="220">
        <v>0</v>
      </c>
      <c r="D291" s="220">
        <v>14138</v>
      </c>
      <c r="E291" s="224" t="s">
        <v>141</v>
      </c>
      <c r="F291" s="225">
        <v>202510080007420</v>
      </c>
      <c r="G291" s="223">
        <v>1476.65</v>
      </c>
      <c r="H291" s="222">
        <v>4061</v>
      </c>
      <c r="I291" s="254"/>
    </row>
    <row r="292" spans="1:9" ht="36" hidden="1">
      <c r="B292" s="226"/>
      <c r="C292" s="226"/>
      <c r="D292" s="226"/>
      <c r="E292" s="221" t="s">
        <v>143</v>
      </c>
      <c r="F292" s="221"/>
      <c r="G292" s="227"/>
      <c r="H292" s="221"/>
      <c r="I292" s="255"/>
    </row>
    <row r="293" spans="1:9" ht="18">
      <c r="A293" s="179" t="s">
        <v>140</v>
      </c>
      <c r="B293" s="219">
        <v>45939</v>
      </c>
      <c r="C293" s="220">
        <v>0</v>
      </c>
      <c r="D293" s="220">
        <v>14138</v>
      </c>
      <c r="E293" s="224" t="s">
        <v>141</v>
      </c>
      <c r="F293" s="225">
        <v>202510080020679</v>
      </c>
      <c r="G293" s="223">
        <v>1865.06</v>
      </c>
      <c r="H293" s="222" t="s">
        <v>1487</v>
      </c>
      <c r="I293" s="254" t="s">
        <v>595</v>
      </c>
    </row>
    <row r="294" spans="1:9" ht="36" hidden="1">
      <c r="B294" s="226"/>
      <c r="C294" s="226"/>
      <c r="D294" s="226"/>
      <c r="E294" s="221" t="s">
        <v>143</v>
      </c>
      <c r="F294" s="221"/>
      <c r="G294" s="227"/>
      <c r="H294" s="221"/>
      <c r="I294" s="255"/>
    </row>
    <row r="295" spans="1:9" ht="18">
      <c r="A295" s="179" t="s">
        <v>140</v>
      </c>
      <c r="B295" s="219">
        <v>45939</v>
      </c>
      <c r="C295" s="220">
        <v>0</v>
      </c>
      <c r="D295" s="220">
        <v>14138</v>
      </c>
      <c r="E295" s="224" t="s">
        <v>141</v>
      </c>
      <c r="F295" s="225">
        <v>202510080020680</v>
      </c>
      <c r="G295" s="223">
        <v>1865.06</v>
      </c>
      <c r="H295" s="222" t="s">
        <v>1488</v>
      </c>
      <c r="I295" s="254" t="s">
        <v>595</v>
      </c>
    </row>
    <row r="296" spans="1:9" ht="36" hidden="1">
      <c r="B296" s="226"/>
      <c r="C296" s="226"/>
      <c r="D296" s="226"/>
      <c r="E296" s="221" t="s">
        <v>143</v>
      </c>
      <c r="F296" s="221"/>
      <c r="G296" s="227"/>
      <c r="H296" s="221"/>
      <c r="I296" s="255"/>
    </row>
    <row r="297" spans="1:9" ht="18" hidden="1">
      <c r="B297" s="219">
        <v>45939</v>
      </c>
      <c r="C297" s="220">
        <v>1533</v>
      </c>
      <c r="D297" s="220">
        <v>99008</v>
      </c>
      <c r="E297" s="224" t="s">
        <v>29</v>
      </c>
      <c r="F297" s="225">
        <v>154976</v>
      </c>
      <c r="G297" s="228">
        <v>180.59</v>
      </c>
      <c r="H297" s="222"/>
      <c r="I297" s="254"/>
    </row>
    <row r="298" spans="1:9" ht="48" hidden="1">
      <c r="B298" s="226"/>
      <c r="C298" s="226"/>
      <c r="D298" s="226"/>
      <c r="E298" s="221" t="s">
        <v>1414</v>
      </c>
      <c r="F298" s="221"/>
      <c r="G298" s="227"/>
      <c r="H298" s="221"/>
      <c r="I298" s="255"/>
    </row>
    <row r="299" spans="1:9" ht="18" hidden="1">
      <c r="B299" s="219">
        <v>45939</v>
      </c>
      <c r="C299" s="220">
        <v>0</v>
      </c>
      <c r="D299" s="220">
        <v>13105</v>
      </c>
      <c r="E299" s="224" t="s">
        <v>31</v>
      </c>
      <c r="F299" s="225">
        <v>100901</v>
      </c>
      <c r="G299" s="228">
        <v>379.8</v>
      </c>
      <c r="H299" s="222"/>
      <c r="I299" s="254"/>
    </row>
    <row r="300" spans="1:9" ht="60" hidden="1">
      <c r="B300" s="226"/>
      <c r="C300" s="226"/>
      <c r="D300" s="226"/>
      <c r="E300" s="221" t="s">
        <v>41</v>
      </c>
      <c r="F300" s="221"/>
      <c r="G300" s="227"/>
      <c r="H300" s="221"/>
      <c r="I300" s="255"/>
    </row>
    <row r="301" spans="1:9" ht="18" hidden="1">
      <c r="B301" s="219">
        <v>45939</v>
      </c>
      <c r="C301" s="220">
        <v>0</v>
      </c>
      <c r="D301" s="220">
        <v>13105</v>
      </c>
      <c r="E301" s="224" t="s">
        <v>31</v>
      </c>
      <c r="F301" s="225">
        <v>100902</v>
      </c>
      <c r="G301" s="228">
        <v>169.99</v>
      </c>
      <c r="H301" s="222"/>
      <c r="I301" s="254"/>
    </row>
    <row r="302" spans="1:9" ht="60" hidden="1">
      <c r="B302" s="226"/>
      <c r="C302" s="226"/>
      <c r="D302" s="226"/>
      <c r="E302" s="221" t="s">
        <v>126</v>
      </c>
      <c r="F302" s="221"/>
      <c r="G302" s="227"/>
      <c r="H302" s="221"/>
      <c r="I302" s="255"/>
    </row>
    <row r="303" spans="1:9" ht="18" hidden="1">
      <c r="B303" s="219">
        <v>45939</v>
      </c>
      <c r="C303" s="220">
        <v>0</v>
      </c>
      <c r="D303" s="220">
        <v>13105</v>
      </c>
      <c r="E303" s="224" t="s">
        <v>31</v>
      </c>
      <c r="F303" s="225">
        <v>100903</v>
      </c>
      <c r="G303" s="228">
        <v>736.1</v>
      </c>
      <c r="H303" s="222"/>
      <c r="I303" s="254"/>
    </row>
    <row r="304" spans="1:9" ht="48" hidden="1">
      <c r="B304" s="226"/>
      <c r="C304" s="226"/>
      <c r="D304" s="226"/>
      <c r="E304" s="221" t="s">
        <v>507</v>
      </c>
      <c r="F304" s="221"/>
      <c r="G304" s="227"/>
      <c r="H304" s="221"/>
      <c r="I304" s="255"/>
    </row>
    <row r="305" spans="2:9" ht="18" hidden="1">
      <c r="B305" s="219">
        <v>45939</v>
      </c>
      <c r="C305" s="220">
        <v>0</v>
      </c>
      <c r="D305" s="220">
        <v>13105</v>
      </c>
      <c r="E305" s="224" t="s">
        <v>31</v>
      </c>
      <c r="F305" s="225">
        <v>100904</v>
      </c>
      <c r="G305" s="228">
        <v>311.11</v>
      </c>
      <c r="H305" s="222"/>
      <c r="I305" s="254"/>
    </row>
    <row r="306" spans="2:9" ht="36" hidden="1">
      <c r="B306" s="226"/>
      <c r="C306" s="226"/>
      <c r="D306" s="226"/>
      <c r="E306" s="221" t="s">
        <v>163</v>
      </c>
      <c r="F306" s="221"/>
      <c r="G306" s="227"/>
      <c r="H306" s="221"/>
      <c r="I306" s="255"/>
    </row>
    <row r="307" spans="2:9" ht="18" hidden="1">
      <c r="B307" s="219">
        <v>45939</v>
      </c>
      <c r="C307" s="220">
        <v>0</v>
      </c>
      <c r="D307" s="220">
        <v>13105</v>
      </c>
      <c r="E307" s="224" t="s">
        <v>31</v>
      </c>
      <c r="F307" s="225">
        <v>100905</v>
      </c>
      <c r="G307" s="228">
        <v>5916.67</v>
      </c>
      <c r="H307" s="222"/>
      <c r="I307" s="254"/>
    </row>
    <row r="308" spans="2:9" ht="48" hidden="1">
      <c r="B308" s="226"/>
      <c r="C308" s="226"/>
      <c r="D308" s="226"/>
      <c r="E308" s="221" t="s">
        <v>32</v>
      </c>
      <c r="F308" s="221"/>
      <c r="G308" s="227"/>
      <c r="H308" s="221"/>
      <c r="I308" s="255"/>
    </row>
    <row r="309" spans="2:9" ht="18" hidden="1">
      <c r="B309" s="219">
        <v>45939</v>
      </c>
      <c r="C309" s="220">
        <v>0</v>
      </c>
      <c r="D309" s="220">
        <v>13105</v>
      </c>
      <c r="E309" s="224" t="s">
        <v>31</v>
      </c>
      <c r="F309" s="225">
        <v>100906</v>
      </c>
      <c r="G309" s="228">
        <v>359.34</v>
      </c>
      <c r="H309" s="222"/>
      <c r="I309" s="254"/>
    </row>
    <row r="310" spans="2:9" hidden="1">
      <c r="B310" s="226"/>
      <c r="C310" s="226"/>
      <c r="D310" s="226"/>
      <c r="E310" s="221" t="s">
        <v>67</v>
      </c>
      <c r="F310" s="221"/>
      <c r="G310" s="227"/>
      <c r="H310" s="221"/>
      <c r="I310" s="255"/>
    </row>
    <row r="311" spans="2:9" ht="18" hidden="1">
      <c r="B311" s="219">
        <v>45939</v>
      </c>
      <c r="C311" s="220">
        <v>0</v>
      </c>
      <c r="D311" s="220">
        <v>13105</v>
      </c>
      <c r="E311" s="224" t="s">
        <v>31</v>
      </c>
      <c r="F311" s="225">
        <v>100907</v>
      </c>
      <c r="G311" s="228">
        <v>558.22</v>
      </c>
      <c r="H311" s="222"/>
      <c r="I311" s="254"/>
    </row>
    <row r="312" spans="2:9" ht="48" hidden="1">
      <c r="B312" s="226"/>
      <c r="C312" s="226"/>
      <c r="D312" s="226"/>
      <c r="E312" s="221" t="s">
        <v>340</v>
      </c>
      <c r="F312" s="221"/>
      <c r="G312" s="227"/>
      <c r="H312" s="221"/>
      <c r="I312" s="255"/>
    </row>
    <row r="313" spans="2:9" ht="18" hidden="1">
      <c r="B313" s="219">
        <v>45939</v>
      </c>
      <c r="C313" s="220">
        <v>0</v>
      </c>
      <c r="D313" s="220">
        <v>13105</v>
      </c>
      <c r="E313" s="224" t="s">
        <v>31</v>
      </c>
      <c r="F313" s="225">
        <v>100908</v>
      </c>
      <c r="G313" s="228">
        <v>304.66000000000003</v>
      </c>
      <c r="H313" s="222"/>
      <c r="I313" s="254"/>
    </row>
    <row r="314" spans="2:9" ht="48" hidden="1">
      <c r="B314" s="226"/>
      <c r="C314" s="226"/>
      <c r="D314" s="226"/>
      <c r="E314" s="221" t="s">
        <v>340</v>
      </c>
      <c r="F314" s="221"/>
      <c r="G314" s="227"/>
      <c r="H314" s="221"/>
      <c r="I314" s="255"/>
    </row>
    <row r="315" spans="2:9" ht="18" hidden="1">
      <c r="B315" s="219">
        <v>45939</v>
      </c>
      <c r="C315" s="220">
        <v>0</v>
      </c>
      <c r="D315" s="220">
        <v>13105</v>
      </c>
      <c r="E315" s="224" t="s">
        <v>31</v>
      </c>
      <c r="F315" s="225">
        <v>100909</v>
      </c>
      <c r="G315" s="228">
        <v>214.95</v>
      </c>
      <c r="H315" s="222"/>
      <c r="I315" s="254"/>
    </row>
    <row r="316" spans="2:9" ht="36" hidden="1">
      <c r="B316" s="226"/>
      <c r="C316" s="226"/>
      <c r="D316" s="226"/>
      <c r="E316" s="221" t="s">
        <v>111</v>
      </c>
      <c r="F316" s="221"/>
      <c r="G316" s="227"/>
      <c r="H316" s="221"/>
      <c r="I316" s="255"/>
    </row>
    <row r="317" spans="2:9" ht="18" hidden="1">
      <c r="B317" s="219">
        <v>45939</v>
      </c>
      <c r="C317" s="220">
        <v>0</v>
      </c>
      <c r="D317" s="220">
        <v>13105</v>
      </c>
      <c r="E317" s="224" t="s">
        <v>31</v>
      </c>
      <c r="F317" s="225">
        <v>100910</v>
      </c>
      <c r="G317" s="228">
        <v>239.75</v>
      </c>
      <c r="H317" s="222"/>
      <c r="I317" s="254"/>
    </row>
    <row r="318" spans="2:9" ht="36" hidden="1">
      <c r="B318" s="226"/>
      <c r="C318" s="226"/>
      <c r="D318" s="226"/>
      <c r="E318" s="221" t="s">
        <v>111</v>
      </c>
      <c r="F318" s="221"/>
      <c r="G318" s="227"/>
      <c r="H318" s="221"/>
      <c r="I318" s="255"/>
    </row>
    <row r="319" spans="2:9" ht="18" hidden="1">
      <c r="B319" s="219">
        <v>45939</v>
      </c>
      <c r="C319" s="220">
        <v>0</v>
      </c>
      <c r="D319" s="220">
        <v>13105</v>
      </c>
      <c r="E319" s="224" t="s">
        <v>31</v>
      </c>
      <c r="F319" s="225">
        <v>100911</v>
      </c>
      <c r="G319" s="228">
        <v>154.06</v>
      </c>
      <c r="H319" s="222"/>
      <c r="I319" s="254"/>
    </row>
    <row r="320" spans="2:9" ht="36" hidden="1">
      <c r="B320" s="226"/>
      <c r="C320" s="226"/>
      <c r="D320" s="226"/>
      <c r="E320" s="221" t="s">
        <v>111</v>
      </c>
      <c r="F320" s="221"/>
      <c r="G320" s="227"/>
      <c r="H320" s="221"/>
      <c r="I320" s="255"/>
    </row>
    <row r="321" spans="2:9" ht="18" hidden="1">
      <c r="B321" s="219">
        <v>45939</v>
      </c>
      <c r="C321" s="220">
        <v>0</v>
      </c>
      <c r="D321" s="220">
        <v>13105</v>
      </c>
      <c r="E321" s="224" t="s">
        <v>31</v>
      </c>
      <c r="F321" s="225">
        <v>100912</v>
      </c>
      <c r="G321" s="228">
        <v>255.57</v>
      </c>
      <c r="H321" s="222"/>
      <c r="I321" s="254"/>
    </row>
    <row r="322" spans="2:9" ht="36" hidden="1">
      <c r="B322" s="226"/>
      <c r="C322" s="226"/>
      <c r="D322" s="226"/>
      <c r="E322" s="221" t="s">
        <v>111</v>
      </c>
      <c r="F322" s="221"/>
      <c r="G322" s="227"/>
      <c r="H322" s="221"/>
      <c r="I322" s="255"/>
    </row>
    <row r="323" spans="2:9" ht="18" hidden="1">
      <c r="B323" s="219">
        <v>45939</v>
      </c>
      <c r="C323" s="220">
        <v>0</v>
      </c>
      <c r="D323" s="220">
        <v>13105</v>
      </c>
      <c r="E323" s="224" t="s">
        <v>31</v>
      </c>
      <c r="F323" s="225">
        <v>100913</v>
      </c>
      <c r="G323" s="228">
        <v>435.01</v>
      </c>
      <c r="H323" s="222"/>
      <c r="I323" s="254"/>
    </row>
    <row r="324" spans="2:9" ht="48" hidden="1">
      <c r="B324" s="226"/>
      <c r="C324" s="226"/>
      <c r="D324" s="226"/>
      <c r="E324" s="221" t="s">
        <v>50</v>
      </c>
      <c r="F324" s="221"/>
      <c r="G324" s="227"/>
      <c r="H324" s="221"/>
      <c r="I324" s="255"/>
    </row>
    <row r="325" spans="2:9" ht="18" hidden="1">
      <c r="B325" s="219">
        <v>45939</v>
      </c>
      <c r="C325" s="220">
        <v>0</v>
      </c>
      <c r="D325" s="220">
        <v>13105</v>
      </c>
      <c r="E325" s="224" t="s">
        <v>31</v>
      </c>
      <c r="F325" s="225">
        <v>100914</v>
      </c>
      <c r="G325" s="228">
        <v>683.55</v>
      </c>
      <c r="H325" s="222"/>
      <c r="I325" s="254"/>
    </row>
    <row r="326" spans="2:9" ht="60" hidden="1">
      <c r="B326" s="226"/>
      <c r="C326" s="226"/>
      <c r="D326" s="226"/>
      <c r="E326" s="221" t="s">
        <v>41</v>
      </c>
      <c r="F326" s="221"/>
      <c r="G326" s="227"/>
      <c r="H326" s="221"/>
      <c r="I326" s="255"/>
    </row>
    <row r="327" spans="2:9" ht="18" hidden="1">
      <c r="B327" s="219">
        <v>45939</v>
      </c>
      <c r="C327" s="220">
        <v>0</v>
      </c>
      <c r="D327" s="220">
        <v>0</v>
      </c>
      <c r="E327" s="224" t="s">
        <v>52</v>
      </c>
      <c r="F327" s="225">
        <v>9903</v>
      </c>
      <c r="G327" s="223">
        <v>108.63</v>
      </c>
      <c r="H327" s="222"/>
      <c r="I327" s="254"/>
    </row>
    <row r="328" spans="2:9" ht="24" hidden="1">
      <c r="B328" s="226"/>
      <c r="C328" s="226"/>
      <c r="D328" s="226"/>
      <c r="E328" s="221" t="s">
        <v>53</v>
      </c>
      <c r="F328" s="221"/>
      <c r="G328" s="227"/>
      <c r="H328" s="221"/>
      <c r="I328" s="255"/>
    </row>
    <row r="329" spans="2:9" ht="27" hidden="1">
      <c r="B329" s="219">
        <v>45940</v>
      </c>
      <c r="C329" s="220">
        <v>1109</v>
      </c>
      <c r="D329" s="220">
        <v>99021</v>
      </c>
      <c r="E329" s="224" t="s">
        <v>27</v>
      </c>
      <c r="F329" s="225">
        <v>611109000046801</v>
      </c>
      <c r="G329" s="223">
        <v>2100</v>
      </c>
      <c r="H329" s="222"/>
      <c r="I329" s="254"/>
    </row>
    <row r="330" spans="2:9" ht="48" hidden="1">
      <c r="B330" s="226"/>
      <c r="C330" s="226"/>
      <c r="D330" s="226"/>
      <c r="E330" s="221" t="s">
        <v>1415</v>
      </c>
      <c r="F330" s="221"/>
      <c r="G330" s="227"/>
      <c r="H330" s="221"/>
      <c r="I330" s="255"/>
    </row>
    <row r="331" spans="2:9" ht="18" hidden="1">
      <c r="B331" s="219">
        <v>45940</v>
      </c>
      <c r="C331" s="220">
        <v>0</v>
      </c>
      <c r="D331" s="220">
        <v>14397</v>
      </c>
      <c r="E331" s="224" t="s">
        <v>57</v>
      </c>
      <c r="F331" s="225">
        <v>100833308949472</v>
      </c>
      <c r="G331" s="223">
        <v>358.6</v>
      </c>
      <c r="H331" s="222"/>
      <c r="I331" s="254"/>
    </row>
    <row r="332" spans="2:9" ht="60" hidden="1">
      <c r="B332" s="226"/>
      <c r="C332" s="226"/>
      <c r="D332" s="226"/>
      <c r="E332" s="221" t="s">
        <v>1416</v>
      </c>
      <c r="F332" s="221"/>
      <c r="G332" s="227"/>
      <c r="H332" s="221"/>
      <c r="I332" s="255"/>
    </row>
    <row r="333" spans="2:9" ht="18" hidden="1">
      <c r="B333" s="219">
        <v>45940</v>
      </c>
      <c r="C333" s="220">
        <v>0</v>
      </c>
      <c r="D333" s="220">
        <v>14397</v>
      </c>
      <c r="E333" s="224" t="s">
        <v>57</v>
      </c>
      <c r="F333" s="225">
        <v>101242060340761</v>
      </c>
      <c r="G333" s="223">
        <v>7.56</v>
      </c>
      <c r="H333" s="222"/>
      <c r="I333" s="254"/>
    </row>
    <row r="334" spans="2:9" ht="48" hidden="1">
      <c r="B334" s="226"/>
      <c r="C334" s="226"/>
      <c r="D334" s="226"/>
      <c r="E334" s="221" t="s">
        <v>1417</v>
      </c>
      <c r="F334" s="221"/>
      <c r="G334" s="227"/>
      <c r="H334" s="221"/>
      <c r="I334" s="255"/>
    </row>
    <row r="335" spans="2:9" ht="18" hidden="1">
      <c r="B335" s="219">
        <v>45940</v>
      </c>
      <c r="C335" s="220">
        <v>0</v>
      </c>
      <c r="D335" s="220">
        <v>14397</v>
      </c>
      <c r="E335" s="224" t="s">
        <v>57</v>
      </c>
      <c r="F335" s="225">
        <v>101445504562921</v>
      </c>
      <c r="G335" s="223">
        <v>6500</v>
      </c>
      <c r="H335" s="222"/>
      <c r="I335" s="254"/>
    </row>
    <row r="336" spans="2:9" ht="48" hidden="1">
      <c r="B336" s="226"/>
      <c r="C336" s="226"/>
      <c r="D336" s="226"/>
      <c r="E336" s="221" t="s">
        <v>1418</v>
      </c>
      <c r="F336" s="221"/>
      <c r="G336" s="227"/>
      <c r="H336" s="221"/>
      <c r="I336" s="255"/>
    </row>
    <row r="337" spans="2:9" hidden="1">
      <c r="B337" s="219">
        <v>45940</v>
      </c>
      <c r="C337" s="220">
        <v>0</v>
      </c>
      <c r="D337" s="220">
        <v>13105</v>
      </c>
      <c r="E337" s="224" t="s">
        <v>80</v>
      </c>
      <c r="F337" s="225">
        <v>101001</v>
      </c>
      <c r="G337" s="228">
        <v>186.71</v>
      </c>
      <c r="H337" s="222"/>
      <c r="I337" s="254"/>
    </row>
    <row r="338" spans="2:9" ht="36" hidden="1">
      <c r="B338" s="226"/>
      <c r="C338" s="226"/>
      <c r="D338" s="226"/>
      <c r="E338" s="221" t="s">
        <v>81</v>
      </c>
      <c r="F338" s="221"/>
      <c r="G338" s="227"/>
      <c r="H338" s="221"/>
      <c r="I338" s="255"/>
    </row>
    <row r="339" spans="2:9" ht="18" hidden="1">
      <c r="B339" s="219">
        <v>45940</v>
      </c>
      <c r="C339" s="220">
        <v>0</v>
      </c>
      <c r="D339" s="220">
        <v>13105</v>
      </c>
      <c r="E339" s="224" t="s">
        <v>31</v>
      </c>
      <c r="F339" s="225">
        <v>101002</v>
      </c>
      <c r="G339" s="228">
        <v>790</v>
      </c>
      <c r="H339" s="222"/>
      <c r="I339" s="254"/>
    </row>
    <row r="340" spans="2:9" ht="36" hidden="1">
      <c r="B340" s="226"/>
      <c r="C340" s="226"/>
      <c r="D340" s="226"/>
      <c r="E340" s="221" t="s">
        <v>235</v>
      </c>
      <c r="F340" s="221"/>
      <c r="G340" s="227"/>
      <c r="H340" s="221"/>
      <c r="I340" s="255"/>
    </row>
    <row r="341" spans="2:9" ht="18" hidden="1">
      <c r="B341" s="219">
        <v>45940</v>
      </c>
      <c r="C341" s="220">
        <v>0</v>
      </c>
      <c r="D341" s="220">
        <v>13105</v>
      </c>
      <c r="E341" s="224" t="s">
        <v>34</v>
      </c>
      <c r="F341" s="225">
        <v>101003</v>
      </c>
      <c r="G341" s="228">
        <v>1047.46</v>
      </c>
      <c r="H341" s="222"/>
      <c r="I341" s="254"/>
    </row>
    <row r="342" spans="2:9" hidden="1">
      <c r="B342" s="226"/>
      <c r="C342" s="226"/>
      <c r="D342" s="226"/>
      <c r="E342" s="221" t="s">
        <v>207</v>
      </c>
      <c r="F342" s="221"/>
      <c r="G342" s="227"/>
      <c r="H342" s="221"/>
      <c r="I342" s="255"/>
    </row>
    <row r="343" spans="2:9" ht="18" hidden="1">
      <c r="B343" s="219">
        <v>45940</v>
      </c>
      <c r="C343" s="220">
        <v>0</v>
      </c>
      <c r="D343" s="220">
        <v>13105</v>
      </c>
      <c r="E343" s="224" t="s">
        <v>31</v>
      </c>
      <c r="F343" s="225">
        <v>101004</v>
      </c>
      <c r="G343" s="228">
        <v>50</v>
      </c>
      <c r="H343" s="222"/>
      <c r="I343" s="254"/>
    </row>
    <row r="344" spans="2:9" ht="60" hidden="1">
      <c r="B344" s="226"/>
      <c r="C344" s="226"/>
      <c r="D344" s="226"/>
      <c r="E344" s="221" t="s">
        <v>866</v>
      </c>
      <c r="F344" s="221"/>
      <c r="G344" s="227"/>
      <c r="H344" s="221"/>
      <c r="I344" s="255"/>
    </row>
    <row r="345" spans="2:9" ht="18" hidden="1">
      <c r="B345" s="219">
        <v>45940</v>
      </c>
      <c r="C345" s="220">
        <v>0</v>
      </c>
      <c r="D345" s="220">
        <v>13105</v>
      </c>
      <c r="E345" s="224" t="s">
        <v>31</v>
      </c>
      <c r="F345" s="225">
        <v>101005</v>
      </c>
      <c r="G345" s="228">
        <v>50</v>
      </c>
      <c r="H345" s="222"/>
      <c r="I345" s="254"/>
    </row>
    <row r="346" spans="2:9" ht="60" hidden="1">
      <c r="B346" s="226"/>
      <c r="C346" s="226"/>
      <c r="D346" s="226"/>
      <c r="E346" s="221" t="s">
        <v>866</v>
      </c>
      <c r="F346" s="221"/>
      <c r="G346" s="227"/>
      <c r="H346" s="221"/>
      <c r="I346" s="255"/>
    </row>
    <row r="347" spans="2:9" ht="18" hidden="1">
      <c r="B347" s="219">
        <v>45940</v>
      </c>
      <c r="C347" s="220">
        <v>0</v>
      </c>
      <c r="D347" s="220">
        <v>13105</v>
      </c>
      <c r="E347" s="224" t="s">
        <v>31</v>
      </c>
      <c r="F347" s="225">
        <v>101006</v>
      </c>
      <c r="G347" s="228">
        <v>300</v>
      </c>
      <c r="H347" s="222"/>
      <c r="I347" s="254"/>
    </row>
    <row r="348" spans="2:9" ht="36" hidden="1">
      <c r="B348" s="226"/>
      <c r="C348" s="226"/>
      <c r="D348" s="226"/>
      <c r="E348" s="221" t="s">
        <v>86</v>
      </c>
      <c r="F348" s="221"/>
      <c r="G348" s="227"/>
      <c r="H348" s="221"/>
      <c r="I348" s="255"/>
    </row>
    <row r="349" spans="2:9" ht="18" hidden="1">
      <c r="B349" s="219">
        <v>45940</v>
      </c>
      <c r="C349" s="220">
        <v>0</v>
      </c>
      <c r="D349" s="220">
        <v>13105</v>
      </c>
      <c r="E349" s="224" t="s">
        <v>31</v>
      </c>
      <c r="F349" s="225">
        <v>101007</v>
      </c>
      <c r="G349" s="228">
        <v>202.5</v>
      </c>
      <c r="H349" s="222"/>
      <c r="I349" s="254"/>
    </row>
    <row r="350" spans="2:9" ht="36" hidden="1">
      <c r="B350" s="226"/>
      <c r="C350" s="226"/>
      <c r="D350" s="226"/>
      <c r="E350" s="221" t="s">
        <v>111</v>
      </c>
      <c r="F350" s="221"/>
      <c r="G350" s="227"/>
      <c r="H350" s="221"/>
      <c r="I350" s="255"/>
    </row>
    <row r="351" spans="2:9" ht="18" hidden="1">
      <c r="B351" s="219">
        <v>45940</v>
      </c>
      <c r="C351" s="220">
        <v>0</v>
      </c>
      <c r="D351" s="220">
        <v>13105</v>
      </c>
      <c r="E351" s="224" t="s">
        <v>31</v>
      </c>
      <c r="F351" s="225">
        <v>101008</v>
      </c>
      <c r="G351" s="228">
        <v>412.77</v>
      </c>
      <c r="H351" s="222"/>
      <c r="I351" s="254"/>
    </row>
    <row r="352" spans="2:9" ht="48" hidden="1">
      <c r="B352" s="226"/>
      <c r="C352" s="226"/>
      <c r="D352" s="226"/>
      <c r="E352" s="221" t="s">
        <v>247</v>
      </c>
      <c r="F352" s="221"/>
      <c r="G352" s="227"/>
      <c r="H352" s="221"/>
      <c r="I352" s="255"/>
    </row>
    <row r="353" spans="2:9" ht="18" hidden="1">
      <c r="B353" s="219">
        <v>45940</v>
      </c>
      <c r="C353" s="220">
        <v>0</v>
      </c>
      <c r="D353" s="220">
        <v>13105</v>
      </c>
      <c r="E353" s="224" t="s">
        <v>31</v>
      </c>
      <c r="F353" s="225">
        <v>101009</v>
      </c>
      <c r="G353" s="228">
        <v>386.59</v>
      </c>
      <c r="H353" s="222"/>
      <c r="I353" s="254"/>
    </row>
    <row r="354" spans="2:9" ht="60" hidden="1">
      <c r="B354" s="226"/>
      <c r="C354" s="226"/>
      <c r="D354" s="226"/>
      <c r="E354" s="221" t="s">
        <v>110</v>
      </c>
      <c r="F354" s="221"/>
      <c r="G354" s="227"/>
      <c r="H354" s="221"/>
      <c r="I354" s="255"/>
    </row>
    <row r="355" spans="2:9" ht="18" hidden="1">
      <c r="B355" s="219">
        <v>45940</v>
      </c>
      <c r="C355" s="220">
        <v>0</v>
      </c>
      <c r="D355" s="220">
        <v>13105</v>
      </c>
      <c r="E355" s="224" t="s">
        <v>118</v>
      </c>
      <c r="F355" s="225">
        <v>101010</v>
      </c>
      <c r="G355" s="228">
        <v>3600</v>
      </c>
      <c r="H355" s="222"/>
      <c r="I355" s="254"/>
    </row>
    <row r="356" spans="2:9" ht="48" hidden="1">
      <c r="B356" s="226"/>
      <c r="C356" s="226"/>
      <c r="D356" s="226"/>
      <c r="E356" s="221" t="s">
        <v>1419</v>
      </c>
      <c r="F356" s="221"/>
      <c r="G356" s="227"/>
      <c r="H356" s="221"/>
      <c r="I356" s="255"/>
    </row>
    <row r="357" spans="2:9" ht="18" hidden="1">
      <c r="B357" s="219">
        <v>45940</v>
      </c>
      <c r="C357" s="220">
        <v>0</v>
      </c>
      <c r="D357" s="220">
        <v>13013</v>
      </c>
      <c r="E357" s="224" t="s">
        <v>87</v>
      </c>
      <c r="F357" s="225">
        <v>46301</v>
      </c>
      <c r="G357" s="228">
        <v>54.12</v>
      </c>
      <c r="H357" s="222"/>
      <c r="I357" s="254"/>
    </row>
    <row r="358" spans="2:9" ht="24" hidden="1">
      <c r="B358" s="226"/>
      <c r="C358" s="226"/>
      <c r="D358" s="226"/>
      <c r="E358" s="221" t="s">
        <v>88</v>
      </c>
      <c r="F358" s="221"/>
      <c r="G358" s="227"/>
      <c r="H358" s="221"/>
      <c r="I358" s="255"/>
    </row>
    <row r="359" spans="2:9" ht="18" hidden="1">
      <c r="B359" s="219">
        <v>45940</v>
      </c>
      <c r="C359" s="220">
        <v>0</v>
      </c>
      <c r="D359" s="220">
        <v>0</v>
      </c>
      <c r="E359" s="224" t="s">
        <v>59</v>
      </c>
      <c r="F359" s="225">
        <v>9903</v>
      </c>
      <c r="G359" s="228">
        <v>1886.01</v>
      </c>
      <c r="H359" s="222"/>
      <c r="I359" s="254"/>
    </row>
    <row r="360" spans="2:9" ht="24" hidden="1">
      <c r="B360" s="226"/>
      <c r="C360" s="226"/>
      <c r="D360" s="226"/>
      <c r="E360" s="221" t="s">
        <v>53</v>
      </c>
      <c r="F360" s="221"/>
      <c r="G360" s="227"/>
      <c r="H360" s="221"/>
      <c r="I360" s="255"/>
    </row>
    <row r="361" spans="2:9" ht="27" hidden="1">
      <c r="B361" s="219">
        <v>45943</v>
      </c>
      <c r="C361" s="220">
        <v>5072</v>
      </c>
      <c r="D361" s="220">
        <v>99021</v>
      </c>
      <c r="E361" s="224" t="s">
        <v>27</v>
      </c>
      <c r="F361" s="225">
        <v>615072000004700</v>
      </c>
      <c r="G361" s="223">
        <v>1708.76</v>
      </c>
      <c r="H361" s="222"/>
      <c r="I361" s="254"/>
    </row>
    <row r="362" spans="2:9" ht="36" hidden="1">
      <c r="B362" s="226"/>
      <c r="C362" s="226"/>
      <c r="D362" s="226"/>
      <c r="E362" s="221" t="s">
        <v>1420</v>
      </c>
      <c r="F362" s="221"/>
      <c r="G362" s="227"/>
      <c r="H362" s="221"/>
      <c r="I362" s="255"/>
    </row>
    <row r="363" spans="2:9" ht="27" hidden="1">
      <c r="B363" s="219">
        <v>45943</v>
      </c>
      <c r="C363" s="220">
        <v>0</v>
      </c>
      <c r="D363" s="220">
        <v>14175</v>
      </c>
      <c r="E363" s="224" t="s">
        <v>62</v>
      </c>
      <c r="F363" s="225">
        <v>397853752</v>
      </c>
      <c r="G363" s="223">
        <v>3000</v>
      </c>
      <c r="H363" s="222"/>
      <c r="I363" s="254"/>
    </row>
    <row r="364" spans="2:9" ht="60" hidden="1">
      <c r="B364" s="226"/>
      <c r="C364" s="226"/>
      <c r="D364" s="226"/>
      <c r="E364" s="221" t="s">
        <v>97</v>
      </c>
      <c r="F364" s="221"/>
      <c r="G364" s="227"/>
      <c r="H364" s="221"/>
      <c r="I364" s="255"/>
    </row>
    <row r="365" spans="2:9" ht="18" hidden="1">
      <c r="B365" s="219">
        <v>45943</v>
      </c>
      <c r="C365" s="220">
        <v>0</v>
      </c>
      <c r="D365" s="220">
        <v>14397</v>
      </c>
      <c r="E365" s="224" t="s">
        <v>57</v>
      </c>
      <c r="F365" s="225">
        <v>131030508743322</v>
      </c>
      <c r="G365" s="223">
        <v>251.75</v>
      </c>
      <c r="H365" s="222"/>
      <c r="I365" s="254"/>
    </row>
    <row r="366" spans="2:9" ht="60" hidden="1">
      <c r="B366" s="226"/>
      <c r="C366" s="226"/>
      <c r="D366" s="226"/>
      <c r="E366" s="221" t="s">
        <v>1421</v>
      </c>
      <c r="F366" s="221"/>
      <c r="G366" s="227"/>
      <c r="H366" s="221"/>
      <c r="I366" s="255"/>
    </row>
    <row r="367" spans="2:9" ht="18" hidden="1">
      <c r="B367" s="219">
        <v>45943</v>
      </c>
      <c r="C367" s="220">
        <v>0</v>
      </c>
      <c r="D367" s="220">
        <v>14397</v>
      </c>
      <c r="E367" s="224" t="s">
        <v>57</v>
      </c>
      <c r="F367" s="225">
        <v>131045169554172</v>
      </c>
      <c r="G367" s="223">
        <v>62.35</v>
      </c>
      <c r="H367" s="222"/>
      <c r="I367" s="254"/>
    </row>
    <row r="368" spans="2:9" ht="60" hidden="1">
      <c r="B368" s="226"/>
      <c r="C368" s="226"/>
      <c r="D368" s="226"/>
      <c r="E368" s="221" t="s">
        <v>1422</v>
      </c>
      <c r="F368" s="221"/>
      <c r="G368" s="227"/>
      <c r="H368" s="221"/>
      <c r="I368" s="255"/>
    </row>
    <row r="369" spans="1:9" ht="18" hidden="1">
      <c r="B369" s="219">
        <v>45943</v>
      </c>
      <c r="C369" s="220">
        <v>0</v>
      </c>
      <c r="D369" s="220">
        <v>14397</v>
      </c>
      <c r="E369" s="224" t="s">
        <v>57</v>
      </c>
      <c r="F369" s="225">
        <v>131548060217452</v>
      </c>
      <c r="G369" s="223">
        <v>424.12</v>
      </c>
      <c r="H369" s="222"/>
      <c r="I369" s="254"/>
    </row>
    <row r="370" spans="1:9" ht="60" hidden="1">
      <c r="B370" s="226"/>
      <c r="C370" s="226"/>
      <c r="D370" s="226"/>
      <c r="E370" s="221" t="s">
        <v>1423</v>
      </c>
      <c r="F370" s="221"/>
      <c r="G370" s="227"/>
      <c r="H370" s="221"/>
      <c r="I370" s="255"/>
    </row>
    <row r="371" spans="1:9" ht="18" hidden="1">
      <c r="B371" s="219">
        <v>45943</v>
      </c>
      <c r="C371" s="220">
        <v>0</v>
      </c>
      <c r="D371" s="220">
        <v>14397</v>
      </c>
      <c r="E371" s="224" t="s">
        <v>57</v>
      </c>
      <c r="F371" s="225">
        <v>131758089940222</v>
      </c>
      <c r="G371" s="223">
        <v>1808</v>
      </c>
      <c r="H371" s="222"/>
      <c r="I371" s="254"/>
    </row>
    <row r="372" spans="1:9" ht="48" hidden="1">
      <c r="B372" s="226"/>
      <c r="C372" s="226"/>
      <c r="D372" s="226"/>
      <c r="E372" s="221" t="s">
        <v>1424</v>
      </c>
      <c r="F372" s="221"/>
      <c r="G372" s="227"/>
      <c r="H372" s="221"/>
      <c r="I372" s="255"/>
    </row>
    <row r="373" spans="1:9" ht="18">
      <c r="A373" s="179" t="s">
        <v>140</v>
      </c>
      <c r="B373" s="219">
        <v>45943</v>
      </c>
      <c r="C373" s="220">
        <v>0</v>
      </c>
      <c r="D373" s="220">
        <v>14138</v>
      </c>
      <c r="E373" s="224" t="s">
        <v>141</v>
      </c>
      <c r="F373" s="225">
        <v>202510100034202</v>
      </c>
      <c r="G373" s="223">
        <v>1377.68</v>
      </c>
      <c r="H373" s="222" t="s">
        <v>1489</v>
      </c>
      <c r="I373" s="254" t="s">
        <v>419</v>
      </c>
    </row>
    <row r="374" spans="1:9" ht="36" hidden="1">
      <c r="B374" s="226"/>
      <c r="C374" s="226"/>
      <c r="D374" s="226"/>
      <c r="E374" s="221" t="s">
        <v>143</v>
      </c>
      <c r="F374" s="221"/>
      <c r="G374" s="227"/>
      <c r="H374" s="221"/>
      <c r="I374" s="255"/>
    </row>
    <row r="375" spans="1:9" ht="18">
      <c r="A375" s="179" t="s">
        <v>140</v>
      </c>
      <c r="B375" s="219">
        <v>45943</v>
      </c>
      <c r="C375" s="220">
        <v>0</v>
      </c>
      <c r="D375" s="220">
        <v>14138</v>
      </c>
      <c r="E375" s="224" t="s">
        <v>141</v>
      </c>
      <c r="F375" s="225">
        <v>202510100034211</v>
      </c>
      <c r="G375" s="223">
        <v>99.4</v>
      </c>
      <c r="H375" s="222" t="s">
        <v>1490</v>
      </c>
      <c r="I375" s="254" t="s">
        <v>419</v>
      </c>
    </row>
    <row r="376" spans="1:9" ht="36" hidden="1">
      <c r="B376" s="226"/>
      <c r="C376" s="226"/>
      <c r="D376" s="226"/>
      <c r="E376" s="221" t="s">
        <v>143</v>
      </c>
      <c r="F376" s="221"/>
      <c r="G376" s="227"/>
      <c r="H376" s="221"/>
      <c r="I376" s="255"/>
    </row>
    <row r="377" spans="1:9" ht="18">
      <c r="A377" s="179" t="s">
        <v>140</v>
      </c>
      <c r="B377" s="219">
        <v>45943</v>
      </c>
      <c r="C377" s="220">
        <v>0</v>
      </c>
      <c r="D377" s="220">
        <v>14138</v>
      </c>
      <c r="E377" s="224" t="s">
        <v>141</v>
      </c>
      <c r="F377" s="225">
        <v>202510100034214</v>
      </c>
      <c r="G377" s="223">
        <v>20.350000000000001</v>
      </c>
      <c r="H377" s="222">
        <v>4115</v>
      </c>
      <c r="I377" s="254" t="s">
        <v>419</v>
      </c>
    </row>
    <row r="378" spans="1:9" ht="36" hidden="1">
      <c r="B378" s="226"/>
      <c r="C378" s="226"/>
      <c r="D378" s="226"/>
      <c r="E378" s="221" t="s">
        <v>143</v>
      </c>
      <c r="F378" s="221"/>
      <c r="G378" s="227"/>
      <c r="H378" s="221"/>
      <c r="I378" s="255"/>
    </row>
    <row r="379" spans="1:9" ht="18">
      <c r="A379" s="179" t="s">
        <v>140</v>
      </c>
      <c r="B379" s="219">
        <v>45943</v>
      </c>
      <c r="C379" s="220">
        <v>0</v>
      </c>
      <c r="D379" s="220">
        <v>14138</v>
      </c>
      <c r="E379" s="224" t="s">
        <v>141</v>
      </c>
      <c r="F379" s="225">
        <v>202510100034221</v>
      </c>
      <c r="G379" s="223">
        <v>609.28</v>
      </c>
      <c r="H379" s="222">
        <v>4073</v>
      </c>
      <c r="I379" s="254" t="s">
        <v>419</v>
      </c>
    </row>
    <row r="380" spans="1:9" ht="36" hidden="1">
      <c r="B380" s="226"/>
      <c r="C380" s="226"/>
      <c r="D380" s="226"/>
      <c r="E380" s="221" t="s">
        <v>143</v>
      </c>
      <c r="F380" s="221"/>
      <c r="G380" s="227"/>
      <c r="H380" s="221"/>
      <c r="I380" s="255"/>
    </row>
    <row r="381" spans="1:9" ht="18" hidden="1">
      <c r="B381" s="219">
        <v>45943</v>
      </c>
      <c r="C381" s="220">
        <v>0</v>
      </c>
      <c r="D381" s="220">
        <v>13105</v>
      </c>
      <c r="E381" s="224" t="s">
        <v>31</v>
      </c>
      <c r="F381" s="225">
        <v>101301</v>
      </c>
      <c r="G381" s="228">
        <v>383.01</v>
      </c>
      <c r="H381" s="222"/>
      <c r="I381" s="254"/>
    </row>
    <row r="382" spans="1:9" ht="60" hidden="1">
      <c r="B382" s="226"/>
      <c r="C382" s="226"/>
      <c r="D382" s="226"/>
      <c r="E382" s="221" t="s">
        <v>1318</v>
      </c>
      <c r="F382" s="221"/>
      <c r="G382" s="227"/>
      <c r="H382" s="221"/>
      <c r="I382" s="255"/>
    </row>
    <row r="383" spans="1:9" hidden="1">
      <c r="B383" s="219">
        <v>45943</v>
      </c>
      <c r="C383" s="220">
        <v>0</v>
      </c>
      <c r="D383" s="220">
        <v>13105</v>
      </c>
      <c r="E383" s="224" t="s">
        <v>80</v>
      </c>
      <c r="F383" s="225">
        <v>101302</v>
      </c>
      <c r="G383" s="228">
        <v>58.76</v>
      </c>
      <c r="H383" s="222"/>
      <c r="I383" s="254"/>
    </row>
    <row r="384" spans="1:9" ht="36" hidden="1">
      <c r="B384" s="226"/>
      <c r="C384" s="226"/>
      <c r="D384" s="226"/>
      <c r="E384" s="221" t="s">
        <v>81</v>
      </c>
      <c r="F384" s="221"/>
      <c r="G384" s="227"/>
      <c r="H384" s="221"/>
      <c r="I384" s="255"/>
    </row>
    <row r="385" spans="2:9" hidden="1">
      <c r="B385" s="219">
        <v>45943</v>
      </c>
      <c r="C385" s="220">
        <v>0</v>
      </c>
      <c r="D385" s="220">
        <v>13105</v>
      </c>
      <c r="E385" s="224" t="s">
        <v>80</v>
      </c>
      <c r="F385" s="225">
        <v>101303</v>
      </c>
      <c r="G385" s="228">
        <v>189.51</v>
      </c>
      <c r="H385" s="222"/>
      <c r="I385" s="254"/>
    </row>
    <row r="386" spans="2:9" ht="36" hidden="1">
      <c r="B386" s="226"/>
      <c r="C386" s="226"/>
      <c r="D386" s="226"/>
      <c r="E386" s="221" t="s">
        <v>81</v>
      </c>
      <c r="F386" s="221"/>
      <c r="G386" s="227"/>
      <c r="H386" s="221"/>
      <c r="I386" s="255"/>
    </row>
    <row r="387" spans="2:9" hidden="1">
      <c r="B387" s="219">
        <v>45943</v>
      </c>
      <c r="C387" s="220">
        <v>0</v>
      </c>
      <c r="D387" s="220">
        <v>13105</v>
      </c>
      <c r="E387" s="224" t="s">
        <v>80</v>
      </c>
      <c r="F387" s="225">
        <v>101304</v>
      </c>
      <c r="G387" s="228">
        <v>368.18</v>
      </c>
      <c r="H387" s="222"/>
      <c r="I387" s="254"/>
    </row>
    <row r="388" spans="2:9" ht="36" hidden="1">
      <c r="B388" s="226"/>
      <c r="C388" s="226"/>
      <c r="D388" s="226"/>
      <c r="E388" s="221" t="s">
        <v>81</v>
      </c>
      <c r="F388" s="221"/>
      <c r="G388" s="227"/>
      <c r="H388" s="221"/>
      <c r="I388" s="255"/>
    </row>
    <row r="389" spans="2:9" hidden="1">
      <c r="B389" s="219">
        <v>45943</v>
      </c>
      <c r="C389" s="220">
        <v>0</v>
      </c>
      <c r="D389" s="220">
        <v>13105</v>
      </c>
      <c r="E389" s="224" t="s">
        <v>80</v>
      </c>
      <c r="F389" s="225">
        <v>101305</v>
      </c>
      <c r="G389" s="228">
        <v>2405.81</v>
      </c>
      <c r="H389" s="222"/>
      <c r="I389" s="254"/>
    </row>
    <row r="390" spans="2:9" ht="36" hidden="1">
      <c r="B390" s="226"/>
      <c r="C390" s="226"/>
      <c r="D390" s="226"/>
      <c r="E390" s="221" t="s">
        <v>81</v>
      </c>
      <c r="F390" s="221"/>
      <c r="G390" s="227"/>
      <c r="H390" s="221"/>
      <c r="I390" s="255"/>
    </row>
    <row r="391" spans="2:9" ht="18" hidden="1">
      <c r="B391" s="219">
        <v>45943</v>
      </c>
      <c r="C391" s="220">
        <v>0</v>
      </c>
      <c r="D391" s="220">
        <v>13105</v>
      </c>
      <c r="E391" s="224" t="s">
        <v>31</v>
      </c>
      <c r="F391" s="225">
        <v>101306</v>
      </c>
      <c r="G391" s="228">
        <v>612.83000000000004</v>
      </c>
      <c r="H391" s="222"/>
      <c r="I391" s="254"/>
    </row>
    <row r="392" spans="2:9" ht="24" hidden="1">
      <c r="B392" s="226"/>
      <c r="C392" s="226"/>
      <c r="D392" s="226"/>
      <c r="E392" s="221" t="s">
        <v>38</v>
      </c>
      <c r="F392" s="221"/>
      <c r="G392" s="227"/>
      <c r="H392" s="221"/>
      <c r="I392" s="255"/>
    </row>
    <row r="393" spans="2:9" ht="18" hidden="1">
      <c r="B393" s="219">
        <v>45943</v>
      </c>
      <c r="C393" s="220">
        <v>0</v>
      </c>
      <c r="D393" s="220">
        <v>13105</v>
      </c>
      <c r="E393" s="224" t="s">
        <v>31</v>
      </c>
      <c r="F393" s="225">
        <v>101307</v>
      </c>
      <c r="G393" s="228">
        <v>330.5</v>
      </c>
      <c r="H393" s="222"/>
      <c r="I393" s="254"/>
    </row>
    <row r="394" spans="2:9" ht="24" hidden="1">
      <c r="B394" s="226"/>
      <c r="C394" s="226"/>
      <c r="D394" s="226"/>
      <c r="E394" s="221" t="s">
        <v>78</v>
      </c>
      <c r="F394" s="221"/>
      <c r="G394" s="227"/>
      <c r="H394" s="221"/>
      <c r="I394" s="255"/>
    </row>
    <row r="395" spans="2:9" ht="18" hidden="1">
      <c r="B395" s="219">
        <v>45943</v>
      </c>
      <c r="C395" s="220">
        <v>0</v>
      </c>
      <c r="D395" s="220">
        <v>13105</v>
      </c>
      <c r="E395" s="224" t="s">
        <v>31</v>
      </c>
      <c r="F395" s="225">
        <v>101308</v>
      </c>
      <c r="G395" s="228">
        <v>339.34</v>
      </c>
      <c r="H395" s="222"/>
      <c r="I395" s="254"/>
    </row>
    <row r="396" spans="2:9" ht="60" hidden="1">
      <c r="B396" s="226"/>
      <c r="C396" s="226"/>
      <c r="D396" s="226"/>
      <c r="E396" s="221" t="s">
        <v>45</v>
      </c>
      <c r="F396" s="221"/>
      <c r="G396" s="227"/>
      <c r="H396" s="221"/>
      <c r="I396" s="255"/>
    </row>
    <row r="397" spans="2:9" ht="18" hidden="1">
      <c r="B397" s="219">
        <v>45943</v>
      </c>
      <c r="C397" s="220">
        <v>0</v>
      </c>
      <c r="D397" s="220">
        <v>13105</v>
      </c>
      <c r="E397" s="224" t="s">
        <v>31</v>
      </c>
      <c r="F397" s="225">
        <v>101309</v>
      </c>
      <c r="G397" s="228">
        <v>34.4</v>
      </c>
      <c r="H397" s="222"/>
      <c r="I397" s="254"/>
    </row>
    <row r="398" spans="2:9" ht="48" hidden="1">
      <c r="B398" s="226"/>
      <c r="C398" s="226"/>
      <c r="D398" s="226"/>
      <c r="E398" s="221" t="s">
        <v>50</v>
      </c>
      <c r="F398" s="221"/>
      <c r="G398" s="227"/>
      <c r="H398" s="221"/>
      <c r="I398" s="255"/>
    </row>
    <row r="399" spans="2:9" ht="18" hidden="1">
      <c r="B399" s="219">
        <v>45943</v>
      </c>
      <c r="C399" s="220">
        <v>0</v>
      </c>
      <c r="D399" s="220">
        <v>13105</v>
      </c>
      <c r="E399" s="224" t="s">
        <v>31</v>
      </c>
      <c r="F399" s="225">
        <v>101310</v>
      </c>
      <c r="G399" s="228">
        <v>437.82</v>
      </c>
      <c r="H399" s="222"/>
      <c r="I399" s="254"/>
    </row>
    <row r="400" spans="2:9" ht="60" hidden="1">
      <c r="B400" s="226"/>
      <c r="C400" s="226"/>
      <c r="D400" s="226"/>
      <c r="E400" s="221" t="s">
        <v>165</v>
      </c>
      <c r="F400" s="221"/>
      <c r="G400" s="227"/>
      <c r="H400" s="221"/>
      <c r="I400" s="255"/>
    </row>
    <row r="401" spans="2:9" ht="18" hidden="1">
      <c r="B401" s="219">
        <v>45943</v>
      </c>
      <c r="C401" s="220">
        <v>0</v>
      </c>
      <c r="D401" s="220">
        <v>13105</v>
      </c>
      <c r="E401" s="224" t="s">
        <v>31</v>
      </c>
      <c r="F401" s="225">
        <v>101311</v>
      </c>
      <c r="G401" s="228">
        <v>391.24</v>
      </c>
      <c r="H401" s="222"/>
      <c r="I401" s="254"/>
    </row>
    <row r="402" spans="2:9" ht="60" hidden="1">
      <c r="B402" s="226"/>
      <c r="C402" s="226"/>
      <c r="D402" s="226"/>
      <c r="E402" s="221" t="s">
        <v>41</v>
      </c>
      <c r="F402" s="221"/>
      <c r="G402" s="227"/>
      <c r="H402" s="221"/>
      <c r="I402" s="255"/>
    </row>
    <row r="403" spans="2:9" ht="18" hidden="1">
      <c r="B403" s="219">
        <v>45943</v>
      </c>
      <c r="C403" s="220">
        <v>0</v>
      </c>
      <c r="D403" s="220">
        <v>13105</v>
      </c>
      <c r="E403" s="224" t="s">
        <v>31</v>
      </c>
      <c r="F403" s="225">
        <v>101312</v>
      </c>
      <c r="G403" s="228">
        <v>342</v>
      </c>
      <c r="H403" s="222"/>
      <c r="I403" s="254"/>
    </row>
    <row r="404" spans="2:9" ht="60" hidden="1">
      <c r="B404" s="226"/>
      <c r="C404" s="226"/>
      <c r="D404" s="226"/>
      <c r="E404" s="221" t="s">
        <v>41</v>
      </c>
      <c r="F404" s="221"/>
      <c r="G404" s="227"/>
      <c r="H404" s="221"/>
      <c r="I404" s="255"/>
    </row>
    <row r="405" spans="2:9" ht="18" hidden="1">
      <c r="B405" s="219">
        <v>45943</v>
      </c>
      <c r="C405" s="220">
        <v>0</v>
      </c>
      <c r="D405" s="220">
        <v>13105</v>
      </c>
      <c r="E405" s="224" t="s">
        <v>31</v>
      </c>
      <c r="F405" s="225">
        <v>101313</v>
      </c>
      <c r="G405" s="228">
        <v>107.55</v>
      </c>
      <c r="H405" s="222"/>
      <c r="I405" s="254"/>
    </row>
    <row r="406" spans="2:9" ht="36" hidden="1">
      <c r="B406" s="226"/>
      <c r="C406" s="226"/>
      <c r="D406" s="226"/>
      <c r="E406" s="221" t="s">
        <v>1425</v>
      </c>
      <c r="F406" s="221"/>
      <c r="G406" s="227"/>
      <c r="H406" s="221"/>
      <c r="I406" s="255"/>
    </row>
    <row r="407" spans="2:9" ht="18" hidden="1">
      <c r="B407" s="219">
        <v>45943</v>
      </c>
      <c r="C407" s="220">
        <v>0</v>
      </c>
      <c r="D407" s="220">
        <v>13105</v>
      </c>
      <c r="E407" s="224" t="s">
        <v>31</v>
      </c>
      <c r="F407" s="225">
        <v>101314</v>
      </c>
      <c r="G407" s="228">
        <v>115.69</v>
      </c>
      <c r="H407" s="222"/>
      <c r="I407" s="254"/>
    </row>
    <row r="408" spans="2:9" ht="36" hidden="1">
      <c r="B408" s="226"/>
      <c r="C408" s="226"/>
      <c r="D408" s="226"/>
      <c r="E408" s="221" t="s">
        <v>1425</v>
      </c>
      <c r="F408" s="221"/>
      <c r="G408" s="227"/>
      <c r="H408" s="221"/>
      <c r="I408" s="255"/>
    </row>
    <row r="409" spans="2:9" ht="18" hidden="1">
      <c r="B409" s="219">
        <v>45943</v>
      </c>
      <c r="C409" s="220">
        <v>0</v>
      </c>
      <c r="D409" s="220">
        <v>13105</v>
      </c>
      <c r="E409" s="224" t="s">
        <v>31</v>
      </c>
      <c r="F409" s="225">
        <v>101315</v>
      </c>
      <c r="G409" s="228">
        <v>85.61</v>
      </c>
      <c r="H409" s="222"/>
      <c r="I409" s="254"/>
    </row>
    <row r="410" spans="2:9" ht="48" hidden="1">
      <c r="B410" s="226"/>
      <c r="C410" s="226"/>
      <c r="D410" s="226"/>
      <c r="E410" s="221" t="s">
        <v>223</v>
      </c>
      <c r="F410" s="221"/>
      <c r="G410" s="227"/>
      <c r="H410" s="221"/>
      <c r="I410" s="255"/>
    </row>
    <row r="411" spans="2:9" ht="18" hidden="1">
      <c r="B411" s="219">
        <v>45943</v>
      </c>
      <c r="C411" s="220">
        <v>0</v>
      </c>
      <c r="D411" s="220">
        <v>13105</v>
      </c>
      <c r="E411" s="224" t="s">
        <v>31</v>
      </c>
      <c r="F411" s="225">
        <v>101316</v>
      </c>
      <c r="G411" s="228">
        <v>209.58</v>
      </c>
      <c r="H411" s="222"/>
      <c r="I411" s="254"/>
    </row>
    <row r="412" spans="2:9" hidden="1">
      <c r="B412" s="226"/>
      <c r="C412" s="226"/>
      <c r="D412" s="226"/>
      <c r="E412" s="221" t="s">
        <v>67</v>
      </c>
      <c r="F412" s="221"/>
      <c r="G412" s="227"/>
      <c r="H412" s="221"/>
      <c r="I412" s="255"/>
    </row>
    <row r="413" spans="2:9" ht="18" hidden="1">
      <c r="B413" s="219">
        <v>45943</v>
      </c>
      <c r="C413" s="220">
        <v>0</v>
      </c>
      <c r="D413" s="220">
        <v>13105</v>
      </c>
      <c r="E413" s="224" t="s">
        <v>31</v>
      </c>
      <c r="F413" s="225">
        <v>101317</v>
      </c>
      <c r="G413" s="228">
        <v>181.66</v>
      </c>
      <c r="H413" s="222"/>
      <c r="I413" s="254"/>
    </row>
    <row r="414" spans="2:9" hidden="1">
      <c r="B414" s="226"/>
      <c r="C414" s="226"/>
      <c r="D414" s="226"/>
      <c r="E414" s="221" t="s">
        <v>67</v>
      </c>
      <c r="F414" s="221"/>
      <c r="G414" s="227"/>
      <c r="H414" s="221"/>
      <c r="I414" s="255"/>
    </row>
    <row r="415" spans="2:9" ht="18" hidden="1">
      <c r="B415" s="219">
        <v>45943</v>
      </c>
      <c r="C415" s="220">
        <v>0</v>
      </c>
      <c r="D415" s="220">
        <v>13105</v>
      </c>
      <c r="E415" s="224" t="s">
        <v>31</v>
      </c>
      <c r="F415" s="225">
        <v>101318</v>
      </c>
      <c r="G415" s="228">
        <v>2388</v>
      </c>
      <c r="H415" s="222"/>
      <c r="I415" s="254"/>
    </row>
    <row r="416" spans="2:9" ht="48" hidden="1">
      <c r="B416" s="226"/>
      <c r="C416" s="226"/>
      <c r="D416" s="226"/>
      <c r="E416" s="221" t="s">
        <v>32</v>
      </c>
      <c r="F416" s="221"/>
      <c r="G416" s="227"/>
      <c r="H416" s="221"/>
      <c r="I416" s="255"/>
    </row>
    <row r="417" spans="2:9" ht="18" hidden="1">
      <c r="B417" s="219">
        <v>45943</v>
      </c>
      <c r="C417" s="220">
        <v>0</v>
      </c>
      <c r="D417" s="220">
        <v>13105</v>
      </c>
      <c r="E417" s="224" t="s">
        <v>31</v>
      </c>
      <c r="F417" s="225">
        <v>101319</v>
      </c>
      <c r="G417" s="228">
        <v>121.19</v>
      </c>
      <c r="H417" s="222"/>
      <c r="I417" s="254"/>
    </row>
    <row r="418" spans="2:9" ht="36" hidden="1">
      <c r="B418" s="226"/>
      <c r="C418" s="226"/>
      <c r="D418" s="226"/>
      <c r="E418" s="221" t="s">
        <v>56</v>
      </c>
      <c r="F418" s="221"/>
      <c r="G418" s="227"/>
      <c r="H418" s="221"/>
      <c r="I418" s="255"/>
    </row>
    <row r="419" spans="2:9" ht="18" hidden="1">
      <c r="B419" s="219">
        <v>45943</v>
      </c>
      <c r="C419" s="220">
        <v>0</v>
      </c>
      <c r="D419" s="220">
        <v>0</v>
      </c>
      <c r="E419" s="224" t="s">
        <v>59</v>
      </c>
      <c r="F419" s="225">
        <v>9903</v>
      </c>
      <c r="G419" s="228">
        <v>259.01</v>
      </c>
      <c r="H419" s="222"/>
      <c r="I419" s="254"/>
    </row>
    <row r="420" spans="2:9" ht="24" hidden="1">
      <c r="B420" s="226"/>
      <c r="C420" s="226"/>
      <c r="D420" s="226"/>
      <c r="E420" s="221" t="s">
        <v>53</v>
      </c>
      <c r="F420" s="221"/>
      <c r="G420" s="227"/>
      <c r="H420" s="221"/>
      <c r="I420" s="255"/>
    </row>
    <row r="421" spans="2:9" ht="18" hidden="1">
      <c r="B421" s="219">
        <v>45944</v>
      </c>
      <c r="C421" s="220">
        <v>0</v>
      </c>
      <c r="D421" s="220">
        <v>14397</v>
      </c>
      <c r="E421" s="224" t="s">
        <v>57</v>
      </c>
      <c r="F421" s="225">
        <v>140852256778422</v>
      </c>
      <c r="G421" s="223">
        <v>1000</v>
      </c>
      <c r="H421" s="222"/>
      <c r="I421" s="254"/>
    </row>
    <row r="422" spans="2:9" ht="60" hidden="1">
      <c r="B422" s="226"/>
      <c r="C422" s="226"/>
      <c r="D422" s="226"/>
      <c r="E422" s="221" t="s">
        <v>1426</v>
      </c>
      <c r="F422" s="221"/>
      <c r="G422" s="227"/>
      <c r="H422" s="221"/>
      <c r="I422" s="255"/>
    </row>
    <row r="423" spans="2:9" ht="18" hidden="1">
      <c r="B423" s="219">
        <v>45944</v>
      </c>
      <c r="C423" s="220">
        <v>0</v>
      </c>
      <c r="D423" s="220">
        <v>14397</v>
      </c>
      <c r="E423" s="224" t="s">
        <v>57</v>
      </c>
      <c r="F423" s="225">
        <v>140857085837112</v>
      </c>
      <c r="G423" s="223">
        <v>40.92</v>
      </c>
      <c r="H423" s="222"/>
      <c r="I423" s="254"/>
    </row>
    <row r="424" spans="2:9" ht="60" hidden="1">
      <c r="B424" s="226"/>
      <c r="C424" s="226"/>
      <c r="D424" s="226"/>
      <c r="E424" s="221" t="s">
        <v>1427</v>
      </c>
      <c r="F424" s="221"/>
      <c r="G424" s="227"/>
      <c r="H424" s="221"/>
      <c r="I424" s="255"/>
    </row>
    <row r="425" spans="2:9" ht="18" hidden="1">
      <c r="B425" s="219">
        <v>45944</v>
      </c>
      <c r="C425" s="220">
        <v>0</v>
      </c>
      <c r="D425" s="220">
        <v>14397</v>
      </c>
      <c r="E425" s="224" t="s">
        <v>57</v>
      </c>
      <c r="F425" s="225">
        <v>140951288720141</v>
      </c>
      <c r="G425" s="223">
        <v>678.17</v>
      </c>
      <c r="H425" s="222"/>
      <c r="I425" s="254"/>
    </row>
    <row r="426" spans="2:9" ht="48" hidden="1">
      <c r="B426" s="226"/>
      <c r="C426" s="226"/>
      <c r="D426" s="226"/>
      <c r="E426" s="221" t="s">
        <v>1428</v>
      </c>
      <c r="F426" s="221"/>
      <c r="G426" s="227"/>
      <c r="H426" s="221"/>
      <c r="I426" s="255"/>
    </row>
    <row r="427" spans="2:9" ht="18" hidden="1">
      <c r="B427" s="219">
        <v>45944</v>
      </c>
      <c r="C427" s="220">
        <v>0</v>
      </c>
      <c r="D427" s="220">
        <v>14397</v>
      </c>
      <c r="E427" s="224" t="s">
        <v>57</v>
      </c>
      <c r="F427" s="225">
        <v>141603458807872</v>
      </c>
      <c r="G427" s="223">
        <v>408.86</v>
      </c>
      <c r="H427" s="222"/>
      <c r="I427" s="254"/>
    </row>
    <row r="428" spans="2:9" ht="60" hidden="1">
      <c r="B428" s="226"/>
      <c r="C428" s="226"/>
      <c r="D428" s="226"/>
      <c r="E428" s="221" t="s">
        <v>1429</v>
      </c>
      <c r="F428" s="221"/>
      <c r="G428" s="227"/>
      <c r="H428" s="221"/>
      <c r="I428" s="255"/>
    </row>
    <row r="429" spans="2:9" ht="18" hidden="1">
      <c r="B429" s="219">
        <v>45944</v>
      </c>
      <c r="C429" s="220">
        <v>1533</v>
      </c>
      <c r="D429" s="220">
        <v>99008</v>
      </c>
      <c r="E429" s="224" t="s">
        <v>29</v>
      </c>
      <c r="F429" s="225">
        <v>414184</v>
      </c>
      <c r="G429" s="228">
        <v>113.75</v>
      </c>
      <c r="H429" s="222"/>
      <c r="I429" s="254"/>
    </row>
    <row r="430" spans="2:9" ht="48" hidden="1">
      <c r="B430" s="226"/>
      <c r="C430" s="226"/>
      <c r="D430" s="226"/>
      <c r="E430" s="221" t="s">
        <v>1430</v>
      </c>
      <c r="F430" s="221"/>
      <c r="G430" s="227"/>
      <c r="H430" s="221"/>
      <c r="I430" s="255"/>
    </row>
    <row r="431" spans="2:9" ht="18" hidden="1">
      <c r="B431" s="219">
        <v>45944</v>
      </c>
      <c r="C431" s="220">
        <v>1533</v>
      </c>
      <c r="D431" s="220">
        <v>99008</v>
      </c>
      <c r="E431" s="224" t="s">
        <v>29</v>
      </c>
      <c r="F431" s="225">
        <v>664713</v>
      </c>
      <c r="G431" s="228">
        <v>211.74</v>
      </c>
      <c r="H431" s="222"/>
      <c r="I431" s="254"/>
    </row>
    <row r="432" spans="2:9" ht="36" hidden="1">
      <c r="B432" s="226"/>
      <c r="C432" s="226"/>
      <c r="D432" s="226"/>
      <c r="E432" s="221" t="s">
        <v>1431</v>
      </c>
      <c r="F432" s="221"/>
      <c r="G432" s="227"/>
      <c r="H432" s="221"/>
      <c r="I432" s="255"/>
    </row>
    <row r="433" spans="1:9" ht="18" hidden="1">
      <c r="B433" s="219">
        <v>45944</v>
      </c>
      <c r="C433" s="220">
        <v>0</v>
      </c>
      <c r="D433" s="220">
        <v>0</v>
      </c>
      <c r="E433" s="224" t="s">
        <v>59</v>
      </c>
      <c r="F433" s="225">
        <v>9903</v>
      </c>
      <c r="G433" s="228">
        <v>1802.46</v>
      </c>
      <c r="H433" s="222"/>
      <c r="I433" s="254"/>
    </row>
    <row r="434" spans="1:9" ht="24" hidden="1">
      <c r="B434" s="226"/>
      <c r="C434" s="226"/>
      <c r="D434" s="226"/>
      <c r="E434" s="221" t="s">
        <v>53</v>
      </c>
      <c r="F434" s="221"/>
      <c r="G434" s="227"/>
      <c r="H434" s="221"/>
      <c r="I434" s="255"/>
    </row>
    <row r="435" spans="1:9" ht="27" hidden="1">
      <c r="B435" s="219">
        <v>45945</v>
      </c>
      <c r="C435" s="220">
        <v>5072</v>
      </c>
      <c r="D435" s="220">
        <v>99021</v>
      </c>
      <c r="E435" s="224" t="s">
        <v>27</v>
      </c>
      <c r="F435" s="225">
        <v>615072000004700</v>
      </c>
      <c r="G435" s="223">
        <v>213.11</v>
      </c>
      <c r="H435" s="222"/>
      <c r="I435" s="254"/>
    </row>
    <row r="436" spans="1:9" ht="36" hidden="1">
      <c r="B436" s="226"/>
      <c r="C436" s="226"/>
      <c r="D436" s="226"/>
      <c r="E436" s="221" t="s">
        <v>1432</v>
      </c>
      <c r="F436" s="221"/>
      <c r="G436" s="227"/>
      <c r="H436" s="221"/>
      <c r="I436" s="255"/>
    </row>
    <row r="437" spans="1:9" ht="27" hidden="1">
      <c r="B437" s="219">
        <v>45945</v>
      </c>
      <c r="C437" s="220">
        <v>5072</v>
      </c>
      <c r="D437" s="220">
        <v>99021</v>
      </c>
      <c r="E437" s="224" t="s">
        <v>27</v>
      </c>
      <c r="F437" s="225">
        <v>615072000004700</v>
      </c>
      <c r="G437" s="223">
        <v>42.75</v>
      </c>
      <c r="H437" s="222"/>
      <c r="I437" s="254"/>
    </row>
    <row r="438" spans="1:9" ht="36" hidden="1">
      <c r="B438" s="226"/>
      <c r="C438" s="226"/>
      <c r="D438" s="226"/>
      <c r="E438" s="221" t="s">
        <v>1433</v>
      </c>
      <c r="F438" s="221"/>
      <c r="G438" s="227"/>
      <c r="H438" s="221"/>
      <c r="I438" s="255"/>
    </row>
    <row r="439" spans="1:9" ht="18" hidden="1">
      <c r="B439" s="219">
        <v>45945</v>
      </c>
      <c r="C439" s="220">
        <v>0</v>
      </c>
      <c r="D439" s="220">
        <v>14397</v>
      </c>
      <c r="E439" s="224" t="s">
        <v>57</v>
      </c>
      <c r="F439" s="225">
        <v>151146326489802</v>
      </c>
      <c r="G439" s="223">
        <v>10563.22</v>
      </c>
      <c r="H439" s="222"/>
      <c r="I439" s="254"/>
    </row>
    <row r="440" spans="1:9" ht="48" hidden="1">
      <c r="B440" s="226"/>
      <c r="C440" s="226"/>
      <c r="D440" s="226"/>
      <c r="E440" s="221" t="s">
        <v>1434</v>
      </c>
      <c r="F440" s="221"/>
      <c r="G440" s="227"/>
      <c r="H440" s="221"/>
      <c r="I440" s="255"/>
    </row>
    <row r="441" spans="1:9" ht="18" hidden="1">
      <c r="B441" s="219">
        <v>45945</v>
      </c>
      <c r="C441" s="220">
        <v>0</v>
      </c>
      <c r="D441" s="220">
        <v>14397</v>
      </c>
      <c r="E441" s="224" t="s">
        <v>57</v>
      </c>
      <c r="F441" s="225">
        <v>151351357901352</v>
      </c>
      <c r="G441" s="223">
        <v>83.46</v>
      </c>
      <c r="H441" s="222"/>
      <c r="I441" s="254"/>
    </row>
    <row r="442" spans="1:9" ht="60" hidden="1">
      <c r="B442" s="226"/>
      <c r="C442" s="226"/>
      <c r="D442" s="226"/>
      <c r="E442" s="221" t="s">
        <v>1435</v>
      </c>
      <c r="F442" s="221"/>
      <c r="G442" s="227"/>
      <c r="H442" s="221"/>
      <c r="I442" s="255"/>
    </row>
    <row r="443" spans="1:9" ht="18">
      <c r="A443" s="179" t="s">
        <v>140</v>
      </c>
      <c r="B443" s="219">
        <v>45945</v>
      </c>
      <c r="C443" s="220">
        <v>0</v>
      </c>
      <c r="D443" s="220">
        <v>14138</v>
      </c>
      <c r="E443" s="224" t="s">
        <v>141</v>
      </c>
      <c r="F443" s="225">
        <v>202510140027528</v>
      </c>
      <c r="G443" s="223">
        <v>609.28</v>
      </c>
      <c r="H443" s="222">
        <v>4075</v>
      </c>
      <c r="I443" s="254" t="s">
        <v>419</v>
      </c>
    </row>
    <row r="444" spans="1:9" ht="36" hidden="1">
      <c r="B444" s="226"/>
      <c r="C444" s="226"/>
      <c r="D444" s="226"/>
      <c r="E444" s="221" t="s">
        <v>143</v>
      </c>
      <c r="F444" s="221"/>
      <c r="G444" s="227"/>
      <c r="H444" s="221"/>
      <c r="I444" s="255"/>
    </row>
    <row r="445" spans="1:9" ht="18">
      <c r="A445" s="179" t="s">
        <v>140</v>
      </c>
      <c r="B445" s="219">
        <v>45945</v>
      </c>
      <c r="C445" s="220">
        <v>0</v>
      </c>
      <c r="D445" s="220">
        <v>14138</v>
      </c>
      <c r="E445" s="224" t="s">
        <v>141</v>
      </c>
      <c r="F445" s="225">
        <v>202510140027539</v>
      </c>
      <c r="G445" s="223">
        <v>3030.31</v>
      </c>
      <c r="H445" s="222" t="s">
        <v>1491</v>
      </c>
      <c r="I445" s="254" t="s">
        <v>595</v>
      </c>
    </row>
    <row r="446" spans="1:9" ht="36" hidden="1">
      <c r="B446" s="226"/>
      <c r="C446" s="226"/>
      <c r="D446" s="226"/>
      <c r="E446" s="221" t="s">
        <v>143</v>
      </c>
      <c r="F446" s="221"/>
      <c r="G446" s="227"/>
      <c r="H446" s="221"/>
      <c r="I446" s="255"/>
    </row>
    <row r="447" spans="1:9" ht="18">
      <c r="A447" s="179" t="s">
        <v>140</v>
      </c>
      <c r="B447" s="219">
        <v>45945</v>
      </c>
      <c r="C447" s="220">
        <v>0</v>
      </c>
      <c r="D447" s="220">
        <v>14138</v>
      </c>
      <c r="E447" s="224" t="s">
        <v>141</v>
      </c>
      <c r="F447" s="225">
        <v>202510140027541</v>
      </c>
      <c r="G447" s="223">
        <v>3030.31</v>
      </c>
      <c r="H447" s="222" t="s">
        <v>1492</v>
      </c>
      <c r="I447" s="254" t="s">
        <v>595</v>
      </c>
    </row>
    <row r="448" spans="1:9" ht="36" hidden="1">
      <c r="B448" s="226"/>
      <c r="C448" s="226"/>
      <c r="D448" s="226"/>
      <c r="E448" s="221" t="s">
        <v>143</v>
      </c>
      <c r="F448" s="221"/>
      <c r="G448" s="227"/>
      <c r="H448" s="221"/>
      <c r="I448" s="255"/>
    </row>
    <row r="449" spans="2:9" hidden="1">
      <c r="B449" s="219">
        <v>45945</v>
      </c>
      <c r="C449" s="220">
        <v>0</v>
      </c>
      <c r="D449" s="220">
        <v>13105</v>
      </c>
      <c r="E449" s="224" t="s">
        <v>80</v>
      </c>
      <c r="F449" s="225">
        <v>101501</v>
      </c>
      <c r="G449" s="228">
        <v>777.13</v>
      </c>
      <c r="H449" s="222"/>
      <c r="I449" s="254"/>
    </row>
    <row r="450" spans="2:9" ht="36" hidden="1">
      <c r="B450" s="226"/>
      <c r="C450" s="226"/>
      <c r="D450" s="226"/>
      <c r="E450" s="221" t="s">
        <v>81</v>
      </c>
      <c r="F450" s="221"/>
      <c r="G450" s="227"/>
      <c r="H450" s="221"/>
      <c r="I450" s="255"/>
    </row>
    <row r="451" spans="2:9" hidden="1">
      <c r="B451" s="219">
        <v>45945</v>
      </c>
      <c r="C451" s="220">
        <v>0</v>
      </c>
      <c r="D451" s="220">
        <v>13105</v>
      </c>
      <c r="E451" s="224" t="s">
        <v>80</v>
      </c>
      <c r="F451" s="225">
        <v>101502</v>
      </c>
      <c r="G451" s="228">
        <v>1040.3399999999999</v>
      </c>
      <c r="H451" s="222"/>
      <c r="I451" s="254"/>
    </row>
    <row r="452" spans="2:9" ht="36" hidden="1">
      <c r="B452" s="226"/>
      <c r="C452" s="226"/>
      <c r="D452" s="226"/>
      <c r="E452" s="221" t="s">
        <v>81</v>
      </c>
      <c r="F452" s="221"/>
      <c r="G452" s="227"/>
      <c r="H452" s="221"/>
      <c r="I452" s="255"/>
    </row>
    <row r="453" spans="2:9" ht="18" hidden="1">
      <c r="B453" s="219">
        <v>45945</v>
      </c>
      <c r="C453" s="220">
        <v>0</v>
      </c>
      <c r="D453" s="220">
        <v>13105</v>
      </c>
      <c r="E453" s="224" t="s">
        <v>31</v>
      </c>
      <c r="F453" s="225">
        <v>101503</v>
      </c>
      <c r="G453" s="228">
        <v>81.95</v>
      </c>
      <c r="H453" s="222"/>
      <c r="I453" s="254"/>
    </row>
    <row r="454" spans="2:9" ht="48" hidden="1">
      <c r="B454" s="226"/>
      <c r="C454" s="226"/>
      <c r="D454" s="226"/>
      <c r="E454" s="221" t="s">
        <v>185</v>
      </c>
      <c r="F454" s="221"/>
      <c r="G454" s="227"/>
      <c r="H454" s="221"/>
      <c r="I454" s="255"/>
    </row>
    <row r="455" spans="2:9" ht="18" hidden="1">
      <c r="B455" s="219">
        <v>45945</v>
      </c>
      <c r="C455" s="220">
        <v>0</v>
      </c>
      <c r="D455" s="220">
        <v>13105</v>
      </c>
      <c r="E455" s="224" t="s">
        <v>31</v>
      </c>
      <c r="F455" s="225">
        <v>101504</v>
      </c>
      <c r="G455" s="228">
        <v>199.9</v>
      </c>
      <c r="H455" s="222"/>
      <c r="I455" s="254"/>
    </row>
    <row r="456" spans="2:9" hidden="1">
      <c r="B456" s="226"/>
      <c r="C456" s="226"/>
      <c r="D456" s="226"/>
      <c r="E456" s="221" t="s">
        <v>266</v>
      </c>
      <c r="F456" s="221"/>
      <c r="G456" s="227"/>
      <c r="H456" s="221"/>
      <c r="I456" s="255"/>
    </row>
    <row r="457" spans="2:9" ht="18" hidden="1">
      <c r="B457" s="219">
        <v>45945</v>
      </c>
      <c r="C457" s="220">
        <v>0</v>
      </c>
      <c r="D457" s="220">
        <v>13105</v>
      </c>
      <c r="E457" s="224" t="s">
        <v>31</v>
      </c>
      <c r="F457" s="225">
        <v>101505</v>
      </c>
      <c r="G457" s="228">
        <v>3842.17</v>
      </c>
      <c r="H457" s="222"/>
      <c r="I457" s="254"/>
    </row>
    <row r="458" spans="2:9" ht="48" hidden="1">
      <c r="B458" s="226"/>
      <c r="C458" s="226"/>
      <c r="D458" s="226"/>
      <c r="E458" s="221" t="s">
        <v>37</v>
      </c>
      <c r="F458" s="221"/>
      <c r="G458" s="227"/>
      <c r="H458" s="221"/>
      <c r="I458" s="255"/>
    </row>
    <row r="459" spans="2:9" ht="18" hidden="1">
      <c r="B459" s="219">
        <v>45945</v>
      </c>
      <c r="C459" s="220">
        <v>0</v>
      </c>
      <c r="D459" s="220">
        <v>13105</v>
      </c>
      <c r="E459" s="224" t="s">
        <v>31</v>
      </c>
      <c r="F459" s="225">
        <v>101506</v>
      </c>
      <c r="G459" s="228">
        <v>583.79</v>
      </c>
      <c r="H459" s="222"/>
      <c r="I459" s="254"/>
    </row>
    <row r="460" spans="2:9" ht="48" hidden="1">
      <c r="B460" s="226"/>
      <c r="C460" s="226"/>
      <c r="D460" s="226"/>
      <c r="E460" s="221" t="s">
        <v>1436</v>
      </c>
      <c r="F460" s="221"/>
      <c r="G460" s="227"/>
      <c r="H460" s="221"/>
      <c r="I460" s="255"/>
    </row>
    <row r="461" spans="2:9" ht="18" hidden="1">
      <c r="B461" s="219">
        <v>45945</v>
      </c>
      <c r="C461" s="220">
        <v>0</v>
      </c>
      <c r="D461" s="220">
        <v>13105</v>
      </c>
      <c r="E461" s="224" t="s">
        <v>31</v>
      </c>
      <c r="F461" s="225">
        <v>101507</v>
      </c>
      <c r="G461" s="228">
        <v>2277</v>
      </c>
      <c r="H461" s="222"/>
      <c r="I461" s="254"/>
    </row>
    <row r="462" spans="2:9" ht="48" hidden="1">
      <c r="B462" s="226"/>
      <c r="C462" s="226"/>
      <c r="D462" s="226"/>
      <c r="E462" s="221" t="s">
        <v>1437</v>
      </c>
      <c r="F462" s="221"/>
      <c r="G462" s="227"/>
      <c r="H462" s="221"/>
      <c r="I462" s="255"/>
    </row>
    <row r="463" spans="2:9" ht="18" hidden="1">
      <c r="B463" s="219">
        <v>45945</v>
      </c>
      <c r="C463" s="220">
        <v>0</v>
      </c>
      <c r="D463" s="220">
        <v>13105</v>
      </c>
      <c r="E463" s="224" t="s">
        <v>31</v>
      </c>
      <c r="F463" s="225">
        <v>101508</v>
      </c>
      <c r="G463" s="228">
        <v>910.36</v>
      </c>
      <c r="H463" s="222"/>
      <c r="I463" s="254"/>
    </row>
    <row r="464" spans="2:9" ht="60" hidden="1">
      <c r="B464" s="226"/>
      <c r="C464" s="226"/>
      <c r="D464" s="226"/>
      <c r="E464" s="221" t="s">
        <v>455</v>
      </c>
      <c r="F464" s="221"/>
      <c r="G464" s="227"/>
      <c r="H464" s="221"/>
      <c r="I464" s="255"/>
    </row>
    <row r="465" spans="2:9" ht="18" hidden="1">
      <c r="B465" s="219">
        <v>45945</v>
      </c>
      <c r="C465" s="220">
        <v>0</v>
      </c>
      <c r="D465" s="220">
        <v>13105</v>
      </c>
      <c r="E465" s="224" t="s">
        <v>31</v>
      </c>
      <c r="F465" s="225">
        <v>101509</v>
      </c>
      <c r="G465" s="228">
        <v>1955.65</v>
      </c>
      <c r="H465" s="222"/>
      <c r="I465" s="254"/>
    </row>
    <row r="466" spans="2:9" ht="24" hidden="1">
      <c r="B466" s="226"/>
      <c r="C466" s="226"/>
      <c r="D466" s="226"/>
      <c r="E466" s="221" t="s">
        <v>440</v>
      </c>
      <c r="F466" s="221"/>
      <c r="G466" s="227"/>
      <c r="H466" s="221"/>
      <c r="I466" s="255"/>
    </row>
    <row r="467" spans="2:9" ht="18" hidden="1">
      <c r="B467" s="219">
        <v>45945</v>
      </c>
      <c r="C467" s="220">
        <v>0</v>
      </c>
      <c r="D467" s="220">
        <v>13105</v>
      </c>
      <c r="E467" s="224" t="s">
        <v>31</v>
      </c>
      <c r="F467" s="225">
        <v>101510</v>
      </c>
      <c r="G467" s="228">
        <v>313.14</v>
      </c>
      <c r="H467" s="222"/>
      <c r="I467" s="254"/>
    </row>
    <row r="468" spans="2:9" ht="48" hidden="1">
      <c r="B468" s="226"/>
      <c r="C468" s="226"/>
      <c r="D468" s="226"/>
      <c r="E468" s="221" t="s">
        <v>340</v>
      </c>
      <c r="F468" s="221"/>
      <c r="G468" s="227"/>
      <c r="H468" s="221"/>
      <c r="I468" s="255"/>
    </row>
    <row r="469" spans="2:9" ht="18" hidden="1">
      <c r="B469" s="219">
        <v>45945</v>
      </c>
      <c r="C469" s="220">
        <v>0</v>
      </c>
      <c r="D469" s="220">
        <v>13105</v>
      </c>
      <c r="E469" s="224" t="s">
        <v>31</v>
      </c>
      <c r="F469" s="225">
        <v>101511</v>
      </c>
      <c r="G469" s="228">
        <v>247.19</v>
      </c>
      <c r="H469" s="222"/>
      <c r="I469" s="254"/>
    </row>
    <row r="470" spans="2:9" ht="36" hidden="1">
      <c r="B470" s="226"/>
      <c r="C470" s="226"/>
      <c r="D470" s="226"/>
      <c r="E470" s="221" t="s">
        <v>111</v>
      </c>
      <c r="F470" s="221"/>
      <c r="G470" s="227"/>
      <c r="H470" s="221"/>
      <c r="I470" s="255"/>
    </row>
    <row r="471" spans="2:9" ht="18" hidden="1">
      <c r="B471" s="219">
        <v>45945</v>
      </c>
      <c r="C471" s="220">
        <v>0</v>
      </c>
      <c r="D471" s="220">
        <v>13105</v>
      </c>
      <c r="E471" s="224" t="s">
        <v>31</v>
      </c>
      <c r="F471" s="225">
        <v>101512</v>
      </c>
      <c r="G471" s="228">
        <v>203.13</v>
      </c>
      <c r="H471" s="222"/>
      <c r="I471" s="254"/>
    </row>
    <row r="472" spans="2:9" ht="36" hidden="1">
      <c r="B472" s="226"/>
      <c r="C472" s="226"/>
      <c r="D472" s="226"/>
      <c r="E472" s="221" t="s">
        <v>111</v>
      </c>
      <c r="F472" s="221"/>
      <c r="G472" s="227"/>
      <c r="H472" s="221"/>
      <c r="I472" s="255"/>
    </row>
    <row r="473" spans="2:9" ht="18" hidden="1">
      <c r="B473" s="219">
        <v>45945</v>
      </c>
      <c r="C473" s="220">
        <v>0</v>
      </c>
      <c r="D473" s="220">
        <v>13105</v>
      </c>
      <c r="E473" s="224" t="s">
        <v>31</v>
      </c>
      <c r="F473" s="225">
        <v>101513</v>
      </c>
      <c r="G473" s="228">
        <v>338.77</v>
      </c>
      <c r="H473" s="222"/>
      <c r="I473" s="254"/>
    </row>
    <row r="474" spans="2:9" ht="60" hidden="1">
      <c r="B474" s="226"/>
      <c r="C474" s="226"/>
      <c r="D474" s="226"/>
      <c r="E474" s="221" t="s">
        <v>45</v>
      </c>
      <c r="F474" s="221"/>
      <c r="G474" s="227"/>
      <c r="H474" s="221"/>
      <c r="I474" s="255"/>
    </row>
    <row r="475" spans="2:9" ht="18" hidden="1">
      <c r="B475" s="219">
        <v>45945</v>
      </c>
      <c r="C475" s="220">
        <v>0</v>
      </c>
      <c r="D475" s="220">
        <v>13105</v>
      </c>
      <c r="E475" s="224" t="s">
        <v>31</v>
      </c>
      <c r="F475" s="225">
        <v>101514</v>
      </c>
      <c r="G475" s="228">
        <v>537.49</v>
      </c>
      <c r="H475" s="222"/>
      <c r="I475" s="254"/>
    </row>
    <row r="476" spans="2:9" ht="60" hidden="1">
      <c r="B476" s="226"/>
      <c r="C476" s="226"/>
      <c r="D476" s="226"/>
      <c r="E476" s="221" t="s">
        <v>45</v>
      </c>
      <c r="F476" s="221"/>
      <c r="G476" s="227"/>
      <c r="H476" s="221"/>
      <c r="I476" s="255"/>
    </row>
    <row r="477" spans="2:9" ht="18" hidden="1">
      <c r="B477" s="219">
        <v>45945</v>
      </c>
      <c r="C477" s="220">
        <v>0</v>
      </c>
      <c r="D477" s="220">
        <v>13105</v>
      </c>
      <c r="E477" s="224" t="s">
        <v>31</v>
      </c>
      <c r="F477" s="225">
        <v>101515</v>
      </c>
      <c r="G477" s="228">
        <v>423.34</v>
      </c>
      <c r="H477" s="222"/>
      <c r="I477" s="254"/>
    </row>
    <row r="478" spans="2:9" ht="60" hidden="1">
      <c r="B478" s="226"/>
      <c r="C478" s="226"/>
      <c r="D478" s="226"/>
      <c r="E478" s="221" t="s">
        <v>45</v>
      </c>
      <c r="F478" s="221"/>
      <c r="G478" s="227"/>
      <c r="H478" s="221"/>
      <c r="I478" s="255"/>
    </row>
    <row r="479" spans="2:9" ht="18" hidden="1">
      <c r="B479" s="219">
        <v>45945</v>
      </c>
      <c r="C479" s="220">
        <v>0</v>
      </c>
      <c r="D479" s="220">
        <v>13105</v>
      </c>
      <c r="E479" s="224" t="s">
        <v>31</v>
      </c>
      <c r="F479" s="225">
        <v>101516</v>
      </c>
      <c r="G479" s="228">
        <v>290.23</v>
      </c>
      <c r="H479" s="222"/>
      <c r="I479" s="254"/>
    </row>
    <row r="480" spans="2:9" ht="60" hidden="1">
      <c r="B480" s="226"/>
      <c r="C480" s="226"/>
      <c r="D480" s="226"/>
      <c r="E480" s="221" t="s">
        <v>45</v>
      </c>
      <c r="F480" s="221"/>
      <c r="G480" s="227"/>
      <c r="H480" s="221"/>
      <c r="I480" s="255"/>
    </row>
    <row r="481" spans="2:9" ht="18" hidden="1">
      <c r="B481" s="219">
        <v>45945</v>
      </c>
      <c r="C481" s="220">
        <v>0</v>
      </c>
      <c r="D481" s="220">
        <v>13105</v>
      </c>
      <c r="E481" s="224" t="s">
        <v>31</v>
      </c>
      <c r="F481" s="225">
        <v>101517</v>
      </c>
      <c r="G481" s="228">
        <v>365.55</v>
      </c>
      <c r="H481" s="222"/>
      <c r="I481" s="254"/>
    </row>
    <row r="482" spans="2:9" ht="60" hidden="1">
      <c r="B482" s="226"/>
      <c r="C482" s="226"/>
      <c r="D482" s="226"/>
      <c r="E482" s="221" t="s">
        <v>45</v>
      </c>
      <c r="F482" s="221"/>
      <c r="G482" s="227"/>
      <c r="H482" s="221"/>
      <c r="I482" s="255"/>
    </row>
    <row r="483" spans="2:9" ht="18" hidden="1">
      <c r="B483" s="219">
        <v>45945</v>
      </c>
      <c r="C483" s="220">
        <v>0</v>
      </c>
      <c r="D483" s="220">
        <v>13105</v>
      </c>
      <c r="E483" s="224" t="s">
        <v>31</v>
      </c>
      <c r="F483" s="225">
        <v>101518</v>
      </c>
      <c r="G483" s="228">
        <v>275.39</v>
      </c>
      <c r="H483" s="222"/>
      <c r="I483" s="254"/>
    </row>
    <row r="484" spans="2:9" ht="60" hidden="1">
      <c r="B484" s="226"/>
      <c r="C484" s="226"/>
      <c r="D484" s="226"/>
      <c r="E484" s="221" t="s">
        <v>45</v>
      </c>
      <c r="F484" s="221"/>
      <c r="G484" s="227"/>
      <c r="H484" s="221"/>
      <c r="I484" s="255"/>
    </row>
    <row r="485" spans="2:9" ht="18" hidden="1">
      <c r="B485" s="219">
        <v>45945</v>
      </c>
      <c r="C485" s="220">
        <v>0</v>
      </c>
      <c r="D485" s="220">
        <v>13105</v>
      </c>
      <c r="E485" s="224" t="s">
        <v>31</v>
      </c>
      <c r="F485" s="225">
        <v>101519</v>
      </c>
      <c r="G485" s="228">
        <v>767.47</v>
      </c>
      <c r="H485" s="222"/>
      <c r="I485" s="254"/>
    </row>
    <row r="486" spans="2:9" ht="60" hidden="1">
      <c r="B486" s="226"/>
      <c r="C486" s="226"/>
      <c r="D486" s="226"/>
      <c r="E486" s="221" t="s">
        <v>46</v>
      </c>
      <c r="F486" s="221"/>
      <c r="G486" s="227"/>
      <c r="H486" s="221"/>
      <c r="I486" s="255"/>
    </row>
    <row r="487" spans="2:9" ht="18" hidden="1">
      <c r="B487" s="219">
        <v>45945</v>
      </c>
      <c r="C487" s="220">
        <v>0</v>
      </c>
      <c r="D487" s="220">
        <v>13105</v>
      </c>
      <c r="E487" s="224" t="s">
        <v>31</v>
      </c>
      <c r="F487" s="225">
        <v>101520</v>
      </c>
      <c r="G487" s="228">
        <v>849.98</v>
      </c>
      <c r="H487" s="222"/>
      <c r="I487" s="254"/>
    </row>
    <row r="488" spans="2:9" ht="60" hidden="1">
      <c r="B488" s="226"/>
      <c r="C488" s="226"/>
      <c r="D488" s="226"/>
      <c r="E488" s="221" t="s">
        <v>46</v>
      </c>
      <c r="F488" s="221"/>
      <c r="G488" s="227"/>
      <c r="H488" s="221"/>
      <c r="I488" s="255"/>
    </row>
    <row r="489" spans="2:9" ht="18" hidden="1">
      <c r="B489" s="219">
        <v>45945</v>
      </c>
      <c r="C489" s="220">
        <v>0</v>
      </c>
      <c r="D489" s="220">
        <v>13105</v>
      </c>
      <c r="E489" s="224" t="s">
        <v>31</v>
      </c>
      <c r="F489" s="225">
        <v>101521</v>
      </c>
      <c r="G489" s="228">
        <v>2868.73</v>
      </c>
      <c r="H489" s="222"/>
      <c r="I489" s="254"/>
    </row>
    <row r="490" spans="2:9" hidden="1">
      <c r="B490" s="226"/>
      <c r="C490" s="226"/>
      <c r="D490" s="226"/>
      <c r="E490" s="221" t="s">
        <v>109</v>
      </c>
      <c r="F490" s="221"/>
      <c r="G490" s="227"/>
      <c r="H490" s="221"/>
      <c r="I490" s="255"/>
    </row>
    <row r="491" spans="2:9" ht="18" hidden="1">
      <c r="B491" s="219">
        <v>45945</v>
      </c>
      <c r="C491" s="220">
        <v>0</v>
      </c>
      <c r="D491" s="220">
        <v>13105</v>
      </c>
      <c r="E491" s="224" t="s">
        <v>31</v>
      </c>
      <c r="F491" s="225">
        <v>101522</v>
      </c>
      <c r="G491" s="228">
        <v>271.91000000000003</v>
      </c>
      <c r="H491" s="222"/>
      <c r="I491" s="254"/>
    </row>
    <row r="492" spans="2:9" ht="48" hidden="1">
      <c r="B492" s="226"/>
      <c r="C492" s="226"/>
      <c r="D492" s="226"/>
      <c r="E492" s="221" t="s">
        <v>47</v>
      </c>
      <c r="F492" s="221"/>
      <c r="G492" s="227"/>
      <c r="H492" s="221"/>
      <c r="I492" s="255"/>
    </row>
    <row r="493" spans="2:9" ht="18" hidden="1">
      <c r="B493" s="219">
        <v>45945</v>
      </c>
      <c r="C493" s="220">
        <v>0</v>
      </c>
      <c r="D493" s="220">
        <v>13105</v>
      </c>
      <c r="E493" s="224" t="s">
        <v>31</v>
      </c>
      <c r="F493" s="225">
        <v>101523</v>
      </c>
      <c r="G493" s="228">
        <v>36.340000000000003</v>
      </c>
      <c r="H493" s="222"/>
      <c r="I493" s="254"/>
    </row>
    <row r="494" spans="2:9" ht="36" hidden="1">
      <c r="B494" s="226"/>
      <c r="C494" s="226"/>
      <c r="D494" s="226"/>
      <c r="E494" s="221" t="s">
        <v>56</v>
      </c>
      <c r="F494" s="221"/>
      <c r="G494" s="227"/>
      <c r="H494" s="221"/>
      <c r="I494" s="255"/>
    </row>
    <row r="495" spans="2:9" ht="18" hidden="1">
      <c r="B495" s="219">
        <v>45945</v>
      </c>
      <c r="C495" s="220">
        <v>0</v>
      </c>
      <c r="D495" s="220">
        <v>13105</v>
      </c>
      <c r="E495" s="224" t="s">
        <v>31</v>
      </c>
      <c r="F495" s="225">
        <v>101524</v>
      </c>
      <c r="G495" s="228">
        <v>121.19</v>
      </c>
      <c r="H495" s="222"/>
      <c r="I495" s="254"/>
    </row>
    <row r="496" spans="2:9" ht="36" hidden="1">
      <c r="B496" s="226"/>
      <c r="C496" s="226"/>
      <c r="D496" s="226"/>
      <c r="E496" s="221" t="s">
        <v>56</v>
      </c>
      <c r="F496" s="221"/>
      <c r="G496" s="227"/>
      <c r="H496" s="221"/>
      <c r="I496" s="255"/>
    </row>
    <row r="497" spans="1:9" ht="18" hidden="1">
      <c r="B497" s="219">
        <v>45945</v>
      </c>
      <c r="C497" s="220">
        <v>0</v>
      </c>
      <c r="D497" s="220">
        <v>0</v>
      </c>
      <c r="E497" s="224" t="s">
        <v>52</v>
      </c>
      <c r="F497" s="225">
        <v>9903</v>
      </c>
      <c r="G497" s="223">
        <v>2005.7</v>
      </c>
      <c r="H497" s="222"/>
      <c r="I497" s="254"/>
    </row>
    <row r="498" spans="1:9" ht="24" hidden="1">
      <c r="B498" s="226"/>
      <c r="C498" s="226"/>
      <c r="D498" s="226"/>
      <c r="E498" s="221" t="s">
        <v>53</v>
      </c>
      <c r="F498" s="221"/>
      <c r="G498" s="227"/>
      <c r="H498" s="221"/>
      <c r="I498" s="255"/>
    </row>
    <row r="499" spans="1:9" ht="27" hidden="1">
      <c r="B499" s="219">
        <v>45946</v>
      </c>
      <c r="C499" s="220">
        <v>2256</v>
      </c>
      <c r="D499" s="220">
        <v>99021</v>
      </c>
      <c r="E499" s="224" t="s">
        <v>27</v>
      </c>
      <c r="F499" s="225">
        <v>612256000106555</v>
      </c>
      <c r="G499" s="223">
        <v>467.46</v>
      </c>
      <c r="H499" s="222"/>
      <c r="I499" s="254"/>
    </row>
    <row r="500" spans="1:9" ht="48" hidden="1">
      <c r="B500" s="226"/>
      <c r="C500" s="226"/>
      <c r="D500" s="226"/>
      <c r="E500" s="221" t="s">
        <v>1438</v>
      </c>
      <c r="F500" s="221"/>
      <c r="G500" s="227"/>
      <c r="H500" s="221"/>
      <c r="I500" s="255"/>
    </row>
    <row r="501" spans="1:9" ht="27" hidden="1">
      <c r="B501" s="219">
        <v>45946</v>
      </c>
      <c r="C501" s="220">
        <v>2256</v>
      </c>
      <c r="D501" s="220">
        <v>99021</v>
      </c>
      <c r="E501" s="224" t="s">
        <v>27</v>
      </c>
      <c r="F501" s="225">
        <v>612256000106555</v>
      </c>
      <c r="G501" s="223">
        <v>357</v>
      </c>
      <c r="H501" s="222"/>
      <c r="I501" s="254"/>
    </row>
    <row r="502" spans="1:9" ht="48" hidden="1">
      <c r="B502" s="226"/>
      <c r="C502" s="226"/>
      <c r="D502" s="226"/>
      <c r="E502" s="221" t="s">
        <v>1439</v>
      </c>
      <c r="F502" s="221"/>
      <c r="G502" s="227"/>
      <c r="H502" s="221"/>
      <c r="I502" s="255"/>
    </row>
    <row r="503" spans="1:9" ht="18">
      <c r="A503" s="179" t="s">
        <v>140</v>
      </c>
      <c r="B503" s="219">
        <v>45946</v>
      </c>
      <c r="C503" s="220">
        <v>0</v>
      </c>
      <c r="D503" s="220">
        <v>14138</v>
      </c>
      <c r="E503" s="224" t="s">
        <v>141</v>
      </c>
      <c r="F503" s="225">
        <v>202510150000095</v>
      </c>
      <c r="G503" s="223">
        <v>550.83000000000004</v>
      </c>
      <c r="H503" s="222">
        <v>3431</v>
      </c>
      <c r="I503" s="254" t="s">
        <v>428</v>
      </c>
    </row>
    <row r="504" spans="1:9" ht="36" hidden="1">
      <c r="B504" s="226"/>
      <c r="C504" s="226"/>
      <c r="D504" s="226"/>
      <c r="E504" s="221" t="s">
        <v>143</v>
      </c>
      <c r="F504" s="221"/>
      <c r="G504" s="227"/>
      <c r="H504" s="221"/>
      <c r="I504" s="255"/>
    </row>
    <row r="505" spans="1:9" ht="18">
      <c r="A505" s="173" t="s">
        <v>423</v>
      </c>
      <c r="B505" s="219">
        <v>45946</v>
      </c>
      <c r="C505" s="220">
        <v>0</v>
      </c>
      <c r="D505" s="220">
        <v>14138</v>
      </c>
      <c r="E505" s="224" t="s">
        <v>141</v>
      </c>
      <c r="F505" s="225">
        <v>202510150000102</v>
      </c>
      <c r="G505" s="223">
        <v>457.94</v>
      </c>
      <c r="H505" s="222" t="s">
        <v>1493</v>
      </c>
      <c r="I505" s="254"/>
    </row>
    <row r="506" spans="1:9" ht="36" hidden="1">
      <c r="B506" s="226"/>
      <c r="C506" s="226"/>
      <c r="D506" s="226"/>
      <c r="E506" s="221" t="s">
        <v>143</v>
      </c>
      <c r="F506" s="221"/>
      <c r="G506" s="227"/>
      <c r="H506" s="221"/>
      <c r="I506" s="255"/>
    </row>
    <row r="507" spans="1:9" ht="18">
      <c r="A507" s="179" t="s">
        <v>140</v>
      </c>
      <c r="B507" s="219">
        <v>45946</v>
      </c>
      <c r="C507" s="220">
        <v>0</v>
      </c>
      <c r="D507" s="220">
        <v>14138</v>
      </c>
      <c r="E507" s="224" t="s">
        <v>141</v>
      </c>
      <c r="F507" s="225">
        <v>202510150000103</v>
      </c>
      <c r="G507" s="223">
        <v>936.23</v>
      </c>
      <c r="H507" s="222">
        <v>3047</v>
      </c>
      <c r="I507" s="254" t="s">
        <v>419</v>
      </c>
    </row>
    <row r="508" spans="1:9" ht="36" hidden="1">
      <c r="B508" s="226"/>
      <c r="C508" s="226"/>
      <c r="D508" s="226"/>
      <c r="E508" s="221" t="s">
        <v>143</v>
      </c>
      <c r="F508" s="221"/>
      <c r="G508" s="227"/>
      <c r="H508" s="221"/>
      <c r="I508" s="255"/>
    </row>
    <row r="509" spans="1:9" ht="18">
      <c r="A509" s="179" t="s">
        <v>140</v>
      </c>
      <c r="B509" s="219">
        <v>45946</v>
      </c>
      <c r="C509" s="220">
        <v>0</v>
      </c>
      <c r="D509" s="220">
        <v>14138</v>
      </c>
      <c r="E509" s="224" t="s">
        <v>141</v>
      </c>
      <c r="F509" s="225">
        <v>202510150000104</v>
      </c>
      <c r="G509" s="223">
        <v>2961.48</v>
      </c>
      <c r="H509" s="222">
        <v>2901</v>
      </c>
      <c r="I509" s="254" t="s">
        <v>428</v>
      </c>
    </row>
    <row r="510" spans="1:9" ht="36" hidden="1">
      <c r="B510" s="226"/>
      <c r="C510" s="226"/>
      <c r="D510" s="226"/>
      <c r="E510" s="221" t="s">
        <v>143</v>
      </c>
      <c r="F510" s="221"/>
      <c r="G510" s="227"/>
      <c r="H510" s="221"/>
      <c r="I510" s="255"/>
    </row>
    <row r="511" spans="1:9" ht="18">
      <c r="A511" s="179" t="s">
        <v>140</v>
      </c>
      <c r="B511" s="219">
        <v>45946</v>
      </c>
      <c r="C511" s="220">
        <v>0</v>
      </c>
      <c r="D511" s="220">
        <v>14138</v>
      </c>
      <c r="E511" s="224" t="s">
        <v>141</v>
      </c>
      <c r="F511" s="225">
        <v>202510150000105</v>
      </c>
      <c r="G511" s="223">
        <v>1668.08</v>
      </c>
      <c r="H511" s="222">
        <v>2849</v>
      </c>
      <c r="I511" s="254" t="s">
        <v>428</v>
      </c>
    </row>
    <row r="512" spans="1:9" ht="36" hidden="1">
      <c r="B512" s="226"/>
      <c r="C512" s="226"/>
      <c r="D512" s="226"/>
      <c r="E512" s="221" t="s">
        <v>143</v>
      </c>
      <c r="F512" s="221"/>
      <c r="G512" s="227"/>
      <c r="H512" s="221"/>
      <c r="I512" s="255"/>
    </row>
    <row r="513" spans="1:9" ht="18">
      <c r="A513" s="179" t="s">
        <v>140</v>
      </c>
      <c r="B513" s="219">
        <v>45946</v>
      </c>
      <c r="C513" s="220">
        <v>0</v>
      </c>
      <c r="D513" s="220">
        <v>14138</v>
      </c>
      <c r="E513" s="224" t="s">
        <v>141</v>
      </c>
      <c r="F513" s="225">
        <v>202510150000106</v>
      </c>
      <c r="G513" s="223">
        <v>1300.6199999999999</v>
      </c>
      <c r="H513" s="222">
        <v>3125</v>
      </c>
      <c r="I513" s="254" t="s">
        <v>428</v>
      </c>
    </row>
    <row r="514" spans="1:9" ht="36" hidden="1">
      <c r="B514" s="226"/>
      <c r="C514" s="226"/>
      <c r="D514" s="226"/>
      <c r="E514" s="221" t="s">
        <v>143</v>
      </c>
      <c r="F514" s="221"/>
      <c r="G514" s="227"/>
      <c r="H514" s="221"/>
      <c r="I514" s="255"/>
    </row>
    <row r="515" spans="1:9" ht="18">
      <c r="A515" s="179" t="s">
        <v>140</v>
      </c>
      <c r="B515" s="219">
        <v>45946</v>
      </c>
      <c r="C515" s="220">
        <v>0</v>
      </c>
      <c r="D515" s="220">
        <v>14138</v>
      </c>
      <c r="E515" s="224" t="s">
        <v>141</v>
      </c>
      <c r="F515" s="225">
        <v>202510150000107</v>
      </c>
      <c r="G515" s="223">
        <v>2715.28</v>
      </c>
      <c r="H515" s="222" t="s">
        <v>1494</v>
      </c>
      <c r="I515" s="254" t="s">
        <v>428</v>
      </c>
    </row>
    <row r="516" spans="1:9" ht="36" hidden="1">
      <c r="B516" s="226"/>
      <c r="C516" s="226"/>
      <c r="D516" s="226"/>
      <c r="E516" s="221" t="s">
        <v>143</v>
      </c>
      <c r="F516" s="221"/>
      <c r="G516" s="227"/>
      <c r="H516" s="221"/>
      <c r="I516" s="255"/>
    </row>
    <row r="517" spans="1:9" ht="18">
      <c r="A517" s="179" t="s">
        <v>140</v>
      </c>
      <c r="B517" s="219">
        <v>45946</v>
      </c>
      <c r="C517" s="220">
        <v>0</v>
      </c>
      <c r="D517" s="220">
        <v>14138</v>
      </c>
      <c r="E517" s="224" t="s">
        <v>141</v>
      </c>
      <c r="F517" s="225">
        <v>202510150000108</v>
      </c>
      <c r="G517" s="223">
        <v>1181.24</v>
      </c>
      <c r="H517" s="222">
        <v>2596</v>
      </c>
      <c r="I517" s="254" t="s">
        <v>428</v>
      </c>
    </row>
    <row r="518" spans="1:9" ht="36" hidden="1">
      <c r="B518" s="226"/>
      <c r="C518" s="226"/>
      <c r="D518" s="226"/>
      <c r="E518" s="221" t="s">
        <v>143</v>
      </c>
      <c r="F518" s="221"/>
      <c r="G518" s="227"/>
      <c r="H518" s="221"/>
      <c r="I518" s="255"/>
    </row>
    <row r="519" spans="1:9" ht="18">
      <c r="A519" s="179" t="s">
        <v>140</v>
      </c>
      <c r="B519" s="219">
        <v>45946</v>
      </c>
      <c r="C519" s="220">
        <v>0</v>
      </c>
      <c r="D519" s="220">
        <v>14138</v>
      </c>
      <c r="E519" s="224" t="s">
        <v>141</v>
      </c>
      <c r="F519" s="225">
        <v>202510150000109</v>
      </c>
      <c r="G519" s="223">
        <v>2671.3</v>
      </c>
      <c r="H519" s="222" t="s">
        <v>1495</v>
      </c>
      <c r="I519" s="254" t="s">
        <v>428</v>
      </c>
    </row>
    <row r="520" spans="1:9" ht="36" hidden="1">
      <c r="B520" s="226"/>
      <c r="C520" s="226"/>
      <c r="D520" s="226"/>
      <c r="E520" s="221" t="s">
        <v>143</v>
      </c>
      <c r="F520" s="221"/>
      <c r="G520" s="227"/>
      <c r="H520" s="221"/>
      <c r="I520" s="255"/>
    </row>
    <row r="521" spans="1:9" ht="18">
      <c r="A521" s="179" t="s">
        <v>140</v>
      </c>
      <c r="B521" s="219">
        <v>45946</v>
      </c>
      <c r="C521" s="220">
        <v>0</v>
      </c>
      <c r="D521" s="220">
        <v>14138</v>
      </c>
      <c r="E521" s="224" t="s">
        <v>141</v>
      </c>
      <c r="F521" s="225">
        <v>202510150000110</v>
      </c>
      <c r="G521" s="223">
        <v>1763.48</v>
      </c>
      <c r="H521" s="222">
        <v>3278</v>
      </c>
      <c r="I521" s="254" t="s">
        <v>428</v>
      </c>
    </row>
    <row r="522" spans="1:9" ht="36" hidden="1">
      <c r="B522" s="226"/>
      <c r="C522" s="226"/>
      <c r="D522" s="226"/>
      <c r="E522" s="221" t="s">
        <v>143</v>
      </c>
      <c r="F522" s="221"/>
      <c r="G522" s="227"/>
      <c r="H522" s="221"/>
      <c r="I522" s="255"/>
    </row>
    <row r="523" spans="1:9" ht="18">
      <c r="A523" s="179" t="s">
        <v>140</v>
      </c>
      <c r="B523" s="219">
        <v>45946</v>
      </c>
      <c r="C523" s="220">
        <v>0</v>
      </c>
      <c r="D523" s="220">
        <v>14138</v>
      </c>
      <c r="E523" s="224" t="s">
        <v>141</v>
      </c>
      <c r="F523" s="225">
        <v>202510150000111</v>
      </c>
      <c r="G523" s="223">
        <v>1668.08</v>
      </c>
      <c r="H523" s="222">
        <v>3235</v>
      </c>
      <c r="I523" s="254" t="s">
        <v>428</v>
      </c>
    </row>
    <row r="524" spans="1:9" ht="36" hidden="1">
      <c r="B524" s="226"/>
      <c r="C524" s="226"/>
      <c r="D524" s="226"/>
      <c r="E524" s="221" t="s">
        <v>143</v>
      </c>
      <c r="F524" s="221"/>
      <c r="G524" s="227"/>
      <c r="H524" s="221"/>
      <c r="I524" s="255"/>
    </row>
    <row r="525" spans="1:9" ht="18">
      <c r="A525" s="179" t="s">
        <v>140</v>
      </c>
      <c r="B525" s="219">
        <v>45946</v>
      </c>
      <c r="C525" s="220">
        <v>0</v>
      </c>
      <c r="D525" s="220">
        <v>14138</v>
      </c>
      <c r="E525" s="224" t="s">
        <v>141</v>
      </c>
      <c r="F525" s="225">
        <v>202510150000112</v>
      </c>
      <c r="G525" s="223">
        <v>1232.8399999999999</v>
      </c>
      <c r="H525" s="222">
        <v>3248</v>
      </c>
      <c r="I525" s="254" t="s">
        <v>428</v>
      </c>
    </row>
    <row r="526" spans="1:9" ht="36" hidden="1">
      <c r="B526" s="226"/>
      <c r="C526" s="226"/>
      <c r="D526" s="226"/>
      <c r="E526" s="221" t="s">
        <v>143</v>
      </c>
      <c r="F526" s="221"/>
      <c r="G526" s="227"/>
      <c r="H526" s="221"/>
      <c r="I526" s="255"/>
    </row>
    <row r="527" spans="1:9" ht="18">
      <c r="A527" s="179" t="s">
        <v>140</v>
      </c>
      <c r="B527" s="219">
        <v>45946</v>
      </c>
      <c r="C527" s="220">
        <v>0</v>
      </c>
      <c r="D527" s="220">
        <v>14138</v>
      </c>
      <c r="E527" s="224" t="s">
        <v>141</v>
      </c>
      <c r="F527" s="225">
        <v>202510150000113</v>
      </c>
      <c r="G527" s="223">
        <v>1668.08</v>
      </c>
      <c r="H527" s="222">
        <v>2477</v>
      </c>
      <c r="I527" s="254" t="s">
        <v>428</v>
      </c>
    </row>
    <row r="528" spans="1:9" ht="36" hidden="1">
      <c r="B528" s="226"/>
      <c r="C528" s="226"/>
      <c r="D528" s="226"/>
      <c r="E528" s="221" t="s">
        <v>143</v>
      </c>
      <c r="F528" s="221"/>
      <c r="G528" s="227"/>
      <c r="H528" s="221"/>
      <c r="I528" s="255"/>
    </row>
    <row r="529" spans="1:10" ht="18">
      <c r="A529" s="179" t="s">
        <v>140</v>
      </c>
      <c r="B529" s="219">
        <v>45946</v>
      </c>
      <c r="C529" s="220">
        <v>0</v>
      </c>
      <c r="D529" s="220">
        <v>14138</v>
      </c>
      <c r="E529" s="224" t="s">
        <v>141</v>
      </c>
      <c r="F529" s="225">
        <v>202510150000114</v>
      </c>
      <c r="G529" s="223">
        <v>2052.5100000000002</v>
      </c>
      <c r="H529" s="222">
        <v>2643</v>
      </c>
      <c r="I529" s="254" t="s">
        <v>428</v>
      </c>
    </row>
    <row r="530" spans="1:10" ht="36" hidden="1">
      <c r="B530" s="226"/>
      <c r="C530" s="226"/>
      <c r="D530" s="226"/>
      <c r="E530" s="221" t="s">
        <v>143</v>
      </c>
      <c r="F530" s="221"/>
      <c r="G530" s="227"/>
      <c r="H530" s="221"/>
      <c r="I530" s="255"/>
    </row>
    <row r="531" spans="1:10" ht="18">
      <c r="A531" s="179" t="s">
        <v>140</v>
      </c>
      <c r="B531" s="219">
        <v>45946</v>
      </c>
      <c r="C531" s="220">
        <v>0</v>
      </c>
      <c r="D531" s="220">
        <v>14138</v>
      </c>
      <c r="E531" s="224" t="s">
        <v>141</v>
      </c>
      <c r="F531" s="225">
        <v>202510150000115</v>
      </c>
      <c r="G531" s="223">
        <v>2199.12</v>
      </c>
      <c r="H531" s="222">
        <v>2644</v>
      </c>
      <c r="I531" s="254" t="s">
        <v>428</v>
      </c>
    </row>
    <row r="532" spans="1:10" ht="36" hidden="1">
      <c r="B532" s="226"/>
      <c r="C532" s="226"/>
      <c r="D532" s="226"/>
      <c r="E532" s="221" t="s">
        <v>143</v>
      </c>
      <c r="F532" s="221"/>
      <c r="G532" s="227"/>
      <c r="H532" s="221"/>
      <c r="I532" s="255"/>
    </row>
    <row r="533" spans="1:10" ht="18">
      <c r="A533" s="179" t="s">
        <v>140</v>
      </c>
      <c r="B533" s="219">
        <v>45946</v>
      </c>
      <c r="C533" s="220">
        <v>0</v>
      </c>
      <c r="D533" s="220">
        <v>14138</v>
      </c>
      <c r="E533" s="224" t="s">
        <v>141</v>
      </c>
      <c r="F533" s="225">
        <v>202510150000116</v>
      </c>
      <c r="G533" s="223">
        <v>2571.92</v>
      </c>
      <c r="H533" s="222">
        <v>2646</v>
      </c>
      <c r="I533" s="254" t="s">
        <v>428</v>
      </c>
    </row>
    <row r="534" spans="1:10" ht="36" hidden="1">
      <c r="B534" s="226"/>
      <c r="C534" s="226"/>
      <c r="D534" s="226"/>
      <c r="E534" s="221" t="s">
        <v>143</v>
      </c>
      <c r="F534" s="221"/>
      <c r="G534" s="227"/>
      <c r="H534" s="221"/>
      <c r="I534" s="255"/>
    </row>
    <row r="535" spans="1:10" ht="18">
      <c r="A535" s="179" t="s">
        <v>140</v>
      </c>
      <c r="B535" s="219">
        <v>45946</v>
      </c>
      <c r="C535" s="220">
        <v>0</v>
      </c>
      <c r="D535" s="220">
        <v>14138</v>
      </c>
      <c r="E535" s="224" t="s">
        <v>141</v>
      </c>
      <c r="F535" s="225">
        <v>202510150000117</v>
      </c>
      <c r="G535" s="223">
        <v>1668.08</v>
      </c>
      <c r="H535" s="222">
        <v>2630</v>
      </c>
      <c r="I535" s="254" t="s">
        <v>428</v>
      </c>
    </row>
    <row r="536" spans="1:10" ht="36" hidden="1">
      <c r="B536" s="226"/>
      <c r="C536" s="226"/>
      <c r="D536" s="226"/>
      <c r="E536" s="221" t="s">
        <v>143</v>
      </c>
      <c r="F536" s="221"/>
      <c r="G536" s="227"/>
      <c r="H536" s="221"/>
      <c r="I536" s="255"/>
    </row>
    <row r="537" spans="1:10" ht="18">
      <c r="A537" s="179" t="s">
        <v>140</v>
      </c>
      <c r="B537" s="219">
        <v>45946</v>
      </c>
      <c r="C537" s="220">
        <v>0</v>
      </c>
      <c r="D537" s="220">
        <v>14138</v>
      </c>
      <c r="E537" s="224" t="s">
        <v>141</v>
      </c>
      <c r="F537" s="225">
        <v>202510150000118</v>
      </c>
      <c r="G537" s="223">
        <v>2125.8200000000002</v>
      </c>
      <c r="H537" s="222">
        <v>2810</v>
      </c>
      <c r="I537" s="254" t="s">
        <v>428</v>
      </c>
    </row>
    <row r="538" spans="1:10" ht="36" hidden="1">
      <c r="B538" s="226"/>
      <c r="C538" s="226"/>
      <c r="D538" s="226"/>
      <c r="E538" s="221" t="s">
        <v>143</v>
      </c>
      <c r="F538" s="221"/>
      <c r="G538" s="227"/>
      <c r="H538" s="221"/>
      <c r="I538" s="255"/>
    </row>
    <row r="539" spans="1:10" ht="18">
      <c r="A539" s="179" t="s">
        <v>140</v>
      </c>
      <c r="B539" s="219">
        <v>45946</v>
      </c>
      <c r="C539" s="220">
        <v>0</v>
      </c>
      <c r="D539" s="220">
        <v>14138</v>
      </c>
      <c r="E539" s="224" t="s">
        <v>141</v>
      </c>
      <c r="F539" s="225">
        <v>202510150000119</v>
      </c>
      <c r="G539" s="223">
        <v>1668.08</v>
      </c>
      <c r="H539" s="222">
        <v>2725</v>
      </c>
      <c r="I539" s="254" t="s">
        <v>428</v>
      </c>
    </row>
    <row r="540" spans="1:10" ht="36" hidden="1">
      <c r="B540" s="226"/>
      <c r="C540" s="226"/>
      <c r="D540" s="226"/>
      <c r="E540" s="221" t="s">
        <v>143</v>
      </c>
      <c r="F540" s="221"/>
      <c r="G540" s="227"/>
      <c r="H540" s="221"/>
      <c r="I540" s="255"/>
    </row>
    <row r="541" spans="1:10" ht="18">
      <c r="A541" s="179" t="s">
        <v>140</v>
      </c>
      <c r="B541" s="219">
        <v>45946</v>
      </c>
      <c r="C541" s="220">
        <v>0</v>
      </c>
      <c r="D541" s="220">
        <v>14138</v>
      </c>
      <c r="E541" s="224" t="s">
        <v>141</v>
      </c>
      <c r="F541" s="225">
        <v>202510150000120</v>
      </c>
      <c r="G541" s="223">
        <v>1668.08</v>
      </c>
      <c r="H541" s="222">
        <v>2556</v>
      </c>
      <c r="I541" s="254" t="s">
        <v>428</v>
      </c>
    </row>
    <row r="542" spans="1:10" ht="36" hidden="1">
      <c r="B542" s="226"/>
      <c r="C542" s="226"/>
      <c r="D542" s="226"/>
      <c r="E542" s="221" t="s">
        <v>143</v>
      </c>
      <c r="F542" s="221"/>
      <c r="G542" s="227"/>
      <c r="H542" s="221"/>
      <c r="I542" s="255"/>
    </row>
    <row r="543" spans="1:10" ht="36">
      <c r="A543" s="179" t="s">
        <v>140</v>
      </c>
      <c r="B543" s="219">
        <v>45946</v>
      </c>
      <c r="C543" s="220">
        <v>0</v>
      </c>
      <c r="D543" s="220">
        <v>14138</v>
      </c>
      <c r="E543" s="224" t="s">
        <v>141</v>
      </c>
      <c r="F543" s="225">
        <v>202510150000121</v>
      </c>
      <c r="G543" s="223">
        <v>14954.2</v>
      </c>
      <c r="H543" s="222" t="s">
        <v>1496</v>
      </c>
      <c r="I543" s="254" t="s">
        <v>428</v>
      </c>
      <c r="J543" s="257"/>
    </row>
    <row r="544" spans="1:10" ht="36" hidden="1">
      <c r="B544" s="226"/>
      <c r="C544" s="226"/>
      <c r="D544" s="226"/>
      <c r="E544" s="221" t="s">
        <v>143</v>
      </c>
      <c r="F544" s="221"/>
      <c r="G544" s="227"/>
      <c r="H544" s="221"/>
      <c r="I544" s="255"/>
    </row>
    <row r="545" spans="1:9" ht="18">
      <c r="A545" s="179" t="s">
        <v>140</v>
      </c>
      <c r="B545" s="219">
        <v>45946</v>
      </c>
      <c r="C545" s="220">
        <v>0</v>
      </c>
      <c r="D545" s="220">
        <v>14138</v>
      </c>
      <c r="E545" s="224" t="s">
        <v>141</v>
      </c>
      <c r="F545" s="225">
        <v>202510150000122</v>
      </c>
      <c r="G545" s="223">
        <v>1668.08</v>
      </c>
      <c r="H545" s="222">
        <v>3062</v>
      </c>
      <c r="I545" s="254" t="s">
        <v>428</v>
      </c>
    </row>
    <row r="546" spans="1:9" ht="36" hidden="1">
      <c r="B546" s="226"/>
      <c r="C546" s="226"/>
      <c r="D546" s="226"/>
      <c r="E546" s="221" t="s">
        <v>143</v>
      </c>
      <c r="F546" s="221"/>
      <c r="G546" s="227"/>
      <c r="H546" s="221"/>
      <c r="I546" s="255"/>
    </row>
    <row r="547" spans="1:9" ht="18">
      <c r="A547" s="179" t="s">
        <v>140</v>
      </c>
      <c r="B547" s="219">
        <v>45946</v>
      </c>
      <c r="C547" s="220">
        <v>0</v>
      </c>
      <c r="D547" s="220">
        <v>14138</v>
      </c>
      <c r="E547" s="224" t="s">
        <v>141</v>
      </c>
      <c r="F547" s="225">
        <v>202510150014180</v>
      </c>
      <c r="G547" s="223">
        <v>1007.76</v>
      </c>
      <c r="H547" s="222">
        <v>4139</v>
      </c>
      <c r="I547" s="254" t="s">
        <v>595</v>
      </c>
    </row>
    <row r="548" spans="1:9" ht="36" hidden="1">
      <c r="B548" s="226"/>
      <c r="C548" s="226"/>
      <c r="D548" s="226"/>
      <c r="E548" s="221" t="s">
        <v>143</v>
      </c>
      <c r="F548" s="221"/>
      <c r="G548" s="227"/>
      <c r="H548" s="221"/>
      <c r="I548" s="255"/>
    </row>
    <row r="549" spans="1:9" ht="18">
      <c r="A549" s="179" t="s">
        <v>140</v>
      </c>
      <c r="B549" s="219">
        <v>45946</v>
      </c>
      <c r="C549" s="220">
        <v>0</v>
      </c>
      <c r="D549" s="220">
        <v>14138</v>
      </c>
      <c r="E549" s="224" t="s">
        <v>141</v>
      </c>
      <c r="F549" s="225">
        <v>202510150014181</v>
      </c>
      <c r="G549" s="223">
        <v>1476.65</v>
      </c>
      <c r="H549" s="222">
        <v>4128</v>
      </c>
      <c r="I549" s="254" t="s">
        <v>595</v>
      </c>
    </row>
    <row r="550" spans="1:9" ht="36" hidden="1">
      <c r="B550" s="226"/>
      <c r="C550" s="226"/>
      <c r="D550" s="226"/>
      <c r="E550" s="221" t="s">
        <v>143</v>
      </c>
      <c r="F550" s="221"/>
      <c r="G550" s="227"/>
      <c r="H550" s="221"/>
      <c r="I550" s="255"/>
    </row>
    <row r="551" spans="1:9" ht="18">
      <c r="A551" s="179" t="s">
        <v>140</v>
      </c>
      <c r="B551" s="219">
        <v>45946</v>
      </c>
      <c r="C551" s="220">
        <v>0</v>
      </c>
      <c r="D551" s="220">
        <v>14138</v>
      </c>
      <c r="E551" s="224" t="s">
        <v>141</v>
      </c>
      <c r="F551" s="225">
        <v>202510150014190</v>
      </c>
      <c r="G551" s="223">
        <v>1359.46</v>
      </c>
      <c r="H551" s="222">
        <v>4143</v>
      </c>
      <c r="I551" s="254" t="s">
        <v>595</v>
      </c>
    </row>
    <row r="552" spans="1:9" ht="36" hidden="1">
      <c r="B552" s="226"/>
      <c r="C552" s="226"/>
      <c r="D552" s="226"/>
      <c r="E552" s="221" t="s">
        <v>143</v>
      </c>
      <c r="F552" s="221"/>
      <c r="G552" s="227"/>
      <c r="H552" s="221"/>
      <c r="I552" s="255"/>
    </row>
    <row r="553" spans="1:9" ht="18">
      <c r="A553" s="179" t="s">
        <v>140</v>
      </c>
      <c r="B553" s="219">
        <v>45946</v>
      </c>
      <c r="C553" s="220">
        <v>0</v>
      </c>
      <c r="D553" s="220">
        <v>14138</v>
      </c>
      <c r="E553" s="224" t="s">
        <v>141</v>
      </c>
      <c r="F553" s="225">
        <v>202510150014192</v>
      </c>
      <c r="G553" s="223">
        <v>1532.49</v>
      </c>
      <c r="H553" s="222">
        <v>4132</v>
      </c>
      <c r="I553" s="254" t="s">
        <v>595</v>
      </c>
    </row>
    <row r="554" spans="1:9" ht="36" hidden="1">
      <c r="B554" s="226"/>
      <c r="C554" s="226"/>
      <c r="D554" s="226"/>
      <c r="E554" s="221" t="s">
        <v>143</v>
      </c>
      <c r="F554" s="221"/>
      <c r="G554" s="227"/>
      <c r="H554" s="221"/>
      <c r="I554" s="255"/>
    </row>
    <row r="555" spans="1:9" ht="18" hidden="1">
      <c r="B555" s="219">
        <v>45946</v>
      </c>
      <c r="C555" s="220">
        <v>1533</v>
      </c>
      <c r="D555" s="220">
        <v>99008</v>
      </c>
      <c r="E555" s="224" t="s">
        <v>29</v>
      </c>
      <c r="F555" s="225">
        <v>115620</v>
      </c>
      <c r="G555" s="228">
        <v>1188.08</v>
      </c>
      <c r="H555" s="222"/>
      <c r="I555" s="254"/>
    </row>
    <row r="556" spans="1:9" ht="48" hidden="1">
      <c r="B556" s="226"/>
      <c r="C556" s="226"/>
      <c r="D556" s="226"/>
      <c r="E556" s="221" t="s">
        <v>1440</v>
      </c>
      <c r="F556" s="221"/>
      <c r="G556" s="227"/>
      <c r="H556" s="221"/>
      <c r="I556" s="255"/>
    </row>
    <row r="557" spans="1:9" ht="18" hidden="1">
      <c r="B557" s="219">
        <v>45946</v>
      </c>
      <c r="C557" s="220">
        <v>1533</v>
      </c>
      <c r="D557" s="220">
        <v>99008</v>
      </c>
      <c r="E557" s="224" t="s">
        <v>29</v>
      </c>
      <c r="F557" s="225">
        <v>117828</v>
      </c>
      <c r="G557" s="228">
        <v>20.8</v>
      </c>
      <c r="H557" s="222"/>
      <c r="I557" s="254"/>
    </row>
    <row r="558" spans="1:9" ht="48" hidden="1">
      <c r="B558" s="226"/>
      <c r="C558" s="226"/>
      <c r="D558" s="226"/>
      <c r="E558" s="221" t="s">
        <v>1441</v>
      </c>
      <c r="F558" s="221"/>
      <c r="G558" s="227"/>
      <c r="H558" s="221"/>
      <c r="I558" s="255"/>
    </row>
    <row r="559" spans="1:9" hidden="1">
      <c r="B559" s="219">
        <v>45946</v>
      </c>
      <c r="C559" s="220">
        <v>0</v>
      </c>
      <c r="D559" s="220">
        <v>13105</v>
      </c>
      <c r="E559" s="224" t="s">
        <v>80</v>
      </c>
      <c r="F559" s="225">
        <v>101601</v>
      </c>
      <c r="G559" s="228">
        <v>25140.880000000001</v>
      </c>
      <c r="H559" s="222"/>
      <c r="I559" s="254"/>
    </row>
    <row r="560" spans="1:9" ht="36" hidden="1">
      <c r="B560" s="226"/>
      <c r="C560" s="226"/>
      <c r="D560" s="226"/>
      <c r="E560" s="221" t="s">
        <v>81</v>
      </c>
      <c r="F560" s="221"/>
      <c r="G560" s="227"/>
      <c r="H560" s="221"/>
      <c r="I560" s="255"/>
    </row>
    <row r="561" spans="2:9" hidden="1">
      <c r="B561" s="219">
        <v>45946</v>
      </c>
      <c r="C561" s="220">
        <v>0</v>
      </c>
      <c r="D561" s="220">
        <v>13105</v>
      </c>
      <c r="E561" s="224" t="s">
        <v>80</v>
      </c>
      <c r="F561" s="225">
        <v>101602</v>
      </c>
      <c r="G561" s="228">
        <v>318.24</v>
      </c>
      <c r="H561" s="222"/>
      <c r="I561" s="254"/>
    </row>
    <row r="562" spans="2:9" ht="36" hidden="1">
      <c r="B562" s="226"/>
      <c r="C562" s="226"/>
      <c r="D562" s="226"/>
      <c r="E562" s="221" t="s">
        <v>81</v>
      </c>
      <c r="F562" s="221"/>
      <c r="G562" s="227"/>
      <c r="H562" s="221"/>
      <c r="I562" s="255"/>
    </row>
    <row r="563" spans="2:9" ht="18" hidden="1">
      <c r="B563" s="219">
        <v>45946</v>
      </c>
      <c r="C563" s="220">
        <v>0</v>
      </c>
      <c r="D563" s="220">
        <v>13105</v>
      </c>
      <c r="E563" s="224" t="s">
        <v>31</v>
      </c>
      <c r="F563" s="225">
        <v>101603</v>
      </c>
      <c r="G563" s="228">
        <v>219.42</v>
      </c>
      <c r="H563" s="222"/>
      <c r="I563" s="254"/>
    </row>
    <row r="564" spans="2:9" ht="60" hidden="1">
      <c r="B564" s="226"/>
      <c r="C564" s="226"/>
      <c r="D564" s="226"/>
      <c r="E564" s="221" t="s">
        <v>1318</v>
      </c>
      <c r="F564" s="221"/>
      <c r="G564" s="227"/>
      <c r="H564" s="221"/>
      <c r="I564" s="255"/>
    </row>
    <row r="565" spans="2:9" ht="18" hidden="1">
      <c r="B565" s="219">
        <v>45946</v>
      </c>
      <c r="C565" s="220">
        <v>0</v>
      </c>
      <c r="D565" s="220">
        <v>13105</v>
      </c>
      <c r="E565" s="224" t="s">
        <v>31</v>
      </c>
      <c r="F565" s="225">
        <v>101604</v>
      </c>
      <c r="G565" s="228">
        <v>900</v>
      </c>
      <c r="H565" s="222"/>
      <c r="I565" s="254"/>
    </row>
    <row r="566" spans="2:9" ht="48" hidden="1">
      <c r="B566" s="226"/>
      <c r="C566" s="226"/>
      <c r="D566" s="226"/>
      <c r="E566" s="221" t="s">
        <v>37</v>
      </c>
      <c r="F566" s="221"/>
      <c r="G566" s="227"/>
      <c r="H566" s="221"/>
      <c r="I566" s="255"/>
    </row>
    <row r="567" spans="2:9" ht="18" hidden="1">
      <c r="B567" s="219">
        <v>45946</v>
      </c>
      <c r="C567" s="220">
        <v>0</v>
      </c>
      <c r="D567" s="220">
        <v>13105</v>
      </c>
      <c r="E567" s="224" t="s">
        <v>31</v>
      </c>
      <c r="F567" s="225">
        <v>101605</v>
      </c>
      <c r="G567" s="228">
        <v>1466.22</v>
      </c>
      <c r="H567" s="222"/>
      <c r="I567" s="254"/>
    </row>
    <row r="568" spans="2:9" ht="48" hidden="1">
      <c r="B568" s="226"/>
      <c r="C568" s="226"/>
      <c r="D568" s="226"/>
      <c r="E568" s="221" t="s">
        <v>95</v>
      </c>
      <c r="F568" s="221"/>
      <c r="G568" s="227"/>
      <c r="H568" s="221"/>
      <c r="I568" s="255"/>
    </row>
    <row r="569" spans="2:9" ht="18" hidden="1">
      <c r="B569" s="219">
        <v>45946</v>
      </c>
      <c r="C569" s="220">
        <v>0</v>
      </c>
      <c r="D569" s="220">
        <v>13105</v>
      </c>
      <c r="E569" s="224" t="s">
        <v>31</v>
      </c>
      <c r="F569" s="225">
        <v>101606</v>
      </c>
      <c r="G569" s="228">
        <v>4001.11</v>
      </c>
      <c r="H569" s="222"/>
      <c r="I569" s="254"/>
    </row>
    <row r="570" spans="2:9" ht="48" hidden="1">
      <c r="B570" s="226"/>
      <c r="C570" s="226"/>
      <c r="D570" s="226"/>
      <c r="E570" s="221" t="s">
        <v>32</v>
      </c>
      <c r="F570" s="221"/>
      <c r="G570" s="227"/>
      <c r="H570" s="221"/>
      <c r="I570" s="255"/>
    </row>
    <row r="571" spans="2:9" ht="18" hidden="1">
      <c r="B571" s="219">
        <v>45946</v>
      </c>
      <c r="C571" s="220">
        <v>0</v>
      </c>
      <c r="D571" s="220">
        <v>13105</v>
      </c>
      <c r="E571" s="224" t="s">
        <v>31</v>
      </c>
      <c r="F571" s="225">
        <v>101607</v>
      </c>
      <c r="G571" s="228">
        <v>224.73</v>
      </c>
      <c r="H571" s="222"/>
      <c r="I571" s="254"/>
    </row>
    <row r="572" spans="2:9" ht="48" hidden="1">
      <c r="B572" s="226"/>
      <c r="C572" s="226"/>
      <c r="D572" s="226"/>
      <c r="E572" s="221" t="s">
        <v>439</v>
      </c>
      <c r="F572" s="221"/>
      <c r="G572" s="227"/>
      <c r="H572" s="221"/>
      <c r="I572" s="255"/>
    </row>
    <row r="573" spans="2:9" ht="18" hidden="1">
      <c r="B573" s="219">
        <v>45946</v>
      </c>
      <c r="C573" s="220">
        <v>0</v>
      </c>
      <c r="D573" s="220">
        <v>13105</v>
      </c>
      <c r="E573" s="224" t="s">
        <v>123</v>
      </c>
      <c r="F573" s="225">
        <v>101608</v>
      </c>
      <c r="G573" s="228">
        <v>134.44999999999999</v>
      </c>
      <c r="H573" s="222"/>
      <c r="I573" s="254"/>
    </row>
    <row r="574" spans="2:9" ht="36" hidden="1">
      <c r="B574" s="226"/>
      <c r="C574" s="226"/>
      <c r="D574" s="226"/>
      <c r="E574" s="221" t="s">
        <v>124</v>
      </c>
      <c r="F574" s="221"/>
      <c r="G574" s="227"/>
      <c r="H574" s="221"/>
      <c r="I574" s="255"/>
    </row>
    <row r="575" spans="2:9" ht="18" hidden="1">
      <c r="B575" s="219">
        <v>45946</v>
      </c>
      <c r="C575" s="220">
        <v>0</v>
      </c>
      <c r="D575" s="220">
        <v>13105</v>
      </c>
      <c r="E575" s="224" t="s">
        <v>31</v>
      </c>
      <c r="F575" s="225">
        <v>101609</v>
      </c>
      <c r="G575" s="228">
        <v>346.41</v>
      </c>
      <c r="H575" s="222"/>
      <c r="I575" s="254"/>
    </row>
    <row r="576" spans="2:9" ht="60" hidden="1">
      <c r="B576" s="226"/>
      <c r="C576" s="226"/>
      <c r="D576" s="226"/>
      <c r="E576" s="221" t="s">
        <v>46</v>
      </c>
      <c r="F576" s="221"/>
      <c r="G576" s="227"/>
      <c r="H576" s="221"/>
      <c r="I576" s="255"/>
    </row>
    <row r="577" spans="2:9" ht="18" hidden="1">
      <c r="B577" s="219">
        <v>45946</v>
      </c>
      <c r="C577" s="220">
        <v>0</v>
      </c>
      <c r="D577" s="220">
        <v>13105</v>
      </c>
      <c r="E577" s="224" t="s">
        <v>31</v>
      </c>
      <c r="F577" s="225">
        <v>101610</v>
      </c>
      <c r="G577" s="228">
        <v>278.3</v>
      </c>
      <c r="H577" s="222"/>
      <c r="I577" s="254"/>
    </row>
    <row r="578" spans="2:9" ht="48" hidden="1">
      <c r="B578" s="226"/>
      <c r="C578" s="226"/>
      <c r="D578" s="226"/>
      <c r="E578" s="221" t="s">
        <v>47</v>
      </c>
      <c r="F578" s="221"/>
      <c r="G578" s="227"/>
      <c r="H578" s="221"/>
      <c r="I578" s="255"/>
    </row>
    <row r="579" spans="2:9" ht="18" hidden="1">
      <c r="B579" s="219">
        <v>45946</v>
      </c>
      <c r="C579" s="220">
        <v>0</v>
      </c>
      <c r="D579" s="220">
        <v>13105</v>
      </c>
      <c r="E579" s="224" t="s">
        <v>31</v>
      </c>
      <c r="F579" s="225">
        <v>101611</v>
      </c>
      <c r="G579" s="228">
        <v>214.95</v>
      </c>
      <c r="H579" s="222"/>
      <c r="I579" s="254"/>
    </row>
    <row r="580" spans="2:9" ht="36" hidden="1">
      <c r="B580" s="226"/>
      <c r="C580" s="226"/>
      <c r="D580" s="226"/>
      <c r="E580" s="221" t="s">
        <v>111</v>
      </c>
      <c r="F580" s="221"/>
      <c r="G580" s="227"/>
      <c r="H580" s="221"/>
      <c r="I580" s="255"/>
    </row>
    <row r="581" spans="2:9" ht="18" hidden="1">
      <c r="B581" s="219">
        <v>45946</v>
      </c>
      <c r="C581" s="220">
        <v>0</v>
      </c>
      <c r="D581" s="220">
        <v>13105</v>
      </c>
      <c r="E581" s="224" t="s">
        <v>31</v>
      </c>
      <c r="F581" s="225">
        <v>101612</v>
      </c>
      <c r="G581" s="228">
        <v>255.57</v>
      </c>
      <c r="H581" s="222"/>
      <c r="I581" s="254"/>
    </row>
    <row r="582" spans="2:9" ht="36" hidden="1">
      <c r="B582" s="226"/>
      <c r="C582" s="226"/>
      <c r="D582" s="226"/>
      <c r="E582" s="221" t="s">
        <v>111</v>
      </c>
      <c r="F582" s="221"/>
      <c r="G582" s="227"/>
      <c r="H582" s="221"/>
      <c r="I582" s="255"/>
    </row>
    <row r="583" spans="2:9" ht="18" hidden="1">
      <c r="B583" s="219">
        <v>45946</v>
      </c>
      <c r="C583" s="220">
        <v>0</v>
      </c>
      <c r="D583" s="220">
        <v>13105</v>
      </c>
      <c r="E583" s="224" t="s">
        <v>31</v>
      </c>
      <c r="F583" s="225">
        <v>101613</v>
      </c>
      <c r="G583" s="228">
        <v>136.77000000000001</v>
      </c>
      <c r="H583" s="222"/>
      <c r="I583" s="254"/>
    </row>
    <row r="584" spans="2:9" ht="48" hidden="1">
      <c r="B584" s="226"/>
      <c r="C584" s="226"/>
      <c r="D584" s="226"/>
      <c r="E584" s="221" t="s">
        <v>223</v>
      </c>
      <c r="F584" s="221"/>
      <c r="G584" s="227"/>
      <c r="H584" s="221"/>
      <c r="I584" s="255"/>
    </row>
    <row r="585" spans="2:9" ht="18" hidden="1">
      <c r="B585" s="219">
        <v>45946</v>
      </c>
      <c r="C585" s="220">
        <v>0</v>
      </c>
      <c r="D585" s="220">
        <v>13105</v>
      </c>
      <c r="E585" s="224" t="s">
        <v>31</v>
      </c>
      <c r="F585" s="225">
        <v>101614</v>
      </c>
      <c r="G585" s="228">
        <v>437.26</v>
      </c>
      <c r="H585" s="222"/>
      <c r="I585" s="254"/>
    </row>
    <row r="586" spans="2:9" ht="48" hidden="1">
      <c r="B586" s="226"/>
      <c r="C586" s="226"/>
      <c r="D586" s="226"/>
      <c r="E586" s="221" t="s">
        <v>247</v>
      </c>
      <c r="F586" s="221"/>
      <c r="G586" s="227"/>
      <c r="H586" s="221"/>
      <c r="I586" s="255"/>
    </row>
    <row r="587" spans="2:9" ht="18" hidden="1">
      <c r="B587" s="219">
        <v>45946</v>
      </c>
      <c r="C587" s="220">
        <v>0</v>
      </c>
      <c r="D587" s="220">
        <v>13105</v>
      </c>
      <c r="E587" s="224" t="s">
        <v>31</v>
      </c>
      <c r="F587" s="225">
        <v>101615</v>
      </c>
      <c r="G587" s="228">
        <v>450.78</v>
      </c>
      <c r="H587" s="222"/>
      <c r="I587" s="254"/>
    </row>
    <row r="588" spans="2:9" ht="48" hidden="1">
      <c r="B588" s="226"/>
      <c r="C588" s="226"/>
      <c r="D588" s="226"/>
      <c r="E588" s="221" t="s">
        <v>47</v>
      </c>
      <c r="F588" s="221"/>
      <c r="G588" s="227"/>
      <c r="H588" s="221"/>
      <c r="I588" s="255"/>
    </row>
    <row r="589" spans="2:9" ht="18" hidden="1">
      <c r="B589" s="219">
        <v>45946</v>
      </c>
      <c r="C589" s="220">
        <v>0</v>
      </c>
      <c r="D589" s="220">
        <v>13105</v>
      </c>
      <c r="E589" s="224" t="s">
        <v>31</v>
      </c>
      <c r="F589" s="225">
        <v>101616</v>
      </c>
      <c r="G589" s="228">
        <v>244.54</v>
      </c>
      <c r="H589" s="222"/>
      <c r="I589" s="254"/>
    </row>
    <row r="590" spans="2:9" ht="36" hidden="1">
      <c r="B590" s="226"/>
      <c r="C590" s="226"/>
      <c r="D590" s="226"/>
      <c r="E590" s="221" t="s">
        <v>200</v>
      </c>
      <c r="F590" s="221"/>
      <c r="G590" s="227"/>
      <c r="H590" s="221"/>
      <c r="I590" s="255"/>
    </row>
    <row r="591" spans="2:9" ht="18" hidden="1">
      <c r="B591" s="219">
        <v>45946</v>
      </c>
      <c r="C591" s="220">
        <v>0</v>
      </c>
      <c r="D591" s="220">
        <v>13105</v>
      </c>
      <c r="E591" s="224" t="s">
        <v>31</v>
      </c>
      <c r="F591" s="225">
        <v>101617</v>
      </c>
      <c r="G591" s="228">
        <v>153.85</v>
      </c>
      <c r="H591" s="222"/>
      <c r="I591" s="254"/>
    </row>
    <row r="592" spans="2:9" ht="36" hidden="1">
      <c r="B592" s="226"/>
      <c r="C592" s="226"/>
      <c r="D592" s="226"/>
      <c r="E592" s="221" t="s">
        <v>200</v>
      </c>
      <c r="F592" s="221"/>
      <c r="G592" s="227"/>
      <c r="H592" s="221"/>
      <c r="I592" s="255"/>
    </row>
    <row r="593" spans="2:9" ht="18" hidden="1">
      <c r="B593" s="219">
        <v>45946</v>
      </c>
      <c r="C593" s="220">
        <v>0</v>
      </c>
      <c r="D593" s="220">
        <v>13105</v>
      </c>
      <c r="E593" s="224" t="s">
        <v>31</v>
      </c>
      <c r="F593" s="225">
        <v>101618</v>
      </c>
      <c r="G593" s="228">
        <v>171.59</v>
      </c>
      <c r="H593" s="222"/>
      <c r="I593" s="254"/>
    </row>
    <row r="594" spans="2:9" ht="36" hidden="1">
      <c r="B594" s="226"/>
      <c r="C594" s="226"/>
      <c r="D594" s="226"/>
      <c r="E594" s="221" t="s">
        <v>200</v>
      </c>
      <c r="F594" s="221"/>
      <c r="G594" s="227"/>
      <c r="H594" s="221"/>
      <c r="I594" s="255"/>
    </row>
    <row r="595" spans="2:9" ht="18" hidden="1">
      <c r="B595" s="219">
        <v>45946</v>
      </c>
      <c r="C595" s="220">
        <v>0</v>
      </c>
      <c r="D595" s="220">
        <v>13105</v>
      </c>
      <c r="E595" s="224" t="s">
        <v>31</v>
      </c>
      <c r="F595" s="225">
        <v>101619</v>
      </c>
      <c r="G595" s="228">
        <v>2023.56</v>
      </c>
      <c r="H595" s="222"/>
      <c r="I595" s="254"/>
    </row>
    <row r="596" spans="2:9" ht="24" hidden="1">
      <c r="B596" s="226"/>
      <c r="C596" s="226"/>
      <c r="D596" s="226"/>
      <c r="E596" s="221" t="s">
        <v>587</v>
      </c>
      <c r="F596" s="221"/>
      <c r="G596" s="227"/>
      <c r="H596" s="221"/>
      <c r="I596" s="255"/>
    </row>
    <row r="597" spans="2:9" ht="18" hidden="1">
      <c r="B597" s="219">
        <v>45946</v>
      </c>
      <c r="C597" s="220">
        <v>0</v>
      </c>
      <c r="D597" s="220">
        <v>13105</v>
      </c>
      <c r="E597" s="224" t="s">
        <v>31</v>
      </c>
      <c r="F597" s="225">
        <v>101620</v>
      </c>
      <c r="G597" s="228">
        <v>1554.36</v>
      </c>
      <c r="H597" s="222"/>
      <c r="I597" s="254"/>
    </row>
    <row r="598" spans="2:9" ht="48" hidden="1">
      <c r="B598" s="226"/>
      <c r="C598" s="226"/>
      <c r="D598" s="226"/>
      <c r="E598" s="221" t="s">
        <v>68</v>
      </c>
      <c r="F598" s="221"/>
      <c r="G598" s="227"/>
      <c r="H598" s="221"/>
      <c r="I598" s="255"/>
    </row>
    <row r="599" spans="2:9" ht="18" hidden="1">
      <c r="B599" s="219">
        <v>45946</v>
      </c>
      <c r="C599" s="220">
        <v>0</v>
      </c>
      <c r="D599" s="220">
        <v>13105</v>
      </c>
      <c r="E599" s="224" t="s">
        <v>31</v>
      </c>
      <c r="F599" s="225">
        <v>101621</v>
      </c>
      <c r="G599" s="228">
        <v>1750</v>
      </c>
      <c r="H599" s="222"/>
      <c r="I599" s="254"/>
    </row>
    <row r="600" spans="2:9" ht="48" hidden="1">
      <c r="B600" s="226"/>
      <c r="C600" s="226"/>
      <c r="D600" s="226"/>
      <c r="E600" s="221" t="s">
        <v>1109</v>
      </c>
      <c r="F600" s="221"/>
      <c r="G600" s="227"/>
      <c r="H600" s="221"/>
      <c r="I600" s="255"/>
    </row>
    <row r="601" spans="2:9" ht="18" hidden="1">
      <c r="B601" s="219">
        <v>45946</v>
      </c>
      <c r="C601" s="220">
        <v>0</v>
      </c>
      <c r="D601" s="220">
        <v>13105</v>
      </c>
      <c r="E601" s="224" t="s">
        <v>31</v>
      </c>
      <c r="F601" s="225">
        <v>101622</v>
      </c>
      <c r="G601" s="228">
        <v>7501.19</v>
      </c>
      <c r="H601" s="222"/>
      <c r="I601" s="254"/>
    </row>
    <row r="602" spans="2:9" ht="36" hidden="1">
      <c r="B602" s="226"/>
      <c r="C602" s="226"/>
      <c r="D602" s="226"/>
      <c r="E602" s="221" t="s">
        <v>441</v>
      </c>
      <c r="F602" s="221"/>
      <c r="G602" s="227"/>
      <c r="H602" s="221"/>
      <c r="I602" s="255"/>
    </row>
    <row r="603" spans="2:9" ht="18" hidden="1">
      <c r="B603" s="219">
        <v>45946</v>
      </c>
      <c r="C603" s="220">
        <v>0</v>
      </c>
      <c r="D603" s="220">
        <v>13105</v>
      </c>
      <c r="E603" s="224" t="s">
        <v>31</v>
      </c>
      <c r="F603" s="225">
        <v>101623</v>
      </c>
      <c r="G603" s="228">
        <v>5012.9799999999996</v>
      </c>
      <c r="H603" s="222"/>
      <c r="I603" s="254"/>
    </row>
    <row r="604" spans="2:9" ht="48" hidden="1">
      <c r="B604" s="226"/>
      <c r="C604" s="226"/>
      <c r="D604" s="226"/>
      <c r="E604" s="221" t="s">
        <v>65</v>
      </c>
      <c r="F604" s="221"/>
      <c r="G604" s="227"/>
      <c r="H604" s="221"/>
      <c r="I604" s="255"/>
    </row>
    <row r="605" spans="2:9" ht="18" hidden="1">
      <c r="B605" s="219">
        <v>45946</v>
      </c>
      <c r="C605" s="220">
        <v>0</v>
      </c>
      <c r="D605" s="220">
        <v>13105</v>
      </c>
      <c r="E605" s="224" t="s">
        <v>31</v>
      </c>
      <c r="F605" s="225">
        <v>101624</v>
      </c>
      <c r="G605" s="228">
        <v>4498.5</v>
      </c>
      <c r="H605" s="222"/>
      <c r="I605" s="254"/>
    </row>
    <row r="606" spans="2:9" ht="48" hidden="1">
      <c r="B606" s="226"/>
      <c r="C606" s="226"/>
      <c r="D606" s="226"/>
      <c r="E606" s="221" t="s">
        <v>65</v>
      </c>
      <c r="F606" s="221"/>
      <c r="G606" s="227"/>
      <c r="H606" s="221"/>
      <c r="I606" s="255"/>
    </row>
    <row r="607" spans="2:9" ht="18" hidden="1">
      <c r="B607" s="219">
        <v>45946</v>
      </c>
      <c r="C607" s="220">
        <v>0</v>
      </c>
      <c r="D607" s="220">
        <v>0</v>
      </c>
      <c r="E607" s="224" t="s">
        <v>52</v>
      </c>
      <c r="F607" s="225">
        <v>9903</v>
      </c>
      <c r="G607" s="223">
        <v>1092.3499999999999</v>
      </c>
      <c r="H607" s="222"/>
      <c r="I607" s="254"/>
    </row>
    <row r="608" spans="2:9" ht="24" hidden="1">
      <c r="B608" s="226"/>
      <c r="C608" s="226"/>
      <c r="D608" s="226"/>
      <c r="E608" s="221" t="s">
        <v>53</v>
      </c>
      <c r="F608" s="221"/>
      <c r="G608" s="227"/>
      <c r="H608" s="221"/>
      <c r="I608" s="255"/>
    </row>
    <row r="609" spans="1:9" ht="27" hidden="1">
      <c r="B609" s="219">
        <v>45947</v>
      </c>
      <c r="C609" s="220">
        <v>1845</v>
      </c>
      <c r="D609" s="220">
        <v>99021</v>
      </c>
      <c r="E609" s="224" t="s">
        <v>27</v>
      </c>
      <c r="F609" s="225">
        <v>611845000040070</v>
      </c>
      <c r="G609" s="223">
        <v>272.88</v>
      </c>
      <c r="H609" s="222"/>
      <c r="I609" s="254"/>
    </row>
    <row r="610" spans="1:9" ht="60" hidden="1">
      <c r="B610" s="226"/>
      <c r="C610" s="226"/>
      <c r="D610" s="226"/>
      <c r="E610" s="221" t="s">
        <v>1442</v>
      </c>
      <c r="F610" s="221"/>
      <c r="G610" s="227"/>
      <c r="H610" s="221"/>
      <c r="I610" s="255"/>
    </row>
    <row r="611" spans="1:9" ht="27" hidden="1">
      <c r="B611" s="219">
        <v>45947</v>
      </c>
      <c r="C611" s="220">
        <v>0</v>
      </c>
      <c r="D611" s="220">
        <v>14175</v>
      </c>
      <c r="E611" s="224" t="s">
        <v>62</v>
      </c>
      <c r="F611" s="225">
        <v>398332034</v>
      </c>
      <c r="G611" s="223">
        <v>3000</v>
      </c>
      <c r="H611" s="222"/>
      <c r="I611" s="254"/>
    </row>
    <row r="612" spans="1:9" ht="60" hidden="1">
      <c r="B612" s="226"/>
      <c r="C612" s="226"/>
      <c r="D612" s="226"/>
      <c r="E612" s="221" t="s">
        <v>97</v>
      </c>
      <c r="F612" s="221"/>
      <c r="G612" s="227"/>
      <c r="H612" s="221"/>
      <c r="I612" s="255"/>
    </row>
    <row r="613" spans="1:9" ht="18" hidden="1">
      <c r="B613" s="219">
        <v>45947</v>
      </c>
      <c r="C613" s="220">
        <v>0</v>
      </c>
      <c r="D613" s="220">
        <v>14397</v>
      </c>
      <c r="E613" s="224" t="s">
        <v>57</v>
      </c>
      <c r="F613" s="225">
        <v>171210272253821</v>
      </c>
      <c r="G613" s="223">
        <v>926.67</v>
      </c>
      <c r="H613" s="222"/>
      <c r="I613" s="254"/>
    </row>
    <row r="614" spans="1:9" ht="60" hidden="1">
      <c r="B614" s="226"/>
      <c r="C614" s="226"/>
      <c r="D614" s="226"/>
      <c r="E614" s="221" t="s">
        <v>1443</v>
      </c>
      <c r="F614" s="221"/>
      <c r="G614" s="227"/>
      <c r="H614" s="221"/>
      <c r="I614" s="255"/>
    </row>
    <row r="615" spans="1:9" ht="18" hidden="1">
      <c r="B615" s="219">
        <v>45947</v>
      </c>
      <c r="C615" s="220">
        <v>0</v>
      </c>
      <c r="D615" s="220">
        <v>14397</v>
      </c>
      <c r="E615" s="224" t="s">
        <v>57</v>
      </c>
      <c r="F615" s="225">
        <v>171728009334041</v>
      </c>
      <c r="G615" s="223">
        <v>362.24</v>
      </c>
      <c r="H615" s="222"/>
      <c r="I615" s="254"/>
    </row>
    <row r="616" spans="1:9" ht="60" hidden="1">
      <c r="B616" s="226"/>
      <c r="C616" s="226"/>
      <c r="D616" s="226"/>
      <c r="E616" s="221" t="s">
        <v>1444</v>
      </c>
      <c r="F616" s="221"/>
      <c r="G616" s="227"/>
      <c r="H616" s="221"/>
      <c r="I616" s="255"/>
    </row>
    <row r="617" spans="1:9" ht="18">
      <c r="A617" s="179" t="s">
        <v>140</v>
      </c>
      <c r="B617" s="219">
        <v>45947</v>
      </c>
      <c r="C617" s="220">
        <v>0</v>
      </c>
      <c r="D617" s="220">
        <v>14138</v>
      </c>
      <c r="E617" s="224" t="s">
        <v>141</v>
      </c>
      <c r="F617" s="225">
        <v>202510160019592</v>
      </c>
      <c r="G617" s="223">
        <v>1553.66</v>
      </c>
      <c r="H617" s="222">
        <v>4138</v>
      </c>
      <c r="I617" s="254" t="s">
        <v>595</v>
      </c>
    </row>
    <row r="618" spans="1:9" ht="36" hidden="1">
      <c r="B618" s="226"/>
      <c r="C618" s="226"/>
      <c r="D618" s="226"/>
      <c r="E618" s="221" t="s">
        <v>143</v>
      </c>
      <c r="F618" s="221"/>
      <c r="G618" s="227"/>
      <c r="H618" s="221"/>
      <c r="I618" s="255"/>
    </row>
    <row r="619" spans="1:9" ht="18">
      <c r="A619" s="179" t="s">
        <v>140</v>
      </c>
      <c r="B619" s="219">
        <v>45947</v>
      </c>
      <c r="C619" s="220">
        <v>0</v>
      </c>
      <c r="D619" s="220">
        <v>14138</v>
      </c>
      <c r="E619" s="224" t="s">
        <v>141</v>
      </c>
      <c r="F619" s="225">
        <v>202510160019593</v>
      </c>
      <c r="G619" s="223">
        <v>1476.65</v>
      </c>
      <c r="H619" s="222">
        <v>4127</v>
      </c>
      <c r="I619" s="254" t="s">
        <v>595</v>
      </c>
    </row>
    <row r="620" spans="1:9" ht="36" hidden="1">
      <c r="B620" s="226"/>
      <c r="C620" s="226"/>
      <c r="D620" s="226"/>
      <c r="E620" s="221" t="s">
        <v>143</v>
      </c>
      <c r="F620" s="221"/>
      <c r="G620" s="227"/>
      <c r="H620" s="221"/>
      <c r="I620" s="255"/>
    </row>
    <row r="621" spans="1:9" ht="18" hidden="1">
      <c r="B621" s="219">
        <v>45947</v>
      </c>
      <c r="C621" s="220">
        <v>1533</v>
      </c>
      <c r="D621" s="220">
        <v>99008</v>
      </c>
      <c r="E621" s="224" t="s">
        <v>29</v>
      </c>
      <c r="F621" s="225">
        <v>705023</v>
      </c>
      <c r="G621" s="228">
        <v>201.47</v>
      </c>
      <c r="H621" s="222"/>
      <c r="I621" s="254"/>
    </row>
    <row r="622" spans="1:9" ht="48" hidden="1">
      <c r="B622" s="226"/>
      <c r="C622" s="226"/>
      <c r="D622" s="226"/>
      <c r="E622" s="221" t="s">
        <v>1445</v>
      </c>
      <c r="F622" s="221"/>
      <c r="G622" s="227"/>
      <c r="H622" s="221"/>
      <c r="I622" s="255"/>
    </row>
    <row r="623" spans="1:9" hidden="1">
      <c r="B623" s="219">
        <v>45947</v>
      </c>
      <c r="C623" s="220">
        <v>0</v>
      </c>
      <c r="D623" s="220">
        <v>13105</v>
      </c>
      <c r="E623" s="224" t="s">
        <v>80</v>
      </c>
      <c r="F623" s="225">
        <v>101701</v>
      </c>
      <c r="G623" s="228">
        <v>620.26</v>
      </c>
      <c r="H623" s="222"/>
      <c r="I623" s="254"/>
    </row>
    <row r="624" spans="1:9" ht="36" hidden="1">
      <c r="B624" s="226"/>
      <c r="C624" s="226"/>
      <c r="D624" s="226"/>
      <c r="E624" s="221" t="s">
        <v>81</v>
      </c>
      <c r="F624" s="221"/>
      <c r="G624" s="227"/>
      <c r="H624" s="221"/>
      <c r="I624" s="255"/>
    </row>
    <row r="625" spans="2:9" ht="18" hidden="1">
      <c r="B625" s="219">
        <v>45947</v>
      </c>
      <c r="C625" s="220">
        <v>0</v>
      </c>
      <c r="D625" s="220">
        <v>13105</v>
      </c>
      <c r="E625" s="224" t="s">
        <v>31</v>
      </c>
      <c r="F625" s="225">
        <v>101702</v>
      </c>
      <c r="G625" s="228">
        <v>4890</v>
      </c>
      <c r="H625" s="222"/>
      <c r="I625" s="254"/>
    </row>
    <row r="626" spans="2:9" ht="48" hidden="1">
      <c r="B626" s="226"/>
      <c r="C626" s="226"/>
      <c r="D626" s="226"/>
      <c r="E626" s="221" t="s">
        <v>32</v>
      </c>
      <c r="F626" s="221"/>
      <c r="G626" s="227"/>
      <c r="H626" s="221"/>
      <c r="I626" s="255"/>
    </row>
    <row r="627" spans="2:9" ht="18" hidden="1">
      <c r="B627" s="219">
        <v>45947</v>
      </c>
      <c r="C627" s="220">
        <v>0</v>
      </c>
      <c r="D627" s="220">
        <v>13105</v>
      </c>
      <c r="E627" s="224" t="s">
        <v>31</v>
      </c>
      <c r="F627" s="225">
        <v>101703</v>
      </c>
      <c r="G627" s="228">
        <v>832.5</v>
      </c>
      <c r="H627" s="222"/>
      <c r="I627" s="254"/>
    </row>
    <row r="628" spans="2:9" ht="48" hidden="1">
      <c r="B628" s="226"/>
      <c r="C628" s="226"/>
      <c r="D628" s="226"/>
      <c r="E628" s="221" t="s">
        <v>575</v>
      </c>
      <c r="F628" s="221"/>
      <c r="G628" s="227"/>
      <c r="H628" s="221"/>
      <c r="I628" s="255"/>
    </row>
    <row r="629" spans="2:9" ht="18" hidden="1">
      <c r="B629" s="219">
        <v>45947</v>
      </c>
      <c r="C629" s="220">
        <v>0</v>
      </c>
      <c r="D629" s="220">
        <v>13105</v>
      </c>
      <c r="E629" s="224" t="s">
        <v>31</v>
      </c>
      <c r="F629" s="225">
        <v>101704</v>
      </c>
      <c r="G629" s="228">
        <v>293.91000000000003</v>
      </c>
      <c r="H629" s="222"/>
      <c r="I629" s="254"/>
    </row>
    <row r="630" spans="2:9" ht="60" hidden="1">
      <c r="B630" s="226"/>
      <c r="C630" s="226"/>
      <c r="D630" s="226"/>
      <c r="E630" s="221" t="s">
        <v>45</v>
      </c>
      <c r="F630" s="221"/>
      <c r="G630" s="227"/>
      <c r="H630" s="221"/>
      <c r="I630" s="255"/>
    </row>
    <row r="631" spans="2:9" ht="18" hidden="1">
      <c r="B631" s="219">
        <v>45947</v>
      </c>
      <c r="C631" s="220">
        <v>0</v>
      </c>
      <c r="D631" s="220">
        <v>13105</v>
      </c>
      <c r="E631" s="224" t="s">
        <v>31</v>
      </c>
      <c r="F631" s="225">
        <v>101705</v>
      </c>
      <c r="G631" s="228">
        <v>412.76</v>
      </c>
      <c r="H631" s="222"/>
      <c r="I631" s="254"/>
    </row>
    <row r="632" spans="2:9" ht="48" hidden="1">
      <c r="B632" s="226"/>
      <c r="C632" s="226"/>
      <c r="D632" s="226"/>
      <c r="E632" s="221" t="s">
        <v>247</v>
      </c>
      <c r="F632" s="221"/>
      <c r="G632" s="227"/>
      <c r="H632" s="221"/>
      <c r="I632" s="255"/>
    </row>
    <row r="633" spans="2:9" ht="18" hidden="1">
      <c r="B633" s="219">
        <v>45947</v>
      </c>
      <c r="C633" s="220">
        <v>0</v>
      </c>
      <c r="D633" s="220">
        <v>13105</v>
      </c>
      <c r="E633" s="224" t="s">
        <v>31</v>
      </c>
      <c r="F633" s="225">
        <v>101706</v>
      </c>
      <c r="G633" s="228">
        <v>291.87</v>
      </c>
      <c r="H633" s="222"/>
      <c r="I633" s="254"/>
    </row>
    <row r="634" spans="2:9" ht="36" hidden="1">
      <c r="B634" s="226"/>
      <c r="C634" s="226"/>
      <c r="D634" s="226"/>
      <c r="E634" s="221" t="s">
        <v>111</v>
      </c>
      <c r="F634" s="221"/>
      <c r="G634" s="227"/>
      <c r="H634" s="221"/>
      <c r="I634" s="255"/>
    </row>
    <row r="635" spans="2:9" ht="18" hidden="1">
      <c r="B635" s="219">
        <v>45947</v>
      </c>
      <c r="C635" s="220">
        <v>0</v>
      </c>
      <c r="D635" s="220">
        <v>13105</v>
      </c>
      <c r="E635" s="224" t="s">
        <v>31</v>
      </c>
      <c r="F635" s="225">
        <v>101707</v>
      </c>
      <c r="G635" s="228">
        <v>178.64</v>
      </c>
      <c r="H635" s="222"/>
      <c r="I635" s="254"/>
    </row>
    <row r="636" spans="2:9" ht="36" hidden="1">
      <c r="B636" s="226"/>
      <c r="C636" s="226"/>
      <c r="D636" s="226"/>
      <c r="E636" s="221" t="s">
        <v>111</v>
      </c>
      <c r="F636" s="221"/>
      <c r="G636" s="227"/>
      <c r="H636" s="221"/>
      <c r="I636" s="255"/>
    </row>
    <row r="637" spans="2:9" ht="18" hidden="1">
      <c r="B637" s="219">
        <v>45947</v>
      </c>
      <c r="C637" s="220">
        <v>0</v>
      </c>
      <c r="D637" s="220">
        <v>0</v>
      </c>
      <c r="E637" s="224" t="s">
        <v>52</v>
      </c>
      <c r="F637" s="225">
        <v>9903</v>
      </c>
      <c r="G637" s="223">
        <v>129.31</v>
      </c>
      <c r="H637" s="222"/>
      <c r="I637" s="254"/>
    </row>
    <row r="638" spans="2:9" ht="24" hidden="1">
      <c r="B638" s="226"/>
      <c r="C638" s="226"/>
      <c r="D638" s="226"/>
      <c r="E638" s="221" t="s">
        <v>53</v>
      </c>
      <c r="F638" s="221"/>
      <c r="G638" s="227"/>
      <c r="H638" s="221"/>
      <c r="I638" s="255"/>
    </row>
    <row r="639" spans="2:9" ht="27" hidden="1">
      <c r="B639" s="219">
        <v>45950</v>
      </c>
      <c r="C639" s="220">
        <v>701</v>
      </c>
      <c r="D639" s="220">
        <v>99031</v>
      </c>
      <c r="E639" s="224" t="s">
        <v>1446</v>
      </c>
      <c r="F639" s="225">
        <v>7017383900117</v>
      </c>
      <c r="G639" s="223">
        <v>342.19</v>
      </c>
      <c r="H639" s="222"/>
      <c r="I639" s="254"/>
    </row>
    <row r="640" spans="2:9" ht="60" hidden="1">
      <c r="B640" s="226"/>
      <c r="C640" s="226"/>
      <c r="D640" s="226"/>
      <c r="E640" s="221" t="s">
        <v>1447</v>
      </c>
      <c r="F640" s="221"/>
      <c r="G640" s="227"/>
      <c r="H640" s="221"/>
      <c r="I640" s="255"/>
    </row>
    <row r="641" spans="1:9" ht="27" hidden="1">
      <c r="B641" s="219">
        <v>45950</v>
      </c>
      <c r="C641" s="220">
        <v>0</v>
      </c>
      <c r="D641" s="220">
        <v>14175</v>
      </c>
      <c r="E641" s="224" t="s">
        <v>62</v>
      </c>
      <c r="F641" s="225">
        <v>398516148</v>
      </c>
      <c r="G641" s="223">
        <v>4734</v>
      </c>
      <c r="H641" s="222"/>
      <c r="I641" s="254"/>
    </row>
    <row r="642" spans="1:9" ht="60" hidden="1">
      <c r="B642" s="226"/>
      <c r="C642" s="226"/>
      <c r="D642" s="226"/>
      <c r="E642" s="221" t="s">
        <v>97</v>
      </c>
      <c r="F642" s="221"/>
      <c r="G642" s="227"/>
      <c r="H642" s="221"/>
      <c r="I642" s="255"/>
    </row>
    <row r="643" spans="1:9" ht="18" hidden="1">
      <c r="B643" s="219">
        <v>45950</v>
      </c>
      <c r="C643" s="220">
        <v>0</v>
      </c>
      <c r="D643" s="220">
        <v>14397</v>
      </c>
      <c r="E643" s="224" t="s">
        <v>57</v>
      </c>
      <c r="F643" s="225">
        <v>200944288994361</v>
      </c>
      <c r="G643" s="223">
        <v>80</v>
      </c>
      <c r="H643" s="222"/>
      <c r="I643" s="254"/>
    </row>
    <row r="644" spans="1:9" ht="48" hidden="1">
      <c r="B644" s="226"/>
      <c r="C644" s="226"/>
      <c r="D644" s="226"/>
      <c r="E644" s="221" t="s">
        <v>1448</v>
      </c>
      <c r="F644" s="221"/>
      <c r="G644" s="227"/>
      <c r="H644" s="221"/>
      <c r="I644" s="255"/>
    </row>
    <row r="645" spans="1:9" ht="18" hidden="1">
      <c r="B645" s="219">
        <v>45950</v>
      </c>
      <c r="C645" s="220">
        <v>0</v>
      </c>
      <c r="D645" s="220">
        <v>14397</v>
      </c>
      <c r="E645" s="224" t="s">
        <v>57</v>
      </c>
      <c r="F645" s="225">
        <v>201433194245122</v>
      </c>
      <c r="G645" s="223">
        <v>5427</v>
      </c>
      <c r="H645" s="222"/>
      <c r="I645" s="254"/>
    </row>
    <row r="646" spans="1:9" ht="48" hidden="1">
      <c r="B646" s="226"/>
      <c r="C646" s="226"/>
      <c r="D646" s="226"/>
      <c r="E646" s="221" t="s">
        <v>1449</v>
      </c>
      <c r="F646" s="221"/>
      <c r="G646" s="227"/>
      <c r="H646" s="221"/>
      <c r="I646" s="255"/>
    </row>
    <row r="647" spans="1:9" ht="18" hidden="1">
      <c r="B647" s="219">
        <v>45950</v>
      </c>
      <c r="C647" s="220">
        <v>0</v>
      </c>
      <c r="D647" s="220">
        <v>14397</v>
      </c>
      <c r="E647" s="224" t="s">
        <v>57</v>
      </c>
      <c r="F647" s="225">
        <v>201610481503211</v>
      </c>
      <c r="G647" s="223">
        <v>510.89</v>
      </c>
      <c r="H647" s="222"/>
      <c r="I647" s="254"/>
    </row>
    <row r="648" spans="1:9" ht="48" hidden="1">
      <c r="B648" s="226"/>
      <c r="C648" s="226"/>
      <c r="D648" s="226"/>
      <c r="E648" s="221" t="s">
        <v>1450</v>
      </c>
      <c r="F648" s="221"/>
      <c r="G648" s="227"/>
      <c r="H648" s="221"/>
      <c r="I648" s="255"/>
    </row>
    <row r="649" spans="1:9" ht="18" hidden="1">
      <c r="B649" s="219">
        <v>45950</v>
      </c>
      <c r="C649" s="220">
        <v>0</v>
      </c>
      <c r="D649" s="220">
        <v>14397</v>
      </c>
      <c r="E649" s="224" t="s">
        <v>57</v>
      </c>
      <c r="F649" s="225">
        <v>201613121294331</v>
      </c>
      <c r="G649" s="223">
        <v>647.74</v>
      </c>
      <c r="H649" s="222"/>
      <c r="I649" s="254"/>
    </row>
    <row r="650" spans="1:9" ht="48" hidden="1">
      <c r="B650" s="226"/>
      <c r="C650" s="226"/>
      <c r="D650" s="226"/>
      <c r="E650" s="221" t="s">
        <v>1451</v>
      </c>
      <c r="F650" s="221"/>
      <c r="G650" s="227"/>
      <c r="H650" s="221"/>
      <c r="I650" s="255"/>
    </row>
    <row r="651" spans="1:9" ht="18" hidden="1">
      <c r="B651" s="219">
        <v>45950</v>
      </c>
      <c r="C651" s="220">
        <v>0</v>
      </c>
      <c r="D651" s="220">
        <v>14397</v>
      </c>
      <c r="E651" s="224" t="s">
        <v>57</v>
      </c>
      <c r="F651" s="225">
        <v>201615454468331</v>
      </c>
      <c r="G651" s="223">
        <v>510.89</v>
      </c>
      <c r="H651" s="222"/>
      <c r="I651" s="254"/>
    </row>
    <row r="652" spans="1:9" ht="60" hidden="1">
      <c r="B652" s="226"/>
      <c r="C652" s="226"/>
      <c r="D652" s="226"/>
      <c r="E652" s="221" t="s">
        <v>1452</v>
      </c>
      <c r="F652" s="221"/>
      <c r="G652" s="227"/>
      <c r="H652" s="221"/>
      <c r="I652" s="255"/>
    </row>
    <row r="653" spans="1:9" ht="18">
      <c r="A653" s="179" t="s">
        <v>140</v>
      </c>
      <c r="B653" s="219">
        <v>45950</v>
      </c>
      <c r="C653" s="220">
        <v>0</v>
      </c>
      <c r="D653" s="220">
        <v>14138</v>
      </c>
      <c r="E653" s="224" t="s">
        <v>141</v>
      </c>
      <c r="F653" s="225">
        <v>202510170019416</v>
      </c>
      <c r="G653" s="223">
        <v>617.75</v>
      </c>
      <c r="H653" s="222">
        <v>4106</v>
      </c>
      <c r="I653" s="254" t="s">
        <v>419</v>
      </c>
    </row>
    <row r="654" spans="1:9" ht="36" hidden="1">
      <c r="B654" s="226"/>
      <c r="C654" s="226"/>
      <c r="D654" s="226"/>
      <c r="E654" s="221" t="s">
        <v>143</v>
      </c>
      <c r="F654" s="221"/>
      <c r="G654" s="227"/>
      <c r="H654" s="221"/>
      <c r="I654" s="255"/>
    </row>
    <row r="655" spans="1:9" ht="18">
      <c r="A655" s="179" t="s">
        <v>140</v>
      </c>
      <c r="B655" s="219">
        <v>45950</v>
      </c>
      <c r="C655" s="220">
        <v>0</v>
      </c>
      <c r="D655" s="220">
        <v>14138</v>
      </c>
      <c r="E655" s="224" t="s">
        <v>141</v>
      </c>
      <c r="F655" s="225">
        <v>202510170019474</v>
      </c>
      <c r="G655" s="223">
        <v>1476.65</v>
      </c>
      <c r="H655" s="222">
        <v>4125</v>
      </c>
      <c r="I655" s="254" t="s">
        <v>595</v>
      </c>
    </row>
    <row r="656" spans="1:9" ht="36" hidden="1">
      <c r="B656" s="226"/>
      <c r="C656" s="226"/>
      <c r="D656" s="226"/>
      <c r="E656" s="221" t="s">
        <v>143</v>
      </c>
      <c r="F656" s="221"/>
      <c r="G656" s="227"/>
      <c r="H656" s="221"/>
      <c r="I656" s="255"/>
    </row>
    <row r="657" spans="1:9" ht="18">
      <c r="A657" s="179" t="s">
        <v>140</v>
      </c>
      <c r="B657" s="219">
        <v>45950</v>
      </c>
      <c r="C657" s="220">
        <v>0</v>
      </c>
      <c r="D657" s="220">
        <v>14138</v>
      </c>
      <c r="E657" s="224" t="s">
        <v>141</v>
      </c>
      <c r="F657" s="225">
        <v>202510170019475</v>
      </c>
      <c r="G657" s="223">
        <v>1553.66</v>
      </c>
      <c r="H657" s="222">
        <v>4136</v>
      </c>
      <c r="I657" s="254" t="s">
        <v>595</v>
      </c>
    </row>
    <row r="658" spans="1:9" ht="36" hidden="1">
      <c r="B658" s="226"/>
      <c r="C658" s="226"/>
      <c r="D658" s="226"/>
      <c r="E658" s="221" t="s">
        <v>143</v>
      </c>
      <c r="F658" s="221"/>
      <c r="G658" s="227"/>
      <c r="H658" s="221"/>
      <c r="I658" s="255"/>
    </row>
    <row r="659" spans="1:9" hidden="1">
      <c r="B659" s="219">
        <v>45950</v>
      </c>
      <c r="C659" s="220">
        <v>0</v>
      </c>
      <c r="D659" s="220">
        <v>13105</v>
      </c>
      <c r="E659" s="224" t="s">
        <v>80</v>
      </c>
      <c r="F659" s="225">
        <v>102001</v>
      </c>
      <c r="G659" s="228">
        <v>10590.22</v>
      </c>
      <c r="H659" s="222"/>
      <c r="I659" s="254"/>
    </row>
    <row r="660" spans="1:9" ht="48" hidden="1">
      <c r="B660" s="226"/>
      <c r="C660" s="226"/>
      <c r="D660" s="226"/>
      <c r="E660" s="221" t="s">
        <v>154</v>
      </c>
      <c r="F660" s="221"/>
      <c r="G660" s="227"/>
      <c r="H660" s="221"/>
      <c r="I660" s="255"/>
    </row>
    <row r="661" spans="1:9" ht="18" hidden="1">
      <c r="B661" s="219">
        <v>45950</v>
      </c>
      <c r="C661" s="220">
        <v>0</v>
      </c>
      <c r="D661" s="220">
        <v>13105</v>
      </c>
      <c r="E661" s="224" t="s">
        <v>118</v>
      </c>
      <c r="F661" s="225">
        <v>102002</v>
      </c>
      <c r="G661" s="228">
        <v>2039.34</v>
      </c>
      <c r="H661" s="222"/>
      <c r="I661" s="254"/>
    </row>
    <row r="662" spans="1:9" ht="36" hidden="1">
      <c r="B662" s="226"/>
      <c r="C662" s="226"/>
      <c r="D662" s="226"/>
      <c r="E662" s="221" t="s">
        <v>1453</v>
      </c>
      <c r="F662" s="221"/>
      <c r="G662" s="227"/>
      <c r="H662" s="221"/>
      <c r="I662" s="255"/>
    </row>
    <row r="663" spans="1:9" hidden="1">
      <c r="B663" s="219">
        <v>45950</v>
      </c>
      <c r="C663" s="220">
        <v>0</v>
      </c>
      <c r="D663" s="220">
        <v>13105</v>
      </c>
      <c r="E663" s="224" t="s">
        <v>80</v>
      </c>
      <c r="F663" s="225">
        <v>102003</v>
      </c>
      <c r="G663" s="228">
        <v>923.86</v>
      </c>
      <c r="H663" s="222"/>
      <c r="I663" s="254"/>
    </row>
    <row r="664" spans="1:9" ht="36" hidden="1">
      <c r="B664" s="226"/>
      <c r="C664" s="226"/>
      <c r="D664" s="226"/>
      <c r="E664" s="221" t="s">
        <v>81</v>
      </c>
      <c r="F664" s="221"/>
      <c r="G664" s="227"/>
      <c r="H664" s="221"/>
      <c r="I664" s="255"/>
    </row>
    <row r="665" spans="1:9" hidden="1">
      <c r="B665" s="219">
        <v>45950</v>
      </c>
      <c r="C665" s="220">
        <v>0</v>
      </c>
      <c r="D665" s="220">
        <v>13105</v>
      </c>
      <c r="E665" s="224" t="s">
        <v>80</v>
      </c>
      <c r="F665" s="225">
        <v>102004</v>
      </c>
      <c r="G665" s="228">
        <v>131.08000000000001</v>
      </c>
      <c r="H665" s="222"/>
      <c r="I665" s="254"/>
    </row>
    <row r="666" spans="1:9" ht="36" hidden="1">
      <c r="B666" s="226"/>
      <c r="C666" s="226"/>
      <c r="D666" s="226"/>
      <c r="E666" s="221" t="s">
        <v>81</v>
      </c>
      <c r="F666" s="221"/>
      <c r="G666" s="227"/>
      <c r="H666" s="221"/>
      <c r="I666" s="255"/>
    </row>
    <row r="667" spans="1:9" ht="18" hidden="1">
      <c r="B667" s="219">
        <v>45950</v>
      </c>
      <c r="C667" s="220">
        <v>0</v>
      </c>
      <c r="D667" s="220">
        <v>13105</v>
      </c>
      <c r="E667" s="224" t="s">
        <v>31</v>
      </c>
      <c r="F667" s="225">
        <v>102005</v>
      </c>
      <c r="G667" s="228">
        <v>339.34</v>
      </c>
      <c r="H667" s="222"/>
      <c r="I667" s="254"/>
    </row>
    <row r="668" spans="1:9" ht="60" hidden="1">
      <c r="B668" s="226"/>
      <c r="C668" s="226"/>
      <c r="D668" s="226"/>
      <c r="E668" s="221" t="s">
        <v>45</v>
      </c>
      <c r="F668" s="221"/>
      <c r="G668" s="227"/>
      <c r="H668" s="221"/>
      <c r="I668" s="255"/>
    </row>
    <row r="669" spans="1:9" ht="18" hidden="1">
      <c r="B669" s="219">
        <v>45950</v>
      </c>
      <c r="C669" s="220">
        <v>0</v>
      </c>
      <c r="D669" s="220">
        <v>13105</v>
      </c>
      <c r="E669" s="224" t="s">
        <v>31</v>
      </c>
      <c r="F669" s="225">
        <v>102006</v>
      </c>
      <c r="G669" s="228">
        <v>2300.65</v>
      </c>
      <c r="H669" s="222"/>
      <c r="I669" s="254"/>
    </row>
    <row r="670" spans="1:9" ht="60" hidden="1">
      <c r="B670" s="226"/>
      <c r="C670" s="226"/>
      <c r="D670" s="226"/>
      <c r="E670" s="221" t="s">
        <v>46</v>
      </c>
      <c r="F670" s="221"/>
      <c r="G670" s="227"/>
      <c r="H670" s="221"/>
      <c r="I670" s="255"/>
    </row>
    <row r="671" spans="1:9" ht="18" hidden="1">
      <c r="B671" s="219">
        <v>45950</v>
      </c>
      <c r="C671" s="220">
        <v>0</v>
      </c>
      <c r="D671" s="220">
        <v>13105</v>
      </c>
      <c r="E671" s="224" t="s">
        <v>31</v>
      </c>
      <c r="F671" s="225">
        <v>102007</v>
      </c>
      <c r="G671" s="228">
        <v>440.02</v>
      </c>
      <c r="H671" s="222"/>
      <c r="I671" s="254"/>
    </row>
    <row r="672" spans="1:9" ht="60" hidden="1">
      <c r="B672" s="226"/>
      <c r="C672" s="226"/>
      <c r="D672" s="226"/>
      <c r="E672" s="221" t="s">
        <v>165</v>
      </c>
      <c r="F672" s="221"/>
      <c r="G672" s="227"/>
      <c r="H672" s="221"/>
      <c r="I672" s="255"/>
    </row>
    <row r="673" spans="1:9" ht="18" hidden="1">
      <c r="B673" s="219">
        <v>45950</v>
      </c>
      <c r="C673" s="220">
        <v>0</v>
      </c>
      <c r="D673" s="220">
        <v>13105</v>
      </c>
      <c r="E673" s="224" t="s">
        <v>31</v>
      </c>
      <c r="F673" s="225">
        <v>102008</v>
      </c>
      <c r="G673" s="228">
        <v>85.61</v>
      </c>
      <c r="H673" s="222"/>
      <c r="I673" s="254"/>
    </row>
    <row r="674" spans="1:9" ht="48" hidden="1">
      <c r="B674" s="226"/>
      <c r="C674" s="226"/>
      <c r="D674" s="226"/>
      <c r="E674" s="221" t="s">
        <v>223</v>
      </c>
      <c r="F674" s="221"/>
      <c r="G674" s="227"/>
      <c r="H674" s="221"/>
      <c r="I674" s="255"/>
    </row>
    <row r="675" spans="1:9" ht="18" hidden="1">
      <c r="B675" s="219">
        <v>45950</v>
      </c>
      <c r="C675" s="220">
        <v>0</v>
      </c>
      <c r="D675" s="220">
        <v>0</v>
      </c>
      <c r="E675" s="224" t="s">
        <v>52</v>
      </c>
      <c r="F675" s="225">
        <v>9903</v>
      </c>
      <c r="G675" s="223">
        <v>949.35</v>
      </c>
      <c r="H675" s="222"/>
      <c r="I675" s="254"/>
    </row>
    <row r="676" spans="1:9" ht="24" hidden="1">
      <c r="B676" s="226"/>
      <c r="C676" s="226"/>
      <c r="D676" s="226"/>
      <c r="E676" s="221" t="s">
        <v>53</v>
      </c>
      <c r="F676" s="221"/>
      <c r="G676" s="227"/>
      <c r="H676" s="221"/>
      <c r="I676" s="255"/>
    </row>
    <row r="677" spans="1:9" ht="18">
      <c r="A677" s="179" t="s">
        <v>140</v>
      </c>
      <c r="B677" s="219">
        <v>45951</v>
      </c>
      <c r="C677" s="220">
        <v>0</v>
      </c>
      <c r="D677" s="220">
        <v>14138</v>
      </c>
      <c r="E677" s="224" t="s">
        <v>141</v>
      </c>
      <c r="F677" s="225">
        <v>202510200057222</v>
      </c>
      <c r="G677" s="223">
        <v>259.5</v>
      </c>
      <c r="H677" s="222">
        <v>4096</v>
      </c>
      <c r="I677" s="254" t="s">
        <v>419</v>
      </c>
    </row>
    <row r="678" spans="1:9" ht="36" hidden="1">
      <c r="B678" s="226"/>
      <c r="C678" s="226"/>
      <c r="D678" s="226"/>
      <c r="E678" s="221" t="s">
        <v>143</v>
      </c>
      <c r="F678" s="221"/>
      <c r="G678" s="227"/>
      <c r="H678" s="221"/>
      <c r="I678" s="255"/>
    </row>
    <row r="679" spans="1:9" ht="18">
      <c r="A679" s="179" t="s">
        <v>140</v>
      </c>
      <c r="B679" s="219">
        <v>45951</v>
      </c>
      <c r="C679" s="220">
        <v>0</v>
      </c>
      <c r="D679" s="220">
        <v>14138</v>
      </c>
      <c r="E679" s="224" t="s">
        <v>141</v>
      </c>
      <c r="F679" s="225">
        <v>202510200057224</v>
      </c>
      <c r="G679" s="223">
        <v>1201.19</v>
      </c>
      <c r="H679" s="222">
        <v>4112</v>
      </c>
      <c r="I679" s="254" t="s">
        <v>419</v>
      </c>
    </row>
    <row r="680" spans="1:9" ht="36" hidden="1">
      <c r="B680" s="226"/>
      <c r="C680" s="226"/>
      <c r="D680" s="226"/>
      <c r="E680" s="221" t="s">
        <v>143</v>
      </c>
      <c r="F680" s="221"/>
      <c r="G680" s="227"/>
      <c r="H680" s="221"/>
      <c r="I680" s="255"/>
    </row>
    <row r="681" spans="1:9" ht="18">
      <c r="A681" s="179" t="s">
        <v>140</v>
      </c>
      <c r="B681" s="219">
        <v>45951</v>
      </c>
      <c r="C681" s="220">
        <v>0</v>
      </c>
      <c r="D681" s="220">
        <v>14138</v>
      </c>
      <c r="E681" s="224" t="s">
        <v>141</v>
      </c>
      <c r="F681" s="225">
        <v>202510200057226</v>
      </c>
      <c r="G681" s="223">
        <v>609.28</v>
      </c>
      <c r="H681" s="222">
        <v>4069</v>
      </c>
      <c r="I681" s="254" t="s">
        <v>419</v>
      </c>
    </row>
    <row r="682" spans="1:9" ht="36" hidden="1">
      <c r="B682" s="226"/>
      <c r="C682" s="226"/>
      <c r="D682" s="226"/>
      <c r="E682" s="221" t="s">
        <v>143</v>
      </c>
      <c r="F682" s="221"/>
      <c r="G682" s="227"/>
      <c r="H682" s="221"/>
      <c r="I682" s="255"/>
    </row>
    <row r="683" spans="1:9" ht="18">
      <c r="A683" s="179" t="s">
        <v>140</v>
      </c>
      <c r="B683" s="219">
        <v>45951</v>
      </c>
      <c r="C683" s="220">
        <v>0</v>
      </c>
      <c r="D683" s="220">
        <v>14138</v>
      </c>
      <c r="E683" s="224" t="s">
        <v>141</v>
      </c>
      <c r="F683" s="225">
        <v>202510200057228</v>
      </c>
      <c r="G683" s="223">
        <v>609.28</v>
      </c>
      <c r="H683" s="222">
        <v>4068</v>
      </c>
      <c r="I683" s="254" t="s">
        <v>419</v>
      </c>
    </row>
    <row r="684" spans="1:9" ht="36" hidden="1">
      <c r="B684" s="226"/>
      <c r="C684" s="226"/>
      <c r="D684" s="226"/>
      <c r="E684" s="221" t="s">
        <v>143</v>
      </c>
      <c r="F684" s="221"/>
      <c r="G684" s="227"/>
      <c r="H684" s="221"/>
      <c r="I684" s="255"/>
    </row>
    <row r="685" spans="1:9" ht="18" hidden="1">
      <c r="B685" s="219">
        <v>45951</v>
      </c>
      <c r="C685" s="220">
        <v>0</v>
      </c>
      <c r="D685" s="220">
        <v>14397</v>
      </c>
      <c r="E685" s="224" t="s">
        <v>57</v>
      </c>
      <c r="F685" s="225">
        <v>211041483991552</v>
      </c>
      <c r="G685" s="223">
        <v>313.69</v>
      </c>
      <c r="H685" s="222"/>
      <c r="I685" s="254"/>
    </row>
    <row r="686" spans="1:9" ht="48" hidden="1">
      <c r="B686" s="226"/>
      <c r="C686" s="226"/>
      <c r="D686" s="226"/>
      <c r="E686" s="221" t="s">
        <v>1454</v>
      </c>
      <c r="F686" s="221"/>
      <c r="G686" s="227"/>
      <c r="H686" s="221"/>
      <c r="I686" s="255"/>
    </row>
    <row r="687" spans="1:9" ht="18" hidden="1">
      <c r="B687" s="219">
        <v>45951</v>
      </c>
      <c r="C687" s="220">
        <v>1533</v>
      </c>
      <c r="D687" s="220">
        <v>99008</v>
      </c>
      <c r="E687" s="224" t="s">
        <v>29</v>
      </c>
      <c r="F687" s="225">
        <v>621950</v>
      </c>
      <c r="G687" s="228">
        <v>163.04</v>
      </c>
      <c r="H687" s="222"/>
      <c r="I687" s="254"/>
    </row>
    <row r="688" spans="1:9" ht="36" hidden="1">
      <c r="B688" s="226"/>
      <c r="C688" s="226"/>
      <c r="D688" s="226"/>
      <c r="E688" s="221" t="s">
        <v>1455</v>
      </c>
      <c r="F688" s="221"/>
      <c r="G688" s="227"/>
      <c r="H688" s="221"/>
      <c r="I688" s="255"/>
    </row>
    <row r="689" spans="2:9" ht="18" hidden="1">
      <c r="B689" s="219">
        <v>45951</v>
      </c>
      <c r="C689" s="220">
        <v>0</v>
      </c>
      <c r="D689" s="220">
        <v>0</v>
      </c>
      <c r="E689" s="224" t="s">
        <v>59</v>
      </c>
      <c r="F689" s="225">
        <v>9903</v>
      </c>
      <c r="G689" s="228">
        <v>2829.9</v>
      </c>
      <c r="H689" s="222"/>
      <c r="I689" s="254"/>
    </row>
    <row r="690" spans="2:9" ht="24" hidden="1">
      <c r="B690" s="226"/>
      <c r="C690" s="226"/>
      <c r="D690" s="226"/>
      <c r="E690" s="221" t="s">
        <v>53</v>
      </c>
      <c r="F690" s="221"/>
      <c r="G690" s="227"/>
      <c r="H690" s="221"/>
      <c r="I690" s="255"/>
    </row>
    <row r="691" spans="2:9" ht="27" hidden="1">
      <c r="B691" s="219">
        <v>45952</v>
      </c>
      <c r="C691" s="220">
        <v>0</v>
      </c>
      <c r="D691" s="220">
        <v>14175</v>
      </c>
      <c r="E691" s="224" t="s">
        <v>62</v>
      </c>
      <c r="F691" s="225">
        <v>398707989</v>
      </c>
      <c r="G691" s="223">
        <v>4000</v>
      </c>
      <c r="H691" s="222"/>
      <c r="I691" s="254"/>
    </row>
    <row r="692" spans="2:9" ht="60" hidden="1">
      <c r="B692" s="226"/>
      <c r="C692" s="226"/>
      <c r="D692" s="226"/>
      <c r="E692" s="221" t="s">
        <v>97</v>
      </c>
      <c r="F692" s="221"/>
      <c r="G692" s="227"/>
      <c r="H692" s="221"/>
      <c r="I692" s="255"/>
    </row>
    <row r="693" spans="2:9" ht="27" hidden="1">
      <c r="B693" s="219">
        <v>45952</v>
      </c>
      <c r="C693" s="220">
        <v>0</v>
      </c>
      <c r="D693" s="220">
        <v>14175</v>
      </c>
      <c r="E693" s="224" t="s">
        <v>62</v>
      </c>
      <c r="F693" s="225">
        <v>398724992</v>
      </c>
      <c r="G693" s="223">
        <v>5300</v>
      </c>
      <c r="H693" s="222"/>
      <c r="I693" s="254"/>
    </row>
    <row r="694" spans="2:9" ht="60" hidden="1">
      <c r="B694" s="226"/>
      <c r="C694" s="226"/>
      <c r="D694" s="226"/>
      <c r="E694" s="221" t="s">
        <v>97</v>
      </c>
      <c r="F694" s="221"/>
      <c r="G694" s="227"/>
      <c r="H694" s="221"/>
      <c r="I694" s="255"/>
    </row>
    <row r="695" spans="2:9" ht="18" hidden="1">
      <c r="B695" s="219">
        <v>45952</v>
      </c>
      <c r="C695" s="220">
        <v>0</v>
      </c>
      <c r="D695" s="220">
        <v>14397</v>
      </c>
      <c r="E695" s="224" t="s">
        <v>57</v>
      </c>
      <c r="F695" s="225">
        <v>221248516143032</v>
      </c>
      <c r="G695" s="223">
        <v>249.21</v>
      </c>
      <c r="H695" s="222"/>
      <c r="I695" s="254"/>
    </row>
    <row r="696" spans="2:9" ht="60" hidden="1">
      <c r="B696" s="226"/>
      <c r="C696" s="226"/>
      <c r="D696" s="226"/>
      <c r="E696" s="221" t="s">
        <v>1456</v>
      </c>
      <c r="F696" s="221"/>
      <c r="G696" s="227"/>
      <c r="H696" s="221"/>
      <c r="I696" s="255"/>
    </row>
    <row r="697" spans="2:9" ht="18" hidden="1">
      <c r="B697" s="219">
        <v>45952</v>
      </c>
      <c r="C697" s="220">
        <v>0</v>
      </c>
      <c r="D697" s="220">
        <v>14397</v>
      </c>
      <c r="E697" s="224" t="s">
        <v>57</v>
      </c>
      <c r="F697" s="225">
        <v>221615512584632</v>
      </c>
      <c r="G697" s="223">
        <v>392.75</v>
      </c>
      <c r="H697" s="222"/>
      <c r="I697" s="254"/>
    </row>
    <row r="698" spans="2:9" ht="60" hidden="1">
      <c r="B698" s="226"/>
      <c r="C698" s="226"/>
      <c r="D698" s="226"/>
      <c r="E698" s="221" t="s">
        <v>1457</v>
      </c>
      <c r="F698" s="221"/>
      <c r="G698" s="227"/>
      <c r="H698" s="221"/>
      <c r="I698" s="255"/>
    </row>
    <row r="699" spans="2:9" ht="18" hidden="1">
      <c r="B699" s="219">
        <v>45952</v>
      </c>
      <c r="C699" s="220">
        <v>0</v>
      </c>
      <c r="D699" s="220">
        <v>13105</v>
      </c>
      <c r="E699" s="224" t="s">
        <v>31</v>
      </c>
      <c r="F699" s="225">
        <v>102201</v>
      </c>
      <c r="G699" s="228">
        <v>249.46</v>
      </c>
      <c r="H699" s="222"/>
      <c r="I699" s="254"/>
    </row>
    <row r="700" spans="2:9" ht="60" hidden="1">
      <c r="B700" s="226"/>
      <c r="C700" s="226"/>
      <c r="D700" s="226"/>
      <c r="E700" s="221" t="s">
        <v>1318</v>
      </c>
      <c r="F700" s="221"/>
      <c r="G700" s="227"/>
      <c r="H700" s="221"/>
      <c r="I700" s="255"/>
    </row>
    <row r="701" spans="2:9" hidden="1">
      <c r="B701" s="219">
        <v>45952</v>
      </c>
      <c r="C701" s="220">
        <v>0</v>
      </c>
      <c r="D701" s="220">
        <v>13105</v>
      </c>
      <c r="E701" s="224" t="s">
        <v>80</v>
      </c>
      <c r="F701" s="225">
        <v>102202</v>
      </c>
      <c r="G701" s="228">
        <v>551.69000000000005</v>
      </c>
      <c r="H701" s="222"/>
      <c r="I701" s="254"/>
    </row>
    <row r="702" spans="2:9" ht="36" hidden="1">
      <c r="B702" s="226"/>
      <c r="C702" s="226"/>
      <c r="D702" s="226"/>
      <c r="E702" s="221" t="s">
        <v>81</v>
      </c>
      <c r="F702" s="221"/>
      <c r="G702" s="227"/>
      <c r="H702" s="221"/>
      <c r="I702" s="255"/>
    </row>
    <row r="703" spans="2:9" hidden="1">
      <c r="B703" s="219">
        <v>45952</v>
      </c>
      <c r="C703" s="220">
        <v>0</v>
      </c>
      <c r="D703" s="220">
        <v>13105</v>
      </c>
      <c r="E703" s="224" t="s">
        <v>80</v>
      </c>
      <c r="F703" s="225">
        <v>102203</v>
      </c>
      <c r="G703" s="228">
        <v>164.78</v>
      </c>
      <c r="H703" s="222"/>
      <c r="I703" s="254"/>
    </row>
    <row r="704" spans="2:9" ht="36" hidden="1">
      <c r="B704" s="226"/>
      <c r="C704" s="226"/>
      <c r="D704" s="226"/>
      <c r="E704" s="221" t="s">
        <v>81</v>
      </c>
      <c r="F704" s="221"/>
      <c r="G704" s="227"/>
      <c r="H704" s="221"/>
      <c r="I704" s="255"/>
    </row>
    <row r="705" spans="2:9" hidden="1">
      <c r="B705" s="219">
        <v>45952</v>
      </c>
      <c r="C705" s="220">
        <v>0</v>
      </c>
      <c r="D705" s="220">
        <v>13105</v>
      </c>
      <c r="E705" s="224" t="s">
        <v>80</v>
      </c>
      <c r="F705" s="225">
        <v>102204</v>
      </c>
      <c r="G705" s="228">
        <v>472.17</v>
      </c>
      <c r="H705" s="222"/>
      <c r="I705" s="254"/>
    </row>
    <row r="706" spans="2:9" ht="36" hidden="1">
      <c r="B706" s="226"/>
      <c r="C706" s="226"/>
      <c r="D706" s="226"/>
      <c r="E706" s="221" t="s">
        <v>81</v>
      </c>
      <c r="F706" s="221"/>
      <c r="G706" s="227"/>
      <c r="H706" s="221"/>
      <c r="I706" s="255"/>
    </row>
    <row r="707" spans="2:9" ht="18" hidden="1">
      <c r="B707" s="219">
        <v>45952</v>
      </c>
      <c r="C707" s="220">
        <v>0</v>
      </c>
      <c r="D707" s="220">
        <v>13105</v>
      </c>
      <c r="E707" s="224" t="s">
        <v>31</v>
      </c>
      <c r="F707" s="225">
        <v>102205</v>
      </c>
      <c r="G707" s="228">
        <v>338.77</v>
      </c>
      <c r="H707" s="222"/>
      <c r="I707" s="254"/>
    </row>
    <row r="708" spans="2:9" ht="60" hidden="1">
      <c r="B708" s="226"/>
      <c r="C708" s="226"/>
      <c r="D708" s="226"/>
      <c r="E708" s="221" t="s">
        <v>45</v>
      </c>
      <c r="F708" s="221"/>
      <c r="G708" s="227"/>
      <c r="H708" s="221"/>
      <c r="I708" s="255"/>
    </row>
    <row r="709" spans="2:9" ht="18" hidden="1">
      <c r="B709" s="219">
        <v>45952</v>
      </c>
      <c r="C709" s="220">
        <v>0</v>
      </c>
      <c r="D709" s="220">
        <v>13105</v>
      </c>
      <c r="E709" s="224" t="s">
        <v>31</v>
      </c>
      <c r="F709" s="225">
        <v>102206</v>
      </c>
      <c r="G709" s="228">
        <v>595.22</v>
      </c>
      <c r="H709" s="222"/>
      <c r="I709" s="254"/>
    </row>
    <row r="710" spans="2:9" ht="60" hidden="1">
      <c r="B710" s="226"/>
      <c r="C710" s="226"/>
      <c r="D710" s="226"/>
      <c r="E710" s="221" t="s">
        <v>45</v>
      </c>
      <c r="F710" s="221"/>
      <c r="G710" s="227"/>
      <c r="H710" s="221"/>
      <c r="I710" s="255"/>
    </row>
    <row r="711" spans="2:9" ht="18" hidden="1">
      <c r="B711" s="219">
        <v>45952</v>
      </c>
      <c r="C711" s="220">
        <v>0</v>
      </c>
      <c r="D711" s="220">
        <v>13105</v>
      </c>
      <c r="E711" s="224" t="s">
        <v>31</v>
      </c>
      <c r="F711" s="225">
        <v>102207</v>
      </c>
      <c r="G711" s="228">
        <v>314.04000000000002</v>
      </c>
      <c r="H711" s="222"/>
      <c r="I711" s="254"/>
    </row>
    <row r="712" spans="2:9" ht="60" hidden="1">
      <c r="B712" s="226"/>
      <c r="C712" s="226"/>
      <c r="D712" s="226"/>
      <c r="E712" s="221" t="s">
        <v>45</v>
      </c>
      <c r="F712" s="221"/>
      <c r="G712" s="227"/>
      <c r="H712" s="221"/>
      <c r="I712" s="255"/>
    </row>
    <row r="713" spans="2:9" ht="18" hidden="1">
      <c r="B713" s="219">
        <v>45952</v>
      </c>
      <c r="C713" s="220">
        <v>0</v>
      </c>
      <c r="D713" s="220">
        <v>13105</v>
      </c>
      <c r="E713" s="224" t="s">
        <v>31</v>
      </c>
      <c r="F713" s="225">
        <v>102208</v>
      </c>
      <c r="G713" s="228">
        <v>275.39</v>
      </c>
      <c r="H713" s="222"/>
      <c r="I713" s="254"/>
    </row>
    <row r="714" spans="2:9" ht="60" hidden="1">
      <c r="B714" s="226"/>
      <c r="C714" s="226"/>
      <c r="D714" s="226"/>
      <c r="E714" s="221" t="s">
        <v>45</v>
      </c>
      <c r="F714" s="221"/>
      <c r="G714" s="227"/>
      <c r="H714" s="221"/>
      <c r="I714" s="255"/>
    </row>
    <row r="715" spans="2:9" ht="18" hidden="1">
      <c r="B715" s="219">
        <v>45952</v>
      </c>
      <c r="C715" s="220">
        <v>0</v>
      </c>
      <c r="D715" s="220">
        <v>13105</v>
      </c>
      <c r="E715" s="224" t="s">
        <v>31</v>
      </c>
      <c r="F715" s="225">
        <v>102209</v>
      </c>
      <c r="G715" s="228">
        <v>331.13</v>
      </c>
      <c r="H715" s="222"/>
      <c r="I715" s="254"/>
    </row>
    <row r="716" spans="2:9" ht="60" hidden="1">
      <c r="B716" s="226"/>
      <c r="C716" s="226"/>
      <c r="D716" s="226"/>
      <c r="E716" s="221" t="s">
        <v>45</v>
      </c>
      <c r="F716" s="221"/>
      <c r="G716" s="227"/>
      <c r="H716" s="221"/>
      <c r="I716" s="255"/>
    </row>
    <row r="717" spans="2:9" ht="18" hidden="1">
      <c r="B717" s="219">
        <v>45952</v>
      </c>
      <c r="C717" s="220">
        <v>0</v>
      </c>
      <c r="D717" s="220">
        <v>13105</v>
      </c>
      <c r="E717" s="224" t="s">
        <v>31</v>
      </c>
      <c r="F717" s="225">
        <v>102210</v>
      </c>
      <c r="G717" s="228">
        <v>166.64</v>
      </c>
      <c r="H717" s="222"/>
      <c r="I717" s="254"/>
    </row>
    <row r="718" spans="2:9" ht="60" hidden="1">
      <c r="B718" s="226"/>
      <c r="C718" s="226"/>
      <c r="D718" s="226"/>
      <c r="E718" s="221" t="s">
        <v>46</v>
      </c>
      <c r="F718" s="221"/>
      <c r="G718" s="227"/>
      <c r="H718" s="221"/>
      <c r="I718" s="255"/>
    </row>
    <row r="719" spans="2:9" ht="18" hidden="1">
      <c r="B719" s="219">
        <v>45952</v>
      </c>
      <c r="C719" s="220">
        <v>0</v>
      </c>
      <c r="D719" s="220">
        <v>13105</v>
      </c>
      <c r="E719" s="224" t="s">
        <v>31</v>
      </c>
      <c r="F719" s="225">
        <v>102211</v>
      </c>
      <c r="G719" s="228">
        <v>247.19</v>
      </c>
      <c r="H719" s="222"/>
      <c r="I719" s="254"/>
    </row>
    <row r="720" spans="2:9" ht="36" hidden="1">
      <c r="B720" s="226"/>
      <c r="C720" s="226"/>
      <c r="D720" s="226"/>
      <c r="E720" s="221" t="s">
        <v>111</v>
      </c>
      <c r="F720" s="221"/>
      <c r="G720" s="227"/>
      <c r="H720" s="221"/>
      <c r="I720" s="255"/>
    </row>
    <row r="721" spans="2:9" ht="18" hidden="1">
      <c r="B721" s="219">
        <v>45952</v>
      </c>
      <c r="C721" s="220">
        <v>0</v>
      </c>
      <c r="D721" s="220">
        <v>13105</v>
      </c>
      <c r="E721" s="224" t="s">
        <v>31</v>
      </c>
      <c r="F721" s="225">
        <v>102212</v>
      </c>
      <c r="G721" s="228">
        <v>302.97000000000003</v>
      </c>
      <c r="H721" s="222"/>
      <c r="I721" s="254"/>
    </row>
    <row r="722" spans="2:9" ht="48" hidden="1">
      <c r="B722" s="226"/>
      <c r="C722" s="226"/>
      <c r="D722" s="226"/>
      <c r="E722" s="221" t="s">
        <v>50</v>
      </c>
      <c r="F722" s="221"/>
      <c r="G722" s="227"/>
      <c r="H722" s="221"/>
      <c r="I722" s="255"/>
    </row>
    <row r="723" spans="2:9" ht="18" hidden="1">
      <c r="B723" s="219">
        <v>45952</v>
      </c>
      <c r="C723" s="220">
        <v>0</v>
      </c>
      <c r="D723" s="220">
        <v>13105</v>
      </c>
      <c r="E723" s="224" t="s">
        <v>31</v>
      </c>
      <c r="F723" s="225">
        <v>102213</v>
      </c>
      <c r="G723" s="228">
        <v>357.02</v>
      </c>
      <c r="H723" s="222"/>
      <c r="I723" s="254"/>
    </row>
    <row r="724" spans="2:9" ht="48" hidden="1">
      <c r="B724" s="226"/>
      <c r="C724" s="226"/>
      <c r="D724" s="226"/>
      <c r="E724" s="221" t="s">
        <v>50</v>
      </c>
      <c r="F724" s="221"/>
      <c r="G724" s="227"/>
      <c r="H724" s="221"/>
      <c r="I724" s="255"/>
    </row>
    <row r="725" spans="2:9" ht="18" hidden="1">
      <c r="B725" s="219">
        <v>45952</v>
      </c>
      <c r="C725" s="220">
        <v>0</v>
      </c>
      <c r="D725" s="220">
        <v>13105</v>
      </c>
      <c r="E725" s="224" t="s">
        <v>31</v>
      </c>
      <c r="F725" s="225">
        <v>102214</v>
      </c>
      <c r="G725" s="228">
        <v>227.08</v>
      </c>
      <c r="H725" s="222"/>
      <c r="I725" s="254"/>
    </row>
    <row r="726" spans="2:9" ht="36" hidden="1">
      <c r="B726" s="226"/>
      <c r="C726" s="226"/>
      <c r="D726" s="226"/>
      <c r="E726" s="221" t="s">
        <v>111</v>
      </c>
      <c r="F726" s="221"/>
      <c r="G726" s="227"/>
      <c r="H726" s="221"/>
      <c r="I726" s="255"/>
    </row>
    <row r="727" spans="2:9" ht="18" hidden="1">
      <c r="B727" s="219">
        <v>45952</v>
      </c>
      <c r="C727" s="220">
        <v>0</v>
      </c>
      <c r="D727" s="220">
        <v>13105</v>
      </c>
      <c r="E727" s="224" t="s">
        <v>31</v>
      </c>
      <c r="F727" s="225">
        <v>102215</v>
      </c>
      <c r="G727" s="228">
        <v>634.4</v>
      </c>
      <c r="H727" s="222"/>
      <c r="I727" s="254"/>
    </row>
    <row r="728" spans="2:9" ht="60" hidden="1">
      <c r="B728" s="226"/>
      <c r="C728" s="226"/>
      <c r="D728" s="226"/>
      <c r="E728" s="221" t="s">
        <v>675</v>
      </c>
      <c r="F728" s="221"/>
      <c r="G728" s="227"/>
      <c r="H728" s="221"/>
      <c r="I728" s="255"/>
    </row>
    <row r="729" spans="2:9" ht="18" hidden="1">
      <c r="B729" s="219">
        <v>45952</v>
      </c>
      <c r="C729" s="220">
        <v>0</v>
      </c>
      <c r="D729" s="220">
        <v>13105</v>
      </c>
      <c r="E729" s="224" t="s">
        <v>31</v>
      </c>
      <c r="F729" s="225">
        <v>102216</v>
      </c>
      <c r="G729" s="228">
        <v>81.540000000000006</v>
      </c>
      <c r="H729" s="222"/>
      <c r="I729" s="254"/>
    </row>
    <row r="730" spans="2:9" ht="48" hidden="1">
      <c r="B730" s="226"/>
      <c r="C730" s="226"/>
      <c r="D730" s="226"/>
      <c r="E730" s="221" t="s">
        <v>185</v>
      </c>
      <c r="F730" s="221"/>
      <c r="G730" s="227"/>
      <c r="H730" s="221"/>
      <c r="I730" s="255"/>
    </row>
    <row r="731" spans="2:9" ht="18" hidden="1">
      <c r="B731" s="219">
        <v>45952</v>
      </c>
      <c r="C731" s="220">
        <v>0</v>
      </c>
      <c r="D731" s="220">
        <v>13105</v>
      </c>
      <c r="E731" s="224" t="s">
        <v>34</v>
      </c>
      <c r="F731" s="225">
        <v>102217</v>
      </c>
      <c r="G731" s="228">
        <v>65.95</v>
      </c>
      <c r="H731" s="222"/>
      <c r="I731" s="254"/>
    </row>
    <row r="732" spans="2:9" hidden="1">
      <c r="B732" s="226"/>
      <c r="C732" s="226"/>
      <c r="D732" s="226"/>
      <c r="E732" s="221" t="s">
        <v>288</v>
      </c>
      <c r="F732" s="221"/>
      <c r="G732" s="227"/>
      <c r="H732" s="221"/>
      <c r="I732" s="255"/>
    </row>
    <row r="733" spans="2:9" ht="18" hidden="1">
      <c r="B733" s="219">
        <v>45952</v>
      </c>
      <c r="C733" s="220">
        <v>0</v>
      </c>
      <c r="D733" s="220">
        <v>13105</v>
      </c>
      <c r="E733" s="224" t="s">
        <v>31</v>
      </c>
      <c r="F733" s="225">
        <v>102218</v>
      </c>
      <c r="G733" s="228">
        <v>299.85000000000002</v>
      </c>
      <c r="H733" s="222"/>
      <c r="I733" s="254"/>
    </row>
    <row r="734" spans="2:9" ht="60" hidden="1">
      <c r="B734" s="226"/>
      <c r="C734" s="226"/>
      <c r="D734" s="226"/>
      <c r="E734" s="221" t="s">
        <v>110</v>
      </c>
      <c r="F734" s="221"/>
      <c r="G734" s="227"/>
      <c r="H734" s="221"/>
      <c r="I734" s="255"/>
    </row>
    <row r="735" spans="2:9" ht="18" hidden="1">
      <c r="B735" s="219">
        <v>45952</v>
      </c>
      <c r="C735" s="220">
        <v>0</v>
      </c>
      <c r="D735" s="220">
        <v>13105</v>
      </c>
      <c r="E735" s="224" t="s">
        <v>31</v>
      </c>
      <c r="F735" s="225">
        <v>102219</v>
      </c>
      <c r="G735" s="228">
        <v>364.12</v>
      </c>
      <c r="H735" s="222"/>
      <c r="I735" s="254"/>
    </row>
    <row r="736" spans="2:9" ht="60" hidden="1">
      <c r="B736" s="226"/>
      <c r="C736" s="226"/>
      <c r="D736" s="226"/>
      <c r="E736" s="221" t="s">
        <v>110</v>
      </c>
      <c r="F736" s="221"/>
      <c r="G736" s="227"/>
      <c r="H736" s="221"/>
      <c r="I736" s="255"/>
    </row>
    <row r="737" spans="2:9" ht="18" hidden="1">
      <c r="B737" s="219">
        <v>45952</v>
      </c>
      <c r="C737" s="220">
        <v>0</v>
      </c>
      <c r="D737" s="220">
        <v>13105</v>
      </c>
      <c r="E737" s="224" t="s">
        <v>31</v>
      </c>
      <c r="F737" s="225">
        <v>102220</v>
      </c>
      <c r="G737" s="228">
        <v>451.69</v>
      </c>
      <c r="H737" s="222"/>
      <c r="I737" s="254"/>
    </row>
    <row r="738" spans="2:9" ht="48" hidden="1">
      <c r="B738" s="226"/>
      <c r="C738" s="226"/>
      <c r="D738" s="226"/>
      <c r="E738" s="221" t="s">
        <v>340</v>
      </c>
      <c r="F738" s="221"/>
      <c r="G738" s="227"/>
      <c r="H738" s="221"/>
      <c r="I738" s="255"/>
    </row>
    <row r="739" spans="2:9" ht="18" hidden="1">
      <c r="B739" s="219">
        <v>45952</v>
      </c>
      <c r="C739" s="220">
        <v>0</v>
      </c>
      <c r="D739" s="220">
        <v>13105</v>
      </c>
      <c r="E739" s="224" t="s">
        <v>31</v>
      </c>
      <c r="F739" s="225">
        <v>102221</v>
      </c>
      <c r="G739" s="228">
        <v>326</v>
      </c>
      <c r="H739" s="222"/>
      <c r="I739" s="254"/>
    </row>
    <row r="740" spans="2:9" ht="60" hidden="1">
      <c r="B740" s="226"/>
      <c r="C740" s="226"/>
      <c r="D740" s="226"/>
      <c r="E740" s="221" t="s">
        <v>41</v>
      </c>
      <c r="F740" s="221"/>
      <c r="G740" s="227"/>
      <c r="H740" s="221"/>
      <c r="I740" s="255"/>
    </row>
    <row r="741" spans="2:9" ht="18" hidden="1">
      <c r="B741" s="219">
        <v>45952</v>
      </c>
      <c r="C741" s="220">
        <v>0</v>
      </c>
      <c r="D741" s="220">
        <v>13105</v>
      </c>
      <c r="E741" s="224" t="s">
        <v>31</v>
      </c>
      <c r="F741" s="225">
        <v>102222</v>
      </c>
      <c r="G741" s="228">
        <v>2272.54</v>
      </c>
      <c r="H741" s="222"/>
      <c r="I741" s="254"/>
    </row>
    <row r="742" spans="2:9" ht="48" hidden="1">
      <c r="B742" s="226"/>
      <c r="C742" s="226"/>
      <c r="D742" s="226"/>
      <c r="E742" s="221" t="s">
        <v>65</v>
      </c>
      <c r="F742" s="221"/>
      <c r="G742" s="227"/>
      <c r="H742" s="221"/>
      <c r="I742" s="255"/>
    </row>
    <row r="743" spans="2:9" ht="18" hidden="1">
      <c r="B743" s="219">
        <v>45952</v>
      </c>
      <c r="C743" s="220">
        <v>0</v>
      </c>
      <c r="D743" s="220">
        <v>13105</v>
      </c>
      <c r="E743" s="224" t="s">
        <v>31</v>
      </c>
      <c r="F743" s="225">
        <v>102223</v>
      </c>
      <c r="G743" s="228">
        <v>353.01</v>
      </c>
      <c r="H743" s="222"/>
      <c r="I743" s="254"/>
    </row>
    <row r="744" spans="2:9" ht="60" hidden="1">
      <c r="B744" s="226"/>
      <c r="C744" s="226"/>
      <c r="D744" s="226"/>
      <c r="E744" s="221" t="s">
        <v>41</v>
      </c>
      <c r="F744" s="221"/>
      <c r="G744" s="227"/>
      <c r="H744" s="221"/>
      <c r="I744" s="255"/>
    </row>
    <row r="745" spans="2:9" ht="18" hidden="1">
      <c r="B745" s="219">
        <v>45952</v>
      </c>
      <c r="C745" s="220">
        <v>0</v>
      </c>
      <c r="D745" s="220">
        <v>13105</v>
      </c>
      <c r="E745" s="224" t="s">
        <v>31</v>
      </c>
      <c r="F745" s="225">
        <v>102224</v>
      </c>
      <c r="G745" s="228">
        <v>356.07</v>
      </c>
      <c r="H745" s="222"/>
      <c r="I745" s="254"/>
    </row>
    <row r="746" spans="2:9" ht="60" hidden="1">
      <c r="B746" s="226"/>
      <c r="C746" s="226"/>
      <c r="D746" s="226"/>
      <c r="E746" s="221" t="s">
        <v>41</v>
      </c>
      <c r="F746" s="221"/>
      <c r="G746" s="227"/>
      <c r="H746" s="221"/>
      <c r="I746" s="255"/>
    </row>
    <row r="747" spans="2:9" ht="18" hidden="1">
      <c r="B747" s="219">
        <v>45952</v>
      </c>
      <c r="C747" s="220">
        <v>0</v>
      </c>
      <c r="D747" s="220">
        <v>13105</v>
      </c>
      <c r="E747" s="224" t="s">
        <v>31</v>
      </c>
      <c r="F747" s="225">
        <v>102225</v>
      </c>
      <c r="G747" s="228">
        <v>177.64</v>
      </c>
      <c r="H747" s="222"/>
      <c r="I747" s="254"/>
    </row>
    <row r="748" spans="2:9" ht="48" hidden="1">
      <c r="B748" s="226"/>
      <c r="C748" s="226"/>
      <c r="D748" s="226"/>
      <c r="E748" s="221" t="s">
        <v>216</v>
      </c>
      <c r="F748" s="221"/>
      <c r="G748" s="227"/>
      <c r="H748" s="221"/>
      <c r="I748" s="255"/>
    </row>
    <row r="749" spans="2:9" ht="18" hidden="1">
      <c r="B749" s="219">
        <v>45952</v>
      </c>
      <c r="C749" s="220">
        <v>0</v>
      </c>
      <c r="D749" s="220">
        <v>13105</v>
      </c>
      <c r="E749" s="224" t="s">
        <v>31</v>
      </c>
      <c r="F749" s="225">
        <v>102226</v>
      </c>
      <c r="G749" s="228">
        <v>181.87</v>
      </c>
      <c r="H749" s="222"/>
      <c r="I749" s="254"/>
    </row>
    <row r="750" spans="2:9" ht="48" hidden="1">
      <c r="B750" s="226"/>
      <c r="C750" s="226"/>
      <c r="D750" s="226"/>
      <c r="E750" s="221" t="s">
        <v>439</v>
      </c>
      <c r="F750" s="221"/>
      <c r="G750" s="227"/>
      <c r="H750" s="221"/>
      <c r="I750" s="255"/>
    </row>
    <row r="751" spans="2:9" ht="18" hidden="1">
      <c r="B751" s="219">
        <v>45952</v>
      </c>
      <c r="C751" s="220">
        <v>0</v>
      </c>
      <c r="D751" s="220">
        <v>13105</v>
      </c>
      <c r="E751" s="224" t="s">
        <v>31</v>
      </c>
      <c r="F751" s="225">
        <v>102227</v>
      </c>
      <c r="G751" s="228">
        <v>391.72</v>
      </c>
      <c r="H751" s="222"/>
      <c r="I751" s="254"/>
    </row>
    <row r="752" spans="2:9" ht="36" hidden="1">
      <c r="B752" s="226"/>
      <c r="C752" s="226"/>
      <c r="D752" s="226"/>
      <c r="E752" s="221" t="s">
        <v>636</v>
      </c>
      <c r="F752" s="221"/>
      <c r="G752" s="227"/>
      <c r="H752" s="221"/>
      <c r="I752" s="255"/>
    </row>
    <row r="753" spans="2:9" ht="18" hidden="1">
      <c r="B753" s="219">
        <v>45952</v>
      </c>
      <c r="C753" s="220">
        <v>0</v>
      </c>
      <c r="D753" s="220">
        <v>13105</v>
      </c>
      <c r="E753" s="224" t="s">
        <v>31</v>
      </c>
      <c r="F753" s="225">
        <v>102228</v>
      </c>
      <c r="G753" s="228">
        <v>311.77</v>
      </c>
      <c r="H753" s="222"/>
      <c r="I753" s="254"/>
    </row>
    <row r="754" spans="2:9" ht="48" hidden="1">
      <c r="B754" s="226"/>
      <c r="C754" s="226"/>
      <c r="D754" s="226"/>
      <c r="E754" s="221" t="s">
        <v>340</v>
      </c>
      <c r="F754" s="221"/>
      <c r="G754" s="227"/>
      <c r="H754" s="221"/>
      <c r="I754" s="255"/>
    </row>
    <row r="755" spans="2:9" ht="18" hidden="1">
      <c r="B755" s="219">
        <v>45952</v>
      </c>
      <c r="C755" s="220">
        <v>0</v>
      </c>
      <c r="D755" s="220">
        <v>13105</v>
      </c>
      <c r="E755" s="224" t="s">
        <v>31</v>
      </c>
      <c r="F755" s="225">
        <v>102229</v>
      </c>
      <c r="G755" s="228">
        <v>571.24</v>
      </c>
      <c r="H755" s="222"/>
      <c r="I755" s="254"/>
    </row>
    <row r="756" spans="2:9" ht="48" hidden="1">
      <c r="B756" s="226"/>
      <c r="C756" s="226"/>
      <c r="D756" s="226"/>
      <c r="E756" s="221" t="s">
        <v>340</v>
      </c>
      <c r="F756" s="221"/>
      <c r="G756" s="227"/>
      <c r="H756" s="221"/>
      <c r="I756" s="255"/>
    </row>
    <row r="757" spans="2:9" ht="18" hidden="1">
      <c r="B757" s="219">
        <v>45952</v>
      </c>
      <c r="C757" s="220">
        <v>0</v>
      </c>
      <c r="D757" s="220">
        <v>0</v>
      </c>
      <c r="E757" s="224" t="s">
        <v>52</v>
      </c>
      <c r="F757" s="225">
        <v>9903</v>
      </c>
      <c r="G757" s="223">
        <v>1491</v>
      </c>
      <c r="H757" s="222"/>
      <c r="I757" s="254"/>
    </row>
    <row r="758" spans="2:9" ht="24" hidden="1">
      <c r="B758" s="226"/>
      <c r="C758" s="226"/>
      <c r="D758" s="226"/>
      <c r="E758" s="221" t="s">
        <v>53</v>
      </c>
      <c r="F758" s="221"/>
      <c r="G758" s="227"/>
      <c r="H758" s="221"/>
      <c r="I758" s="255"/>
    </row>
    <row r="759" spans="2:9" ht="27" hidden="1">
      <c r="B759" s="219">
        <v>45953</v>
      </c>
      <c r="C759" s="220">
        <v>128</v>
      </c>
      <c r="D759" s="220">
        <v>99021</v>
      </c>
      <c r="E759" s="224" t="s">
        <v>27</v>
      </c>
      <c r="F759" s="225">
        <v>610128000064860</v>
      </c>
      <c r="G759" s="223">
        <v>3383.39</v>
      </c>
      <c r="H759" s="222"/>
      <c r="I759" s="254"/>
    </row>
    <row r="760" spans="2:9" ht="48" hidden="1">
      <c r="B760" s="226"/>
      <c r="C760" s="226"/>
      <c r="D760" s="226"/>
      <c r="E760" s="221" t="s">
        <v>1458</v>
      </c>
      <c r="F760" s="221"/>
      <c r="G760" s="227"/>
      <c r="H760" s="221"/>
      <c r="I760" s="255"/>
    </row>
    <row r="761" spans="2:9" ht="27" hidden="1">
      <c r="B761" s="219">
        <v>45953</v>
      </c>
      <c r="C761" s="220">
        <v>0</v>
      </c>
      <c r="D761" s="220">
        <v>14175</v>
      </c>
      <c r="E761" s="224" t="s">
        <v>62</v>
      </c>
      <c r="F761" s="225">
        <v>398777431</v>
      </c>
      <c r="G761" s="223">
        <v>2700</v>
      </c>
      <c r="H761" s="222"/>
      <c r="I761" s="254"/>
    </row>
    <row r="762" spans="2:9" ht="60" hidden="1">
      <c r="B762" s="226"/>
      <c r="C762" s="226"/>
      <c r="D762" s="226"/>
      <c r="E762" s="221" t="s">
        <v>97</v>
      </c>
      <c r="F762" s="221"/>
      <c r="G762" s="227"/>
      <c r="H762" s="221"/>
      <c r="I762" s="255"/>
    </row>
    <row r="763" spans="2:9" ht="18" hidden="1">
      <c r="B763" s="219">
        <v>45953</v>
      </c>
      <c r="C763" s="220">
        <v>0</v>
      </c>
      <c r="D763" s="220">
        <v>14397</v>
      </c>
      <c r="E763" s="224" t="s">
        <v>57</v>
      </c>
      <c r="F763" s="225">
        <v>231157344410421</v>
      </c>
      <c r="G763" s="223">
        <v>503.59</v>
      </c>
      <c r="H763" s="222"/>
      <c r="I763" s="254"/>
    </row>
    <row r="764" spans="2:9" ht="60" hidden="1">
      <c r="B764" s="226"/>
      <c r="C764" s="226"/>
      <c r="D764" s="226"/>
      <c r="E764" s="221" t="s">
        <v>1459</v>
      </c>
      <c r="F764" s="221"/>
      <c r="G764" s="227"/>
      <c r="H764" s="221"/>
      <c r="I764" s="255"/>
    </row>
    <row r="765" spans="2:9" ht="18" hidden="1">
      <c r="B765" s="219">
        <v>45953</v>
      </c>
      <c r="C765" s="220">
        <v>0</v>
      </c>
      <c r="D765" s="220">
        <v>14397</v>
      </c>
      <c r="E765" s="224" t="s">
        <v>57</v>
      </c>
      <c r="F765" s="225">
        <v>231202580761201</v>
      </c>
      <c r="G765" s="223">
        <v>317.60000000000002</v>
      </c>
      <c r="H765" s="222"/>
      <c r="I765" s="254"/>
    </row>
    <row r="766" spans="2:9" ht="60" hidden="1">
      <c r="B766" s="226"/>
      <c r="C766" s="226"/>
      <c r="D766" s="226"/>
      <c r="E766" s="221" t="s">
        <v>1460</v>
      </c>
      <c r="F766" s="221"/>
      <c r="G766" s="227"/>
      <c r="H766" s="221"/>
      <c r="I766" s="255"/>
    </row>
    <row r="767" spans="2:9" ht="18" hidden="1">
      <c r="B767" s="219">
        <v>45953</v>
      </c>
      <c r="C767" s="220">
        <v>1533</v>
      </c>
      <c r="D767" s="220">
        <v>99008</v>
      </c>
      <c r="E767" s="224" t="s">
        <v>29</v>
      </c>
      <c r="F767" s="225">
        <v>64880</v>
      </c>
      <c r="G767" s="228">
        <v>136.30000000000001</v>
      </c>
      <c r="H767" s="222"/>
      <c r="I767" s="254"/>
    </row>
    <row r="768" spans="2:9" ht="48" hidden="1">
      <c r="B768" s="226"/>
      <c r="C768" s="226"/>
      <c r="D768" s="226"/>
      <c r="E768" s="221" t="s">
        <v>1461</v>
      </c>
      <c r="F768" s="221"/>
      <c r="G768" s="227"/>
      <c r="H768" s="221"/>
      <c r="I768" s="255"/>
    </row>
    <row r="769" spans="2:9" ht="18" hidden="1">
      <c r="B769" s="219">
        <v>45953</v>
      </c>
      <c r="C769" s="220">
        <v>0</v>
      </c>
      <c r="D769" s="220">
        <v>13105</v>
      </c>
      <c r="E769" s="224" t="s">
        <v>31</v>
      </c>
      <c r="F769" s="225">
        <v>102301</v>
      </c>
      <c r="G769" s="228">
        <v>3773.29</v>
      </c>
      <c r="H769" s="222"/>
      <c r="I769" s="254"/>
    </row>
    <row r="770" spans="2:9" ht="36" hidden="1">
      <c r="B770" s="226"/>
      <c r="C770" s="226"/>
      <c r="D770" s="226"/>
      <c r="E770" s="221" t="s">
        <v>139</v>
      </c>
      <c r="F770" s="221"/>
      <c r="G770" s="227"/>
      <c r="H770" s="221"/>
      <c r="I770" s="255"/>
    </row>
    <row r="771" spans="2:9" hidden="1">
      <c r="B771" s="219">
        <v>45953</v>
      </c>
      <c r="C771" s="220">
        <v>0</v>
      </c>
      <c r="D771" s="220">
        <v>13105</v>
      </c>
      <c r="E771" s="224" t="s">
        <v>80</v>
      </c>
      <c r="F771" s="225">
        <v>102302</v>
      </c>
      <c r="G771" s="228">
        <v>267.16000000000003</v>
      </c>
      <c r="H771" s="222"/>
      <c r="I771" s="254"/>
    </row>
    <row r="772" spans="2:9" ht="36" hidden="1">
      <c r="B772" s="226"/>
      <c r="C772" s="226"/>
      <c r="D772" s="226"/>
      <c r="E772" s="221" t="s">
        <v>81</v>
      </c>
      <c r="F772" s="221"/>
      <c r="G772" s="227"/>
      <c r="H772" s="221"/>
      <c r="I772" s="255"/>
    </row>
    <row r="773" spans="2:9" ht="18" hidden="1">
      <c r="B773" s="219">
        <v>45953</v>
      </c>
      <c r="C773" s="220">
        <v>0</v>
      </c>
      <c r="D773" s="220">
        <v>13105</v>
      </c>
      <c r="E773" s="224" t="s">
        <v>31</v>
      </c>
      <c r="F773" s="225">
        <v>102303</v>
      </c>
      <c r="G773" s="228">
        <v>175.74</v>
      </c>
      <c r="H773" s="222"/>
      <c r="I773" s="254"/>
    </row>
    <row r="774" spans="2:9" ht="48" hidden="1">
      <c r="B774" s="226"/>
      <c r="C774" s="226"/>
      <c r="D774" s="226"/>
      <c r="E774" s="221" t="s">
        <v>289</v>
      </c>
      <c r="F774" s="221"/>
      <c r="G774" s="227"/>
      <c r="H774" s="221"/>
      <c r="I774" s="255"/>
    </row>
    <row r="775" spans="2:9" ht="18" hidden="1">
      <c r="B775" s="219">
        <v>45953</v>
      </c>
      <c r="C775" s="220">
        <v>0</v>
      </c>
      <c r="D775" s="220">
        <v>13105</v>
      </c>
      <c r="E775" s="224" t="s">
        <v>31</v>
      </c>
      <c r="F775" s="225">
        <v>102304</v>
      </c>
      <c r="G775" s="228">
        <v>224.45</v>
      </c>
      <c r="H775" s="222"/>
      <c r="I775" s="254"/>
    </row>
    <row r="776" spans="2:9" ht="36" hidden="1">
      <c r="B776" s="226"/>
      <c r="C776" s="226"/>
      <c r="D776" s="226"/>
      <c r="E776" s="221" t="s">
        <v>111</v>
      </c>
      <c r="F776" s="221"/>
      <c r="G776" s="227"/>
      <c r="H776" s="221"/>
      <c r="I776" s="255"/>
    </row>
    <row r="777" spans="2:9" ht="18" hidden="1">
      <c r="B777" s="219">
        <v>45953</v>
      </c>
      <c r="C777" s="220">
        <v>0</v>
      </c>
      <c r="D777" s="220">
        <v>13105</v>
      </c>
      <c r="E777" s="224" t="s">
        <v>31</v>
      </c>
      <c r="F777" s="225">
        <v>102305</v>
      </c>
      <c r="G777" s="228">
        <v>214.95</v>
      </c>
      <c r="H777" s="222"/>
      <c r="I777" s="254"/>
    </row>
    <row r="778" spans="2:9" ht="36" hidden="1">
      <c r="B778" s="226"/>
      <c r="C778" s="226"/>
      <c r="D778" s="226"/>
      <c r="E778" s="221" t="s">
        <v>111</v>
      </c>
      <c r="F778" s="221"/>
      <c r="G778" s="227"/>
      <c r="H778" s="221"/>
      <c r="I778" s="255"/>
    </row>
    <row r="779" spans="2:9" ht="18" hidden="1">
      <c r="B779" s="219">
        <v>45953</v>
      </c>
      <c r="C779" s="220">
        <v>0</v>
      </c>
      <c r="D779" s="220">
        <v>13105</v>
      </c>
      <c r="E779" s="224" t="s">
        <v>31</v>
      </c>
      <c r="F779" s="225">
        <v>102306</v>
      </c>
      <c r="G779" s="228">
        <v>118.47</v>
      </c>
      <c r="H779" s="222"/>
      <c r="I779" s="254"/>
    </row>
    <row r="780" spans="2:9" ht="48" hidden="1">
      <c r="B780" s="226"/>
      <c r="C780" s="226"/>
      <c r="D780" s="226"/>
      <c r="E780" s="221" t="s">
        <v>50</v>
      </c>
      <c r="F780" s="221"/>
      <c r="G780" s="227"/>
      <c r="H780" s="221"/>
      <c r="I780" s="255"/>
    </row>
    <row r="781" spans="2:9" ht="18" hidden="1">
      <c r="B781" s="219">
        <v>45953</v>
      </c>
      <c r="C781" s="220">
        <v>0</v>
      </c>
      <c r="D781" s="220">
        <v>13105</v>
      </c>
      <c r="E781" s="224" t="s">
        <v>31</v>
      </c>
      <c r="F781" s="225">
        <v>102307</v>
      </c>
      <c r="G781" s="228">
        <v>85.64</v>
      </c>
      <c r="H781" s="222"/>
      <c r="I781" s="254"/>
    </row>
    <row r="782" spans="2:9" ht="48" hidden="1">
      <c r="B782" s="226"/>
      <c r="C782" s="226"/>
      <c r="D782" s="226"/>
      <c r="E782" s="221" t="s">
        <v>50</v>
      </c>
      <c r="F782" s="221"/>
      <c r="G782" s="227"/>
      <c r="H782" s="221"/>
      <c r="I782" s="255"/>
    </row>
    <row r="783" spans="2:9" ht="18" hidden="1">
      <c r="B783" s="219">
        <v>45953</v>
      </c>
      <c r="C783" s="220">
        <v>0</v>
      </c>
      <c r="D783" s="220">
        <v>13105</v>
      </c>
      <c r="E783" s="224" t="s">
        <v>31</v>
      </c>
      <c r="F783" s="225">
        <v>102308</v>
      </c>
      <c r="G783" s="228">
        <v>425.72</v>
      </c>
      <c r="H783" s="222"/>
      <c r="I783" s="254"/>
    </row>
    <row r="784" spans="2:9" ht="48" hidden="1">
      <c r="B784" s="226"/>
      <c r="C784" s="226"/>
      <c r="D784" s="226"/>
      <c r="E784" s="221" t="s">
        <v>50</v>
      </c>
      <c r="F784" s="221"/>
      <c r="G784" s="227"/>
      <c r="H784" s="221"/>
      <c r="I784" s="255"/>
    </row>
    <row r="785" spans="1:9" ht="18" hidden="1">
      <c r="B785" s="219">
        <v>45953</v>
      </c>
      <c r="C785" s="220">
        <v>0</v>
      </c>
      <c r="D785" s="220">
        <v>13105</v>
      </c>
      <c r="E785" s="224" t="s">
        <v>31</v>
      </c>
      <c r="F785" s="225">
        <v>102309</v>
      </c>
      <c r="G785" s="228">
        <v>136.72999999999999</v>
      </c>
      <c r="H785" s="222"/>
      <c r="I785" s="254"/>
    </row>
    <row r="786" spans="1:9" ht="48" hidden="1">
      <c r="B786" s="226"/>
      <c r="C786" s="226"/>
      <c r="D786" s="226"/>
      <c r="E786" s="221" t="s">
        <v>223</v>
      </c>
      <c r="F786" s="221"/>
      <c r="G786" s="227"/>
      <c r="H786" s="221"/>
      <c r="I786" s="255"/>
    </row>
    <row r="787" spans="1:9" ht="18" hidden="1">
      <c r="B787" s="219">
        <v>45953</v>
      </c>
      <c r="C787" s="220">
        <v>0</v>
      </c>
      <c r="D787" s="220">
        <v>0</v>
      </c>
      <c r="E787" s="224" t="s">
        <v>59</v>
      </c>
      <c r="F787" s="225">
        <v>9903</v>
      </c>
      <c r="G787" s="228">
        <v>1346.13</v>
      </c>
      <c r="H787" s="222"/>
      <c r="I787" s="254"/>
    </row>
    <row r="788" spans="1:9" ht="24" hidden="1">
      <c r="B788" s="226"/>
      <c r="C788" s="226"/>
      <c r="D788" s="226"/>
      <c r="E788" s="221" t="s">
        <v>53</v>
      </c>
      <c r="F788" s="221"/>
      <c r="G788" s="227"/>
      <c r="H788" s="221"/>
      <c r="I788" s="255"/>
    </row>
    <row r="789" spans="1:9" ht="27" hidden="1">
      <c r="B789" s="219">
        <v>45954</v>
      </c>
      <c r="C789" s="220">
        <v>0</v>
      </c>
      <c r="D789" s="220">
        <v>14175</v>
      </c>
      <c r="E789" s="224" t="s">
        <v>62</v>
      </c>
      <c r="F789" s="225">
        <v>398933481</v>
      </c>
      <c r="G789" s="223">
        <v>3775.14</v>
      </c>
      <c r="H789" s="222"/>
      <c r="I789" s="254"/>
    </row>
    <row r="790" spans="1:9" ht="60" hidden="1">
      <c r="B790" s="226"/>
      <c r="C790" s="226"/>
      <c r="D790" s="226"/>
      <c r="E790" s="221" t="s">
        <v>97</v>
      </c>
      <c r="F790" s="221"/>
      <c r="G790" s="227"/>
      <c r="H790" s="221"/>
      <c r="I790" s="255"/>
    </row>
    <row r="791" spans="1:9" ht="18">
      <c r="A791" s="179" t="s">
        <v>140</v>
      </c>
      <c r="B791" s="219">
        <v>45954</v>
      </c>
      <c r="C791" s="220">
        <v>0</v>
      </c>
      <c r="D791" s="220">
        <v>14138</v>
      </c>
      <c r="E791" s="224" t="s">
        <v>141</v>
      </c>
      <c r="F791" s="225">
        <v>202510230008017</v>
      </c>
      <c r="G791" s="223">
        <v>460.86</v>
      </c>
      <c r="H791" s="222">
        <v>4097</v>
      </c>
      <c r="I791" s="254" t="s">
        <v>419</v>
      </c>
    </row>
    <row r="792" spans="1:9" ht="36" hidden="1">
      <c r="B792" s="226"/>
      <c r="C792" s="226"/>
      <c r="D792" s="226"/>
      <c r="E792" s="221" t="s">
        <v>143</v>
      </c>
      <c r="F792" s="221"/>
      <c r="G792" s="227"/>
      <c r="H792" s="221"/>
      <c r="I792" s="255"/>
    </row>
    <row r="793" spans="1:9" ht="18">
      <c r="A793" s="179" t="s">
        <v>140</v>
      </c>
      <c r="B793" s="219">
        <v>45954</v>
      </c>
      <c r="C793" s="220">
        <v>0</v>
      </c>
      <c r="D793" s="220">
        <v>14138</v>
      </c>
      <c r="E793" s="224" t="s">
        <v>141</v>
      </c>
      <c r="F793" s="225">
        <v>202510230008024</v>
      </c>
      <c r="G793" s="223">
        <v>2156.38</v>
      </c>
      <c r="H793" s="222" t="s">
        <v>1497</v>
      </c>
      <c r="I793" s="254" t="s">
        <v>595</v>
      </c>
    </row>
    <row r="794" spans="1:9" ht="36" hidden="1">
      <c r="B794" s="226"/>
      <c r="C794" s="226"/>
      <c r="D794" s="226"/>
      <c r="E794" s="221" t="s">
        <v>143</v>
      </c>
      <c r="F794" s="221"/>
      <c r="G794" s="227"/>
      <c r="H794" s="221"/>
      <c r="I794" s="255"/>
    </row>
    <row r="795" spans="1:9" ht="18">
      <c r="A795" s="179" t="s">
        <v>140</v>
      </c>
      <c r="B795" s="219">
        <v>45954</v>
      </c>
      <c r="C795" s="220">
        <v>0</v>
      </c>
      <c r="D795" s="220">
        <v>14138</v>
      </c>
      <c r="E795" s="224" t="s">
        <v>141</v>
      </c>
      <c r="F795" s="225">
        <v>202510230008025</v>
      </c>
      <c r="G795" s="223">
        <v>609.28</v>
      </c>
      <c r="H795" s="222">
        <v>4074</v>
      </c>
      <c r="I795" s="254" t="s">
        <v>419</v>
      </c>
    </row>
    <row r="796" spans="1:9" ht="36" hidden="1">
      <c r="B796" s="226"/>
      <c r="C796" s="226"/>
      <c r="D796" s="226"/>
      <c r="E796" s="221" t="s">
        <v>143</v>
      </c>
      <c r="F796" s="221"/>
      <c r="G796" s="227"/>
      <c r="H796" s="221"/>
      <c r="I796" s="255"/>
    </row>
    <row r="797" spans="1:9" ht="18">
      <c r="A797" s="179" t="s">
        <v>140</v>
      </c>
      <c r="B797" s="219">
        <v>45954</v>
      </c>
      <c r="C797" s="220">
        <v>0</v>
      </c>
      <c r="D797" s="220">
        <v>14138</v>
      </c>
      <c r="E797" s="224" t="s">
        <v>141</v>
      </c>
      <c r="F797" s="225">
        <v>202510230008138</v>
      </c>
      <c r="G797" s="223">
        <v>682.54</v>
      </c>
      <c r="H797" s="222" t="s">
        <v>1498</v>
      </c>
      <c r="I797" s="254" t="s">
        <v>419</v>
      </c>
    </row>
    <row r="798" spans="1:9" ht="36" hidden="1">
      <c r="B798" s="226"/>
      <c r="C798" s="226"/>
      <c r="D798" s="226"/>
      <c r="E798" s="221" t="s">
        <v>143</v>
      </c>
      <c r="F798" s="221"/>
      <c r="G798" s="227"/>
      <c r="H798" s="221"/>
      <c r="I798" s="255"/>
    </row>
    <row r="799" spans="1:9" ht="18">
      <c r="A799" s="179" t="s">
        <v>140</v>
      </c>
      <c r="B799" s="219">
        <v>45954</v>
      </c>
      <c r="C799" s="220">
        <v>0</v>
      </c>
      <c r="D799" s="220">
        <v>14138</v>
      </c>
      <c r="E799" s="224" t="s">
        <v>141</v>
      </c>
      <c r="F799" s="225">
        <v>202510230008142</v>
      </c>
      <c r="G799" s="223">
        <v>2059.27</v>
      </c>
      <c r="H799" s="222" t="s">
        <v>1499</v>
      </c>
      <c r="I799" s="254" t="s">
        <v>595</v>
      </c>
    </row>
    <row r="800" spans="1:9" ht="36" hidden="1">
      <c r="B800" s="226"/>
      <c r="C800" s="226"/>
      <c r="D800" s="226"/>
      <c r="E800" s="221" t="s">
        <v>143</v>
      </c>
      <c r="F800" s="221"/>
      <c r="G800" s="227"/>
      <c r="H800" s="221"/>
      <c r="I800" s="255"/>
    </row>
    <row r="801" spans="1:9" ht="18">
      <c r="A801" s="179" t="s">
        <v>140</v>
      </c>
      <c r="B801" s="219">
        <v>45954</v>
      </c>
      <c r="C801" s="220">
        <v>0</v>
      </c>
      <c r="D801" s="220">
        <v>14138</v>
      </c>
      <c r="E801" s="224" t="s">
        <v>141</v>
      </c>
      <c r="F801" s="225">
        <v>202510230008150</v>
      </c>
      <c r="G801" s="223">
        <v>2641.9</v>
      </c>
      <c r="H801" s="222" t="s">
        <v>1500</v>
      </c>
      <c r="I801" s="254" t="s">
        <v>595</v>
      </c>
    </row>
    <row r="802" spans="1:9" ht="36" hidden="1">
      <c r="B802" s="226"/>
      <c r="C802" s="226"/>
      <c r="D802" s="226"/>
      <c r="E802" s="221" t="s">
        <v>143</v>
      </c>
      <c r="F802" s="221"/>
      <c r="G802" s="227"/>
      <c r="H802" s="221"/>
      <c r="I802" s="255"/>
    </row>
    <row r="803" spans="1:9" ht="18" hidden="1">
      <c r="B803" s="219">
        <v>45954</v>
      </c>
      <c r="C803" s="220">
        <v>0</v>
      </c>
      <c r="D803" s="220">
        <v>14397</v>
      </c>
      <c r="E803" s="224" t="s">
        <v>57</v>
      </c>
      <c r="F803" s="225">
        <v>240817013797511</v>
      </c>
      <c r="G803" s="223">
        <v>559.5</v>
      </c>
      <c r="H803" s="222"/>
      <c r="I803" s="254"/>
    </row>
    <row r="804" spans="1:9" ht="60" hidden="1">
      <c r="B804" s="226"/>
      <c r="C804" s="226"/>
      <c r="D804" s="226"/>
      <c r="E804" s="221" t="s">
        <v>1462</v>
      </c>
      <c r="F804" s="221"/>
      <c r="G804" s="227"/>
      <c r="H804" s="221"/>
      <c r="I804" s="255"/>
    </row>
    <row r="805" spans="1:9" ht="18" hidden="1">
      <c r="B805" s="219">
        <v>45954</v>
      </c>
      <c r="C805" s="220">
        <v>0</v>
      </c>
      <c r="D805" s="220">
        <v>14397</v>
      </c>
      <c r="E805" s="224" t="s">
        <v>57</v>
      </c>
      <c r="F805" s="225">
        <v>240934476824432</v>
      </c>
      <c r="G805" s="223">
        <v>433.29</v>
      </c>
      <c r="H805" s="222"/>
      <c r="I805" s="254"/>
    </row>
    <row r="806" spans="1:9" ht="60" hidden="1">
      <c r="B806" s="226"/>
      <c r="C806" s="226"/>
      <c r="D806" s="226"/>
      <c r="E806" s="221" t="s">
        <v>1463</v>
      </c>
      <c r="F806" s="221"/>
      <c r="G806" s="227"/>
      <c r="H806" s="221"/>
      <c r="I806" s="255"/>
    </row>
    <row r="807" spans="1:9" ht="18" hidden="1">
      <c r="B807" s="219">
        <v>45954</v>
      </c>
      <c r="C807" s="220">
        <v>0</v>
      </c>
      <c r="D807" s="220">
        <v>14397</v>
      </c>
      <c r="E807" s="224" t="s">
        <v>57</v>
      </c>
      <c r="F807" s="225">
        <v>241018443261241</v>
      </c>
      <c r="G807" s="223">
        <v>133</v>
      </c>
      <c r="H807" s="222"/>
      <c r="I807" s="254"/>
    </row>
    <row r="808" spans="1:9" ht="48" hidden="1">
      <c r="B808" s="226"/>
      <c r="C808" s="226"/>
      <c r="D808" s="226"/>
      <c r="E808" s="221" t="s">
        <v>1464</v>
      </c>
      <c r="F808" s="221"/>
      <c r="G808" s="227"/>
      <c r="H808" s="221"/>
      <c r="I808" s="255"/>
    </row>
    <row r="809" spans="1:9" ht="18" hidden="1">
      <c r="B809" s="219">
        <v>45954</v>
      </c>
      <c r="C809" s="220">
        <v>0</v>
      </c>
      <c r="D809" s="220">
        <v>14397</v>
      </c>
      <c r="E809" s="224" t="s">
        <v>57</v>
      </c>
      <c r="F809" s="225">
        <v>241103013403021</v>
      </c>
      <c r="G809" s="223">
        <v>357.16</v>
      </c>
      <c r="H809" s="222"/>
      <c r="I809" s="254"/>
    </row>
    <row r="810" spans="1:9" ht="60" hidden="1">
      <c r="B810" s="226"/>
      <c r="C810" s="226"/>
      <c r="D810" s="226"/>
      <c r="E810" s="221" t="s">
        <v>1465</v>
      </c>
      <c r="F810" s="221"/>
      <c r="G810" s="227"/>
      <c r="H810" s="221"/>
      <c r="I810" s="255"/>
    </row>
    <row r="811" spans="1:9" ht="18" hidden="1">
      <c r="B811" s="219">
        <v>45954</v>
      </c>
      <c r="C811" s="220">
        <v>0</v>
      </c>
      <c r="D811" s="220">
        <v>14397</v>
      </c>
      <c r="E811" s="224" t="s">
        <v>57</v>
      </c>
      <c r="F811" s="225">
        <v>241409246616312</v>
      </c>
      <c r="G811" s="223">
        <v>300</v>
      </c>
      <c r="H811" s="222"/>
      <c r="I811" s="254"/>
    </row>
    <row r="812" spans="1:9" ht="48" hidden="1">
      <c r="B812" s="226"/>
      <c r="C812" s="226"/>
      <c r="D812" s="226"/>
      <c r="E812" s="221" t="s">
        <v>1466</v>
      </c>
      <c r="F812" s="221"/>
      <c r="G812" s="227"/>
      <c r="H812" s="221"/>
      <c r="I812" s="255"/>
    </row>
    <row r="813" spans="1:9" ht="18" hidden="1">
      <c r="B813" s="219">
        <v>45954</v>
      </c>
      <c r="C813" s="220">
        <v>0</v>
      </c>
      <c r="D813" s="220">
        <v>14397</v>
      </c>
      <c r="E813" s="224" t="s">
        <v>57</v>
      </c>
      <c r="F813" s="225">
        <v>241412152680982</v>
      </c>
      <c r="G813" s="223">
        <v>240</v>
      </c>
      <c r="H813" s="222"/>
      <c r="I813" s="254"/>
    </row>
    <row r="814" spans="1:9" ht="48" hidden="1">
      <c r="B814" s="226"/>
      <c r="C814" s="226"/>
      <c r="D814" s="226"/>
      <c r="E814" s="221" t="s">
        <v>1467</v>
      </c>
      <c r="F814" s="221"/>
      <c r="G814" s="227"/>
      <c r="H814" s="221"/>
      <c r="I814" s="255"/>
    </row>
    <row r="815" spans="1:9" ht="18" hidden="1">
      <c r="B815" s="219">
        <v>45954</v>
      </c>
      <c r="C815" s="220">
        <v>0</v>
      </c>
      <c r="D815" s="220">
        <v>14397</v>
      </c>
      <c r="E815" s="224" t="s">
        <v>57</v>
      </c>
      <c r="F815" s="225">
        <v>241435241485021</v>
      </c>
      <c r="G815" s="223">
        <v>130.82</v>
      </c>
      <c r="H815" s="222"/>
      <c r="I815" s="254"/>
    </row>
    <row r="816" spans="1:9" ht="48" hidden="1">
      <c r="B816" s="226"/>
      <c r="C816" s="226"/>
      <c r="D816" s="226"/>
      <c r="E816" s="221" t="s">
        <v>1468</v>
      </c>
      <c r="F816" s="221"/>
      <c r="G816" s="227"/>
      <c r="H816" s="221"/>
      <c r="I816" s="255"/>
    </row>
    <row r="817" spans="2:9" hidden="1">
      <c r="B817" s="219">
        <v>45954</v>
      </c>
      <c r="C817" s="220">
        <v>0</v>
      </c>
      <c r="D817" s="220">
        <v>13105</v>
      </c>
      <c r="E817" s="224" t="s">
        <v>80</v>
      </c>
      <c r="F817" s="225">
        <v>102401</v>
      </c>
      <c r="G817" s="228">
        <v>8268.3700000000008</v>
      </c>
      <c r="H817" s="222"/>
      <c r="I817" s="254"/>
    </row>
    <row r="818" spans="2:9" ht="48" hidden="1">
      <c r="B818" s="226"/>
      <c r="C818" s="226"/>
      <c r="D818" s="226"/>
      <c r="E818" s="221" t="s">
        <v>154</v>
      </c>
      <c r="F818" s="221"/>
      <c r="G818" s="227"/>
      <c r="H818" s="221"/>
      <c r="I818" s="255"/>
    </row>
    <row r="819" spans="2:9" hidden="1">
      <c r="B819" s="219">
        <v>45954</v>
      </c>
      <c r="C819" s="220">
        <v>0</v>
      </c>
      <c r="D819" s="220">
        <v>13105</v>
      </c>
      <c r="E819" s="224" t="s">
        <v>80</v>
      </c>
      <c r="F819" s="225">
        <v>102402</v>
      </c>
      <c r="G819" s="228">
        <v>1791.47</v>
      </c>
      <c r="H819" s="222"/>
      <c r="I819" s="254"/>
    </row>
    <row r="820" spans="2:9" ht="48" hidden="1">
      <c r="B820" s="226"/>
      <c r="C820" s="226"/>
      <c r="D820" s="226"/>
      <c r="E820" s="221" t="s">
        <v>154</v>
      </c>
      <c r="F820" s="221"/>
      <c r="G820" s="227"/>
      <c r="H820" s="221"/>
      <c r="I820" s="255"/>
    </row>
    <row r="821" spans="2:9" hidden="1">
      <c r="B821" s="219">
        <v>45954</v>
      </c>
      <c r="C821" s="220">
        <v>0</v>
      </c>
      <c r="D821" s="220">
        <v>13105</v>
      </c>
      <c r="E821" s="224" t="s">
        <v>80</v>
      </c>
      <c r="F821" s="225">
        <v>102403</v>
      </c>
      <c r="G821" s="228">
        <v>188.88</v>
      </c>
      <c r="H821" s="222"/>
      <c r="I821" s="254"/>
    </row>
    <row r="822" spans="2:9" ht="36" hidden="1">
      <c r="B822" s="226"/>
      <c r="C822" s="226"/>
      <c r="D822" s="226"/>
      <c r="E822" s="221" t="s">
        <v>81</v>
      </c>
      <c r="F822" s="221"/>
      <c r="G822" s="227"/>
      <c r="H822" s="221"/>
      <c r="I822" s="255"/>
    </row>
    <row r="823" spans="2:9" ht="18" hidden="1">
      <c r="B823" s="219">
        <v>45954</v>
      </c>
      <c r="C823" s="220">
        <v>0</v>
      </c>
      <c r="D823" s="220">
        <v>13105</v>
      </c>
      <c r="E823" s="224" t="s">
        <v>31</v>
      </c>
      <c r="F823" s="225">
        <v>102404</v>
      </c>
      <c r="G823" s="228">
        <v>3216.6</v>
      </c>
      <c r="H823" s="222"/>
      <c r="I823" s="254"/>
    </row>
    <row r="824" spans="2:9" ht="48" hidden="1">
      <c r="B824" s="226"/>
      <c r="C824" s="226"/>
      <c r="D824" s="226"/>
      <c r="E824" s="221" t="s">
        <v>32</v>
      </c>
      <c r="F824" s="221"/>
      <c r="G824" s="227"/>
      <c r="H824" s="221"/>
      <c r="I824" s="255"/>
    </row>
    <row r="825" spans="2:9" ht="18" hidden="1">
      <c r="B825" s="219">
        <v>45954</v>
      </c>
      <c r="C825" s="220">
        <v>0</v>
      </c>
      <c r="D825" s="220">
        <v>13105</v>
      </c>
      <c r="E825" s="224" t="s">
        <v>31</v>
      </c>
      <c r="F825" s="225">
        <v>102405</v>
      </c>
      <c r="G825" s="228">
        <v>591.15</v>
      </c>
      <c r="H825" s="222"/>
      <c r="I825" s="254"/>
    </row>
    <row r="826" spans="2:9" ht="36" hidden="1">
      <c r="B826" s="226"/>
      <c r="C826" s="226"/>
      <c r="D826" s="226"/>
      <c r="E826" s="221" t="s">
        <v>163</v>
      </c>
      <c r="F826" s="221"/>
      <c r="G826" s="227"/>
      <c r="H826" s="221"/>
      <c r="I826" s="255"/>
    </row>
    <row r="827" spans="2:9" ht="18" hidden="1">
      <c r="B827" s="219">
        <v>45954</v>
      </c>
      <c r="C827" s="220">
        <v>0</v>
      </c>
      <c r="D827" s="220">
        <v>13105</v>
      </c>
      <c r="E827" s="224" t="s">
        <v>31</v>
      </c>
      <c r="F827" s="225">
        <v>102406</v>
      </c>
      <c r="G827" s="228">
        <v>1440</v>
      </c>
      <c r="H827" s="222"/>
      <c r="I827" s="254"/>
    </row>
    <row r="828" spans="2:9" ht="48" hidden="1">
      <c r="B828" s="226"/>
      <c r="C828" s="226"/>
      <c r="D828" s="226"/>
      <c r="E828" s="221" t="s">
        <v>71</v>
      </c>
      <c r="F828" s="221"/>
      <c r="G828" s="227"/>
      <c r="H828" s="221"/>
      <c r="I828" s="255"/>
    </row>
    <row r="829" spans="2:9" ht="18" hidden="1">
      <c r="B829" s="219">
        <v>45954</v>
      </c>
      <c r="C829" s="220">
        <v>0</v>
      </c>
      <c r="D829" s="220">
        <v>13105</v>
      </c>
      <c r="E829" s="224" t="s">
        <v>31</v>
      </c>
      <c r="F829" s="225">
        <v>102407</v>
      </c>
      <c r="G829" s="228">
        <v>410.79</v>
      </c>
      <c r="H829" s="222"/>
      <c r="I829" s="254"/>
    </row>
    <row r="830" spans="2:9" ht="24" hidden="1">
      <c r="B830" s="226"/>
      <c r="C830" s="226"/>
      <c r="D830" s="226"/>
      <c r="E830" s="221" t="s">
        <v>231</v>
      </c>
      <c r="F830" s="221"/>
      <c r="G830" s="227"/>
      <c r="H830" s="221"/>
      <c r="I830" s="255"/>
    </row>
    <row r="831" spans="2:9" ht="18" hidden="1">
      <c r="B831" s="219">
        <v>45954</v>
      </c>
      <c r="C831" s="220">
        <v>0</v>
      </c>
      <c r="D831" s="220">
        <v>13105</v>
      </c>
      <c r="E831" s="224" t="s">
        <v>31</v>
      </c>
      <c r="F831" s="225">
        <v>102408</v>
      </c>
      <c r="G831" s="228">
        <v>325.10000000000002</v>
      </c>
      <c r="H831" s="222"/>
      <c r="I831" s="254"/>
    </row>
    <row r="832" spans="2:9" ht="36" hidden="1">
      <c r="B832" s="226"/>
      <c r="C832" s="226"/>
      <c r="D832" s="226"/>
      <c r="E832" s="221" t="s">
        <v>111</v>
      </c>
      <c r="F832" s="221"/>
      <c r="G832" s="227"/>
      <c r="H832" s="221"/>
      <c r="I832" s="255"/>
    </row>
    <row r="833" spans="2:9" ht="18" hidden="1">
      <c r="B833" s="219">
        <v>45954</v>
      </c>
      <c r="C833" s="220">
        <v>0</v>
      </c>
      <c r="D833" s="220">
        <v>13105</v>
      </c>
      <c r="E833" s="224" t="s">
        <v>31</v>
      </c>
      <c r="F833" s="225">
        <v>102409</v>
      </c>
      <c r="G833" s="228">
        <v>425.74</v>
      </c>
      <c r="H833" s="222"/>
      <c r="I833" s="254"/>
    </row>
    <row r="834" spans="2:9" ht="48" hidden="1">
      <c r="B834" s="226"/>
      <c r="C834" s="226"/>
      <c r="D834" s="226"/>
      <c r="E834" s="221" t="s">
        <v>50</v>
      </c>
      <c r="F834" s="221"/>
      <c r="G834" s="227"/>
      <c r="H834" s="221"/>
      <c r="I834" s="255"/>
    </row>
    <row r="835" spans="2:9" ht="18" hidden="1">
      <c r="B835" s="219">
        <v>45954</v>
      </c>
      <c r="C835" s="220">
        <v>0</v>
      </c>
      <c r="D835" s="220">
        <v>13105</v>
      </c>
      <c r="E835" s="224" t="s">
        <v>31</v>
      </c>
      <c r="F835" s="225">
        <v>102410</v>
      </c>
      <c r="G835" s="228">
        <v>524.54999999999995</v>
      </c>
      <c r="H835" s="222"/>
      <c r="I835" s="254"/>
    </row>
    <row r="836" spans="2:9" ht="60" hidden="1">
      <c r="B836" s="226"/>
      <c r="C836" s="226"/>
      <c r="D836" s="226"/>
      <c r="E836" s="221" t="s">
        <v>1469</v>
      </c>
      <c r="F836" s="221"/>
      <c r="G836" s="227"/>
      <c r="H836" s="221"/>
      <c r="I836" s="255"/>
    </row>
    <row r="837" spans="2:9" ht="18" hidden="1">
      <c r="B837" s="219">
        <v>45954</v>
      </c>
      <c r="C837" s="220">
        <v>0</v>
      </c>
      <c r="D837" s="220">
        <v>0</v>
      </c>
      <c r="E837" s="224" t="s">
        <v>52</v>
      </c>
      <c r="F837" s="225">
        <v>9903</v>
      </c>
      <c r="G837" s="223">
        <v>2643.51</v>
      </c>
      <c r="H837" s="222"/>
      <c r="I837" s="254"/>
    </row>
    <row r="838" spans="2:9" ht="24" hidden="1">
      <c r="B838" s="226"/>
      <c r="C838" s="226"/>
      <c r="D838" s="226"/>
      <c r="E838" s="221" t="s">
        <v>53</v>
      </c>
      <c r="F838" s="221"/>
      <c r="G838" s="227"/>
      <c r="H838" s="221"/>
      <c r="I838" s="255"/>
    </row>
    <row r="839" spans="2:9" ht="27" hidden="1">
      <c r="B839" s="219">
        <v>45957</v>
      </c>
      <c r="C839" s="220">
        <v>0</v>
      </c>
      <c r="D839" s="220">
        <v>14175</v>
      </c>
      <c r="E839" s="224" t="s">
        <v>62</v>
      </c>
      <c r="F839" s="225">
        <v>399028187</v>
      </c>
      <c r="G839" s="223">
        <v>7500</v>
      </c>
      <c r="H839" s="222"/>
      <c r="I839" s="254"/>
    </row>
    <row r="840" spans="2:9" ht="60" hidden="1">
      <c r="B840" s="226"/>
      <c r="C840" s="226"/>
      <c r="D840" s="226"/>
      <c r="E840" s="221" t="s">
        <v>97</v>
      </c>
      <c r="F840" s="221"/>
      <c r="G840" s="227"/>
      <c r="H840" s="221"/>
      <c r="I840" s="255"/>
    </row>
    <row r="841" spans="2:9" ht="27" hidden="1">
      <c r="B841" s="219">
        <v>45957</v>
      </c>
      <c r="C841" s="220">
        <v>0</v>
      </c>
      <c r="D841" s="220">
        <v>14175</v>
      </c>
      <c r="E841" s="224" t="s">
        <v>62</v>
      </c>
      <c r="F841" s="225">
        <v>399055605</v>
      </c>
      <c r="G841" s="223">
        <v>2863</v>
      </c>
      <c r="H841" s="222"/>
      <c r="I841" s="254"/>
    </row>
    <row r="842" spans="2:9" ht="60" hidden="1">
      <c r="B842" s="226"/>
      <c r="C842" s="226"/>
      <c r="D842" s="226"/>
      <c r="E842" s="221" t="s">
        <v>97</v>
      </c>
      <c r="F842" s="221"/>
      <c r="G842" s="227"/>
      <c r="H842" s="221"/>
      <c r="I842" s="255"/>
    </row>
    <row r="843" spans="2:9" ht="27" hidden="1">
      <c r="B843" s="219">
        <v>45957</v>
      </c>
      <c r="C843" s="220">
        <v>0</v>
      </c>
      <c r="D843" s="220">
        <v>14175</v>
      </c>
      <c r="E843" s="224" t="s">
        <v>62</v>
      </c>
      <c r="F843" s="225">
        <v>399058000</v>
      </c>
      <c r="G843" s="223">
        <v>180</v>
      </c>
      <c r="H843" s="222"/>
      <c r="I843" s="254"/>
    </row>
    <row r="844" spans="2:9" ht="60" hidden="1">
      <c r="B844" s="226"/>
      <c r="C844" s="226"/>
      <c r="D844" s="226"/>
      <c r="E844" s="221" t="s">
        <v>97</v>
      </c>
      <c r="F844" s="221"/>
      <c r="G844" s="227"/>
      <c r="H844" s="221"/>
      <c r="I844" s="255"/>
    </row>
    <row r="845" spans="2:9" ht="18" hidden="1">
      <c r="B845" s="219">
        <v>45957</v>
      </c>
      <c r="C845" s="220">
        <v>0</v>
      </c>
      <c r="D845" s="220">
        <v>14397</v>
      </c>
      <c r="E845" s="224" t="s">
        <v>57</v>
      </c>
      <c r="F845" s="225">
        <v>271444485904072</v>
      </c>
      <c r="G845" s="223">
        <v>1700</v>
      </c>
      <c r="H845" s="222"/>
      <c r="I845" s="254"/>
    </row>
    <row r="846" spans="2:9" ht="60" hidden="1">
      <c r="B846" s="226"/>
      <c r="C846" s="226"/>
      <c r="D846" s="226"/>
      <c r="E846" s="221" t="s">
        <v>1470</v>
      </c>
      <c r="F846" s="221"/>
      <c r="G846" s="227"/>
      <c r="H846" s="221"/>
      <c r="I846" s="255"/>
    </row>
    <row r="847" spans="2:9" ht="18" hidden="1">
      <c r="B847" s="219">
        <v>45957</v>
      </c>
      <c r="C847" s="220">
        <v>0</v>
      </c>
      <c r="D847" s="220">
        <v>14397</v>
      </c>
      <c r="E847" s="224" t="s">
        <v>57</v>
      </c>
      <c r="F847" s="225">
        <v>271750143069512</v>
      </c>
      <c r="G847" s="223">
        <v>172</v>
      </c>
      <c r="H847" s="222"/>
      <c r="I847" s="254"/>
    </row>
    <row r="848" spans="2:9" ht="60" hidden="1">
      <c r="B848" s="226"/>
      <c r="C848" s="226"/>
      <c r="D848" s="226"/>
      <c r="E848" s="221" t="s">
        <v>1471</v>
      </c>
      <c r="F848" s="221"/>
      <c r="G848" s="227"/>
      <c r="H848" s="221"/>
      <c r="I848" s="255"/>
    </row>
    <row r="849" spans="2:9" ht="18" hidden="1">
      <c r="B849" s="219">
        <v>45957</v>
      </c>
      <c r="C849" s="220">
        <v>1533</v>
      </c>
      <c r="D849" s="220">
        <v>99008</v>
      </c>
      <c r="E849" s="224" t="s">
        <v>29</v>
      </c>
      <c r="F849" s="225">
        <v>645218</v>
      </c>
      <c r="G849" s="228">
        <v>194.25</v>
      </c>
      <c r="H849" s="222"/>
      <c r="I849" s="254"/>
    </row>
    <row r="850" spans="2:9" ht="48" hidden="1">
      <c r="B850" s="226"/>
      <c r="C850" s="226"/>
      <c r="D850" s="226"/>
      <c r="E850" s="221" t="s">
        <v>1472</v>
      </c>
      <c r="F850" s="221"/>
      <c r="G850" s="227"/>
      <c r="H850" s="221"/>
      <c r="I850" s="255"/>
    </row>
    <row r="851" spans="2:9" ht="18" hidden="1">
      <c r="B851" s="219">
        <v>45957</v>
      </c>
      <c r="C851" s="220">
        <v>0</v>
      </c>
      <c r="D851" s="220">
        <v>13105</v>
      </c>
      <c r="E851" s="224" t="s">
        <v>31</v>
      </c>
      <c r="F851" s="225">
        <v>102701</v>
      </c>
      <c r="G851" s="228">
        <v>1550</v>
      </c>
      <c r="H851" s="222"/>
      <c r="I851" s="254"/>
    </row>
    <row r="852" spans="2:9" ht="60" hidden="1">
      <c r="B852" s="226"/>
      <c r="C852" s="226"/>
      <c r="D852" s="226"/>
      <c r="E852" s="221" t="s">
        <v>1473</v>
      </c>
      <c r="F852" s="221"/>
      <c r="G852" s="227"/>
      <c r="H852" s="221"/>
      <c r="I852" s="255"/>
    </row>
    <row r="853" spans="2:9" hidden="1">
      <c r="B853" s="219">
        <v>45957</v>
      </c>
      <c r="C853" s="220">
        <v>0</v>
      </c>
      <c r="D853" s="220">
        <v>13105</v>
      </c>
      <c r="E853" s="224" t="s">
        <v>80</v>
      </c>
      <c r="F853" s="225">
        <v>102702</v>
      </c>
      <c r="G853" s="228">
        <v>2772.05</v>
      </c>
      <c r="H853" s="222"/>
      <c r="I853" s="254"/>
    </row>
    <row r="854" spans="2:9" ht="36" hidden="1">
      <c r="B854" s="226"/>
      <c r="C854" s="226"/>
      <c r="D854" s="226"/>
      <c r="E854" s="221" t="s">
        <v>81</v>
      </c>
      <c r="F854" s="221"/>
      <c r="G854" s="227"/>
      <c r="H854" s="221"/>
      <c r="I854" s="255"/>
    </row>
    <row r="855" spans="2:9" ht="18" hidden="1">
      <c r="B855" s="219">
        <v>45957</v>
      </c>
      <c r="C855" s="220">
        <v>0</v>
      </c>
      <c r="D855" s="220">
        <v>13105</v>
      </c>
      <c r="E855" s="224" t="s">
        <v>31</v>
      </c>
      <c r="F855" s="225">
        <v>102703</v>
      </c>
      <c r="G855" s="228">
        <v>1056</v>
      </c>
      <c r="H855" s="222"/>
      <c r="I855" s="254"/>
    </row>
    <row r="856" spans="2:9" hidden="1">
      <c r="B856" s="226"/>
      <c r="C856" s="226"/>
      <c r="D856" s="226"/>
      <c r="E856" s="221" t="s">
        <v>769</v>
      </c>
      <c r="F856" s="221"/>
      <c r="G856" s="227"/>
      <c r="H856" s="221"/>
      <c r="I856" s="255"/>
    </row>
    <row r="857" spans="2:9" ht="18" hidden="1">
      <c r="B857" s="219">
        <v>45957</v>
      </c>
      <c r="C857" s="220">
        <v>0</v>
      </c>
      <c r="D857" s="220">
        <v>13105</v>
      </c>
      <c r="E857" s="224" t="s">
        <v>31</v>
      </c>
      <c r="F857" s="225">
        <v>102704</v>
      </c>
      <c r="G857" s="228">
        <v>612.83000000000004</v>
      </c>
      <c r="H857" s="222"/>
      <c r="I857" s="254"/>
    </row>
    <row r="858" spans="2:9" ht="24" hidden="1">
      <c r="B858" s="226"/>
      <c r="C858" s="226"/>
      <c r="D858" s="226"/>
      <c r="E858" s="221" t="s">
        <v>38</v>
      </c>
      <c r="F858" s="221"/>
      <c r="G858" s="227"/>
      <c r="H858" s="221"/>
      <c r="I858" s="255"/>
    </row>
    <row r="859" spans="2:9" ht="18" hidden="1">
      <c r="B859" s="219">
        <v>45957</v>
      </c>
      <c r="C859" s="220">
        <v>0</v>
      </c>
      <c r="D859" s="220">
        <v>13105</v>
      </c>
      <c r="E859" s="224" t="s">
        <v>31</v>
      </c>
      <c r="F859" s="225">
        <v>102705</v>
      </c>
      <c r="G859" s="228">
        <v>339.34</v>
      </c>
      <c r="H859" s="222"/>
      <c r="I859" s="254"/>
    </row>
    <row r="860" spans="2:9" ht="60" hidden="1">
      <c r="B860" s="226"/>
      <c r="C860" s="226"/>
      <c r="D860" s="226"/>
      <c r="E860" s="221" t="s">
        <v>45</v>
      </c>
      <c r="F860" s="221"/>
      <c r="G860" s="227"/>
      <c r="H860" s="221"/>
      <c r="I860" s="255"/>
    </row>
    <row r="861" spans="2:9" ht="18" hidden="1">
      <c r="B861" s="219">
        <v>45957</v>
      </c>
      <c r="C861" s="220">
        <v>0</v>
      </c>
      <c r="D861" s="220">
        <v>13105</v>
      </c>
      <c r="E861" s="224" t="s">
        <v>31</v>
      </c>
      <c r="F861" s="225">
        <v>102706</v>
      </c>
      <c r="G861" s="228">
        <v>290.62</v>
      </c>
      <c r="H861" s="222"/>
      <c r="I861" s="254"/>
    </row>
    <row r="862" spans="2:9" ht="48" hidden="1">
      <c r="B862" s="226"/>
      <c r="C862" s="226"/>
      <c r="D862" s="226"/>
      <c r="E862" s="221" t="s">
        <v>340</v>
      </c>
      <c r="F862" s="221"/>
      <c r="G862" s="227"/>
      <c r="H862" s="221"/>
      <c r="I862" s="255"/>
    </row>
    <row r="863" spans="2:9" ht="18" hidden="1">
      <c r="B863" s="219">
        <v>45957</v>
      </c>
      <c r="C863" s="220">
        <v>0</v>
      </c>
      <c r="D863" s="220">
        <v>13105</v>
      </c>
      <c r="E863" s="224" t="s">
        <v>31</v>
      </c>
      <c r="F863" s="225">
        <v>102707</v>
      </c>
      <c r="G863" s="228">
        <v>408.39</v>
      </c>
      <c r="H863" s="222"/>
      <c r="I863" s="254"/>
    </row>
    <row r="864" spans="2:9" ht="24" hidden="1">
      <c r="B864" s="226"/>
      <c r="C864" s="226"/>
      <c r="D864" s="226"/>
      <c r="E864" s="221" t="s">
        <v>231</v>
      </c>
      <c r="F864" s="221"/>
      <c r="G864" s="227"/>
      <c r="H864" s="221"/>
      <c r="I864" s="255"/>
    </row>
    <row r="865" spans="2:9" ht="18" hidden="1">
      <c r="B865" s="219">
        <v>45957</v>
      </c>
      <c r="C865" s="220">
        <v>0</v>
      </c>
      <c r="D865" s="220">
        <v>13105</v>
      </c>
      <c r="E865" s="224" t="s">
        <v>31</v>
      </c>
      <c r="F865" s="225">
        <v>102708</v>
      </c>
      <c r="G865" s="228">
        <v>330.49</v>
      </c>
      <c r="H865" s="222"/>
      <c r="I865" s="254"/>
    </row>
    <row r="866" spans="2:9" ht="24" hidden="1">
      <c r="B866" s="226"/>
      <c r="C866" s="226"/>
      <c r="D866" s="226"/>
      <c r="E866" s="221" t="s">
        <v>78</v>
      </c>
      <c r="F866" s="221"/>
      <c r="G866" s="227"/>
      <c r="H866" s="221"/>
      <c r="I866" s="255"/>
    </row>
    <row r="867" spans="2:9" ht="18" hidden="1">
      <c r="B867" s="219">
        <v>45957</v>
      </c>
      <c r="C867" s="220">
        <v>0</v>
      </c>
      <c r="D867" s="220">
        <v>13105</v>
      </c>
      <c r="E867" s="224" t="s">
        <v>31</v>
      </c>
      <c r="F867" s="225">
        <v>102709</v>
      </c>
      <c r="G867" s="228">
        <v>323.39</v>
      </c>
      <c r="H867" s="222"/>
      <c r="I867" s="254"/>
    </row>
    <row r="868" spans="2:9" ht="60" hidden="1">
      <c r="B868" s="226"/>
      <c r="C868" s="226"/>
      <c r="D868" s="226"/>
      <c r="E868" s="221" t="s">
        <v>1318</v>
      </c>
      <c r="F868" s="221"/>
      <c r="G868" s="227"/>
      <c r="H868" s="221"/>
      <c r="I868" s="255"/>
    </row>
    <row r="869" spans="2:9" ht="18" hidden="1">
      <c r="B869" s="219">
        <v>45957</v>
      </c>
      <c r="C869" s="220">
        <v>0</v>
      </c>
      <c r="D869" s="220">
        <v>13105</v>
      </c>
      <c r="E869" s="224" t="s">
        <v>31</v>
      </c>
      <c r="F869" s="225">
        <v>102710</v>
      </c>
      <c r="G869" s="228">
        <v>2484</v>
      </c>
      <c r="H869" s="222"/>
      <c r="I869" s="254"/>
    </row>
    <row r="870" spans="2:9" ht="36" hidden="1">
      <c r="B870" s="226"/>
      <c r="C870" s="226"/>
      <c r="D870" s="226"/>
      <c r="E870" s="221" t="s">
        <v>523</v>
      </c>
      <c r="F870" s="221"/>
      <c r="G870" s="227"/>
      <c r="H870" s="221"/>
      <c r="I870" s="255"/>
    </row>
    <row r="871" spans="2:9" ht="18" hidden="1">
      <c r="B871" s="219">
        <v>45957</v>
      </c>
      <c r="C871" s="220">
        <v>0</v>
      </c>
      <c r="D871" s="220">
        <v>13105</v>
      </c>
      <c r="E871" s="224" t="s">
        <v>31</v>
      </c>
      <c r="F871" s="225">
        <v>102711</v>
      </c>
      <c r="G871" s="228">
        <v>181</v>
      </c>
      <c r="H871" s="222"/>
      <c r="I871" s="254"/>
    </row>
    <row r="872" spans="2:9" ht="36" hidden="1">
      <c r="B872" s="226"/>
      <c r="C872" s="226"/>
      <c r="D872" s="226"/>
      <c r="E872" s="221" t="s">
        <v>51</v>
      </c>
      <c r="F872" s="221"/>
      <c r="G872" s="227"/>
      <c r="H872" s="221"/>
      <c r="I872" s="255"/>
    </row>
    <row r="873" spans="2:9" ht="18" hidden="1">
      <c r="B873" s="219">
        <v>45957</v>
      </c>
      <c r="C873" s="220">
        <v>0</v>
      </c>
      <c r="D873" s="220">
        <v>13105</v>
      </c>
      <c r="E873" s="224" t="s">
        <v>31</v>
      </c>
      <c r="F873" s="225">
        <v>102712</v>
      </c>
      <c r="G873" s="228">
        <v>1898.25</v>
      </c>
      <c r="H873" s="222"/>
      <c r="I873" s="254"/>
    </row>
    <row r="874" spans="2:9" ht="36" hidden="1">
      <c r="B874" s="226"/>
      <c r="C874" s="226"/>
      <c r="D874" s="226"/>
      <c r="E874" s="221" t="s">
        <v>55</v>
      </c>
      <c r="F874" s="221"/>
      <c r="G874" s="227"/>
      <c r="H874" s="221"/>
      <c r="I874" s="255"/>
    </row>
    <row r="875" spans="2:9" ht="18" hidden="1">
      <c r="B875" s="219">
        <v>45957</v>
      </c>
      <c r="C875" s="220">
        <v>0</v>
      </c>
      <c r="D875" s="220">
        <v>0</v>
      </c>
      <c r="E875" s="224" t="s">
        <v>52</v>
      </c>
      <c r="F875" s="225">
        <v>9903</v>
      </c>
      <c r="G875" s="223">
        <v>25.61</v>
      </c>
      <c r="H875" s="222"/>
      <c r="I875" s="254"/>
    </row>
    <row r="876" spans="2:9" ht="24" hidden="1">
      <c r="B876" s="226"/>
      <c r="C876" s="226"/>
      <c r="D876" s="226"/>
      <c r="E876" s="221" t="s">
        <v>53</v>
      </c>
      <c r="F876" s="221"/>
      <c r="G876" s="227"/>
      <c r="H876" s="221"/>
      <c r="I876" s="255"/>
    </row>
    <row r="877" spans="2:9" ht="27" hidden="1">
      <c r="B877" s="219">
        <v>45958</v>
      </c>
      <c r="C877" s="220">
        <v>3525</v>
      </c>
      <c r="D877" s="220">
        <v>99021</v>
      </c>
      <c r="E877" s="224" t="s">
        <v>27</v>
      </c>
      <c r="F877" s="225">
        <v>613525000032047</v>
      </c>
      <c r="G877" s="223">
        <v>503.32</v>
      </c>
      <c r="H877" s="222"/>
      <c r="I877" s="254"/>
    </row>
    <row r="878" spans="2:9" ht="60" hidden="1">
      <c r="B878" s="226"/>
      <c r="C878" s="226"/>
      <c r="D878" s="226"/>
      <c r="E878" s="221" t="s">
        <v>1474</v>
      </c>
      <c r="F878" s="221"/>
      <c r="G878" s="227"/>
      <c r="H878" s="221"/>
      <c r="I878" s="255"/>
    </row>
    <row r="879" spans="2:9" ht="18" hidden="1">
      <c r="B879" s="219">
        <v>45958</v>
      </c>
      <c r="C879" s="220">
        <v>0</v>
      </c>
      <c r="D879" s="220">
        <v>14397</v>
      </c>
      <c r="E879" s="224" t="s">
        <v>57</v>
      </c>
      <c r="F879" s="225">
        <v>281004386265222</v>
      </c>
      <c r="G879" s="223">
        <v>480</v>
      </c>
      <c r="H879" s="222"/>
      <c r="I879" s="254"/>
    </row>
    <row r="880" spans="2:9" ht="60" hidden="1">
      <c r="B880" s="226"/>
      <c r="C880" s="226"/>
      <c r="D880" s="226"/>
      <c r="E880" s="221" t="s">
        <v>1475</v>
      </c>
      <c r="F880" s="221"/>
      <c r="G880" s="227"/>
      <c r="H880" s="221"/>
      <c r="I880" s="255"/>
    </row>
    <row r="881" spans="1:9" ht="18" hidden="1">
      <c r="B881" s="219">
        <v>45958</v>
      </c>
      <c r="C881" s="220">
        <v>0</v>
      </c>
      <c r="D881" s="220">
        <v>13128</v>
      </c>
      <c r="E881" s="224" t="s">
        <v>1224</v>
      </c>
      <c r="F881" s="225">
        <v>153313862000097</v>
      </c>
      <c r="G881" s="228">
        <v>1004.04</v>
      </c>
      <c r="H881" s="222"/>
      <c r="I881" s="254"/>
    </row>
    <row r="882" spans="1:9" ht="18" hidden="1">
      <c r="B882" s="219">
        <v>45958</v>
      </c>
      <c r="C882" s="220">
        <v>0</v>
      </c>
      <c r="D882" s="220">
        <v>0</v>
      </c>
      <c r="E882" s="224" t="s">
        <v>52</v>
      </c>
      <c r="F882" s="225">
        <v>9903</v>
      </c>
      <c r="G882" s="223">
        <v>20.72</v>
      </c>
      <c r="H882" s="222"/>
      <c r="I882" s="254"/>
    </row>
    <row r="883" spans="1:9" ht="24" hidden="1">
      <c r="B883" s="226"/>
      <c r="C883" s="226"/>
      <c r="D883" s="226"/>
      <c r="E883" s="221" t="s">
        <v>53</v>
      </c>
      <c r="F883" s="221"/>
      <c r="G883" s="227"/>
      <c r="H883" s="221"/>
      <c r="I883" s="255"/>
    </row>
    <row r="884" spans="1:9" ht="27" hidden="1">
      <c r="B884" s="219">
        <v>45959</v>
      </c>
      <c r="C884" s="220">
        <v>0</v>
      </c>
      <c r="D884" s="220">
        <v>14175</v>
      </c>
      <c r="E884" s="224" t="s">
        <v>62</v>
      </c>
      <c r="F884" s="225">
        <v>399276360</v>
      </c>
      <c r="G884" s="223">
        <v>2217</v>
      </c>
      <c r="H884" s="222"/>
      <c r="I884" s="254"/>
    </row>
    <row r="885" spans="1:9" ht="60" hidden="1">
      <c r="B885" s="226"/>
      <c r="C885" s="226"/>
      <c r="D885" s="226"/>
      <c r="E885" s="221" t="s">
        <v>97</v>
      </c>
      <c r="F885" s="221"/>
      <c r="G885" s="227"/>
      <c r="H885" s="221"/>
      <c r="I885" s="255"/>
    </row>
    <row r="886" spans="1:9" ht="18">
      <c r="A886" s="179" t="s">
        <v>140</v>
      </c>
      <c r="B886" s="219">
        <v>45959</v>
      </c>
      <c r="C886" s="220">
        <v>0</v>
      </c>
      <c r="D886" s="220">
        <v>14138</v>
      </c>
      <c r="E886" s="224" t="s">
        <v>141</v>
      </c>
      <c r="F886" s="225">
        <v>202510280001345</v>
      </c>
      <c r="G886" s="223">
        <v>2447.69</v>
      </c>
      <c r="H886" s="222" t="s">
        <v>1501</v>
      </c>
      <c r="I886" s="254" t="s">
        <v>595</v>
      </c>
    </row>
    <row r="887" spans="1:9" ht="36" hidden="1">
      <c r="B887" s="226"/>
      <c r="C887" s="226"/>
      <c r="D887" s="226"/>
      <c r="E887" s="221" t="s">
        <v>143</v>
      </c>
      <c r="F887" s="221"/>
      <c r="G887" s="227"/>
      <c r="H887" s="221"/>
      <c r="I887" s="255"/>
    </row>
    <row r="888" spans="1:9" ht="18">
      <c r="A888" s="179" t="s">
        <v>140</v>
      </c>
      <c r="B888" s="219">
        <v>45959</v>
      </c>
      <c r="C888" s="220">
        <v>0</v>
      </c>
      <c r="D888" s="220">
        <v>14138</v>
      </c>
      <c r="E888" s="224" t="s">
        <v>141</v>
      </c>
      <c r="F888" s="225">
        <v>202510280001346</v>
      </c>
      <c r="G888" s="223">
        <v>2447.69</v>
      </c>
      <c r="H888" s="222" t="s">
        <v>1502</v>
      </c>
      <c r="I888" s="254" t="s">
        <v>595</v>
      </c>
    </row>
    <row r="889" spans="1:9" ht="36" hidden="1">
      <c r="B889" s="226"/>
      <c r="C889" s="226"/>
      <c r="D889" s="226"/>
      <c r="E889" s="221" t="s">
        <v>143</v>
      </c>
      <c r="F889" s="221"/>
      <c r="G889" s="227"/>
      <c r="H889" s="221"/>
      <c r="I889" s="255"/>
    </row>
    <row r="890" spans="1:9" ht="18" hidden="1">
      <c r="B890" s="219">
        <v>45959</v>
      </c>
      <c r="C890" s="220">
        <v>0</v>
      </c>
      <c r="D890" s="220">
        <v>14397</v>
      </c>
      <c r="E890" s="224" t="s">
        <v>57</v>
      </c>
      <c r="F890" s="225">
        <v>290911133895942</v>
      </c>
      <c r="G890" s="223">
        <v>491.35</v>
      </c>
      <c r="H890" s="222"/>
      <c r="I890" s="254"/>
    </row>
    <row r="891" spans="1:9" ht="48" hidden="1">
      <c r="B891" s="226"/>
      <c r="C891" s="226"/>
      <c r="D891" s="226"/>
      <c r="E891" s="221" t="s">
        <v>1476</v>
      </c>
      <c r="F891" s="221"/>
      <c r="G891" s="227"/>
      <c r="H891" s="221"/>
      <c r="I891" s="255"/>
    </row>
    <row r="892" spans="1:9" ht="18" hidden="1">
      <c r="B892" s="219">
        <v>45959</v>
      </c>
      <c r="C892" s="220">
        <v>0</v>
      </c>
      <c r="D892" s="220">
        <v>14397</v>
      </c>
      <c r="E892" s="224" t="s">
        <v>57</v>
      </c>
      <c r="F892" s="225">
        <v>290929573732151</v>
      </c>
      <c r="G892" s="223">
        <v>220.63</v>
      </c>
      <c r="H892" s="222"/>
      <c r="I892" s="254"/>
    </row>
    <row r="893" spans="1:9" ht="48" hidden="1">
      <c r="B893" s="226"/>
      <c r="C893" s="226"/>
      <c r="D893" s="226"/>
      <c r="E893" s="221" t="s">
        <v>1477</v>
      </c>
      <c r="F893" s="221"/>
      <c r="G893" s="227"/>
      <c r="H893" s="221"/>
      <c r="I893" s="255"/>
    </row>
    <row r="894" spans="1:9" ht="18" hidden="1">
      <c r="B894" s="219">
        <v>45959</v>
      </c>
      <c r="C894" s="220">
        <v>0</v>
      </c>
      <c r="D894" s="220">
        <v>14397</v>
      </c>
      <c r="E894" s="224" t="s">
        <v>57</v>
      </c>
      <c r="F894" s="225">
        <v>291514538616242</v>
      </c>
      <c r="G894" s="223">
        <v>2400</v>
      </c>
      <c r="H894" s="222"/>
      <c r="I894" s="254"/>
    </row>
    <row r="895" spans="1:9" ht="60" hidden="1">
      <c r="B895" s="226"/>
      <c r="C895" s="226"/>
      <c r="D895" s="226"/>
      <c r="E895" s="221" t="s">
        <v>1478</v>
      </c>
      <c r="F895" s="221"/>
      <c r="G895" s="227"/>
      <c r="H895" s="221"/>
      <c r="I895" s="255"/>
    </row>
    <row r="896" spans="1:9" ht="18" hidden="1">
      <c r="B896" s="219">
        <v>45959</v>
      </c>
      <c r="C896" s="220">
        <v>0</v>
      </c>
      <c r="D896" s="220">
        <v>14397</v>
      </c>
      <c r="E896" s="224" t="s">
        <v>57</v>
      </c>
      <c r="F896" s="225">
        <v>291625263848981</v>
      </c>
      <c r="G896" s="223">
        <v>398.16</v>
      </c>
      <c r="H896" s="222"/>
      <c r="I896" s="254"/>
    </row>
    <row r="897" spans="1:9" ht="60" hidden="1">
      <c r="B897" s="226"/>
      <c r="C897" s="226"/>
      <c r="D897" s="226"/>
      <c r="E897" s="221" t="s">
        <v>1479</v>
      </c>
      <c r="F897" s="221"/>
      <c r="G897" s="227"/>
      <c r="H897" s="221"/>
      <c r="I897" s="255"/>
    </row>
    <row r="898" spans="1:9" ht="18" hidden="1">
      <c r="B898" s="219">
        <v>45959</v>
      </c>
      <c r="C898" s="220">
        <v>1533</v>
      </c>
      <c r="D898" s="220">
        <v>99008</v>
      </c>
      <c r="E898" s="224" t="s">
        <v>29</v>
      </c>
      <c r="F898" s="225">
        <v>932567</v>
      </c>
      <c r="G898" s="228">
        <v>186.06</v>
      </c>
      <c r="H898" s="222"/>
      <c r="I898" s="254"/>
    </row>
    <row r="899" spans="1:9" ht="48" hidden="1">
      <c r="B899" s="226"/>
      <c r="C899" s="226"/>
      <c r="D899" s="226"/>
      <c r="E899" s="221" t="s">
        <v>1480</v>
      </c>
      <c r="F899" s="221"/>
      <c r="G899" s="227"/>
      <c r="H899" s="221"/>
      <c r="I899" s="255"/>
    </row>
    <row r="900" spans="1:9" hidden="1">
      <c r="B900" s="219">
        <v>45959</v>
      </c>
      <c r="C900" s="220">
        <v>0</v>
      </c>
      <c r="D900" s="220">
        <v>13105</v>
      </c>
      <c r="E900" s="224" t="s">
        <v>80</v>
      </c>
      <c r="F900" s="225">
        <v>102901</v>
      </c>
      <c r="G900" s="228">
        <v>2388.1999999999998</v>
      </c>
      <c r="H900" s="222"/>
      <c r="I900" s="254"/>
    </row>
    <row r="901" spans="1:9" ht="36" hidden="1">
      <c r="B901" s="226"/>
      <c r="C901" s="226"/>
      <c r="D901" s="226"/>
      <c r="E901" s="221" t="s">
        <v>81</v>
      </c>
      <c r="F901" s="221"/>
      <c r="G901" s="227"/>
      <c r="H901" s="221"/>
      <c r="I901" s="255"/>
    </row>
    <row r="902" spans="1:9" hidden="1">
      <c r="B902" s="219">
        <v>45959</v>
      </c>
      <c r="C902" s="220">
        <v>0</v>
      </c>
      <c r="D902" s="220">
        <v>13105</v>
      </c>
      <c r="E902" s="224" t="s">
        <v>80</v>
      </c>
      <c r="F902" s="225">
        <v>102902</v>
      </c>
      <c r="G902" s="228">
        <v>33.76</v>
      </c>
      <c r="H902" s="222"/>
      <c r="I902" s="254"/>
    </row>
    <row r="903" spans="1:9" ht="36" hidden="1">
      <c r="B903" s="226"/>
      <c r="C903" s="226"/>
      <c r="D903" s="226"/>
      <c r="E903" s="221" t="s">
        <v>81</v>
      </c>
      <c r="F903" s="221"/>
      <c r="G903" s="227"/>
      <c r="H903" s="221"/>
      <c r="I903" s="255"/>
    </row>
    <row r="904" spans="1:9" hidden="1">
      <c r="B904" s="219">
        <v>45959</v>
      </c>
      <c r="C904" s="220">
        <v>0</v>
      </c>
      <c r="D904" s="220">
        <v>13105</v>
      </c>
      <c r="E904" s="224" t="s">
        <v>80</v>
      </c>
      <c r="F904" s="225">
        <v>102903</v>
      </c>
      <c r="G904" s="228">
        <v>1077.08</v>
      </c>
      <c r="H904" s="222"/>
      <c r="I904" s="254"/>
    </row>
    <row r="905" spans="1:9" ht="36" hidden="1">
      <c r="B905" s="226"/>
      <c r="C905" s="226"/>
      <c r="D905" s="226"/>
      <c r="E905" s="221" t="s">
        <v>81</v>
      </c>
      <c r="F905" s="221"/>
      <c r="G905" s="227"/>
      <c r="H905" s="221"/>
      <c r="I905" s="255"/>
    </row>
    <row r="906" spans="1:9" ht="18" hidden="1">
      <c r="B906" s="219">
        <v>45959</v>
      </c>
      <c r="C906" s="220">
        <v>0</v>
      </c>
      <c r="D906" s="220">
        <v>13128</v>
      </c>
      <c r="E906" s="224" t="s">
        <v>1224</v>
      </c>
      <c r="F906" s="225">
        <v>153313862000110</v>
      </c>
      <c r="G906" s="228">
        <v>6675.97</v>
      </c>
      <c r="H906" s="222"/>
      <c r="I906" s="254"/>
    </row>
    <row r="907" spans="1:9" ht="18" hidden="1">
      <c r="B907" s="219">
        <v>45959</v>
      </c>
      <c r="C907" s="220">
        <v>0</v>
      </c>
      <c r="D907" s="220">
        <v>0</v>
      </c>
      <c r="E907" s="224" t="s">
        <v>59</v>
      </c>
      <c r="F907" s="225">
        <v>9903</v>
      </c>
      <c r="G907" s="228">
        <v>261.45</v>
      </c>
      <c r="H907" s="222"/>
      <c r="I907" s="254"/>
    </row>
    <row r="908" spans="1:9" ht="24" hidden="1">
      <c r="B908" s="226"/>
      <c r="C908" s="226"/>
      <c r="D908" s="226"/>
      <c r="E908" s="221" t="s">
        <v>53</v>
      </c>
      <c r="F908" s="221"/>
      <c r="G908" s="227"/>
      <c r="H908" s="221"/>
      <c r="I908" s="255"/>
    </row>
    <row r="909" spans="1:9" ht="27" hidden="1">
      <c r="B909" s="219">
        <v>45960</v>
      </c>
      <c r="C909" s="220">
        <v>2256</v>
      </c>
      <c r="D909" s="220">
        <v>99021</v>
      </c>
      <c r="E909" s="224" t="s">
        <v>27</v>
      </c>
      <c r="F909" s="225">
        <v>612256000106555</v>
      </c>
      <c r="G909" s="223">
        <v>425</v>
      </c>
      <c r="H909" s="222"/>
      <c r="I909" s="254"/>
    </row>
    <row r="910" spans="1:9" ht="48" hidden="1">
      <c r="B910" s="226"/>
      <c r="C910" s="226"/>
      <c r="D910" s="226"/>
      <c r="E910" s="221" t="s">
        <v>1481</v>
      </c>
      <c r="F910" s="221"/>
      <c r="G910" s="227"/>
      <c r="H910" s="221"/>
      <c r="I910" s="255"/>
    </row>
    <row r="911" spans="1:9" ht="27" hidden="1">
      <c r="B911" s="219">
        <v>45959</v>
      </c>
      <c r="C911" s="220">
        <v>0</v>
      </c>
      <c r="D911" s="220">
        <v>14128</v>
      </c>
      <c r="E911" s="224" t="s">
        <v>1482</v>
      </c>
      <c r="F911" s="225">
        <v>153313862000130</v>
      </c>
      <c r="G911" s="223">
        <v>21.23</v>
      </c>
      <c r="H911" s="222"/>
      <c r="I911" s="254"/>
    </row>
    <row r="912" spans="1:9" ht="18">
      <c r="A912" s="179" t="s">
        <v>140</v>
      </c>
      <c r="B912" s="219">
        <v>45960</v>
      </c>
      <c r="C912" s="220">
        <v>0</v>
      </c>
      <c r="D912" s="220">
        <v>14138</v>
      </c>
      <c r="E912" s="224" t="s">
        <v>141</v>
      </c>
      <c r="F912" s="225">
        <v>202510290024268</v>
      </c>
      <c r="G912" s="223">
        <v>1553.66</v>
      </c>
      <c r="H912" s="222">
        <v>4145</v>
      </c>
      <c r="I912" s="254" t="s">
        <v>595</v>
      </c>
    </row>
    <row r="913" spans="1:9" ht="36" hidden="1">
      <c r="B913" s="226"/>
      <c r="C913" s="226"/>
      <c r="D913" s="226"/>
      <c r="E913" s="221" t="s">
        <v>143</v>
      </c>
      <c r="F913" s="221"/>
      <c r="G913" s="227"/>
      <c r="H913" s="221"/>
      <c r="I913" s="255"/>
    </row>
    <row r="914" spans="1:9" ht="18">
      <c r="A914" s="179" t="s">
        <v>140</v>
      </c>
      <c r="B914" s="219">
        <v>45960</v>
      </c>
      <c r="C914" s="220">
        <v>0</v>
      </c>
      <c r="D914" s="220">
        <v>14138</v>
      </c>
      <c r="E914" s="224" t="s">
        <v>141</v>
      </c>
      <c r="F914" s="225">
        <v>202510290024270</v>
      </c>
      <c r="G914" s="223">
        <v>1476.65</v>
      </c>
      <c r="H914" s="222">
        <v>4134</v>
      </c>
      <c r="I914" s="254" t="s">
        <v>595</v>
      </c>
    </row>
    <row r="915" spans="1:9" ht="36" hidden="1">
      <c r="B915" s="226"/>
      <c r="C915" s="226"/>
      <c r="D915" s="226"/>
      <c r="E915" s="221" t="s">
        <v>143</v>
      </c>
      <c r="F915" s="221"/>
      <c r="G915" s="227"/>
      <c r="H915" s="221"/>
      <c r="I915" s="255"/>
    </row>
    <row r="916" spans="1:9" ht="18" hidden="1">
      <c r="B916" s="219">
        <v>45960</v>
      </c>
      <c r="C916" s="220">
        <v>0</v>
      </c>
      <c r="D916" s="220">
        <v>13105</v>
      </c>
      <c r="E916" s="224" t="s">
        <v>31</v>
      </c>
      <c r="F916" s="225">
        <v>103001</v>
      </c>
      <c r="G916" s="228">
        <v>337.58</v>
      </c>
      <c r="H916" s="222"/>
      <c r="I916" s="254"/>
    </row>
    <row r="917" spans="1:9" ht="36" hidden="1">
      <c r="B917" s="226"/>
      <c r="C917" s="226"/>
      <c r="D917" s="226"/>
      <c r="E917" s="221" t="s">
        <v>44</v>
      </c>
      <c r="F917" s="221"/>
      <c r="G917" s="227"/>
      <c r="H917" s="221"/>
      <c r="I917" s="255"/>
    </row>
    <row r="918" spans="1:9" ht="18" hidden="1">
      <c r="B918" s="219">
        <v>45960</v>
      </c>
      <c r="C918" s="220">
        <v>0</v>
      </c>
      <c r="D918" s="220">
        <v>13105</v>
      </c>
      <c r="E918" s="224" t="s">
        <v>31</v>
      </c>
      <c r="F918" s="225">
        <v>103002</v>
      </c>
      <c r="G918" s="228">
        <v>741.98</v>
      </c>
      <c r="H918" s="222"/>
      <c r="I918" s="254"/>
    </row>
    <row r="919" spans="1:9" ht="60" hidden="1">
      <c r="B919" s="226"/>
      <c r="C919" s="226"/>
      <c r="D919" s="226"/>
      <c r="E919" s="221" t="s">
        <v>188</v>
      </c>
      <c r="F919" s="221"/>
      <c r="G919" s="227"/>
      <c r="H919" s="221"/>
      <c r="I919" s="255"/>
    </row>
    <row r="920" spans="1:9" ht="18" hidden="1">
      <c r="B920" s="219">
        <v>45960</v>
      </c>
      <c r="C920" s="220">
        <v>0</v>
      </c>
      <c r="D920" s="220">
        <v>13105</v>
      </c>
      <c r="E920" s="224" t="s">
        <v>31</v>
      </c>
      <c r="F920" s="225">
        <v>103003</v>
      </c>
      <c r="G920" s="228">
        <v>95</v>
      </c>
      <c r="H920" s="222"/>
      <c r="I920" s="254"/>
    </row>
    <row r="921" spans="1:9" ht="36" hidden="1">
      <c r="B921" s="226"/>
      <c r="C921" s="226"/>
      <c r="D921" s="226"/>
      <c r="E921" s="221" t="s">
        <v>1483</v>
      </c>
      <c r="F921" s="221"/>
      <c r="G921" s="227"/>
      <c r="H921" s="221"/>
      <c r="I921" s="255"/>
    </row>
    <row r="922" spans="1:9" ht="18" hidden="1">
      <c r="B922" s="219">
        <v>45960</v>
      </c>
      <c r="C922" s="220">
        <v>0</v>
      </c>
      <c r="D922" s="220">
        <v>13105</v>
      </c>
      <c r="E922" s="224" t="s">
        <v>31</v>
      </c>
      <c r="F922" s="225">
        <v>103004</v>
      </c>
      <c r="G922" s="228">
        <v>1350.79</v>
      </c>
      <c r="H922" s="222"/>
      <c r="I922" s="254"/>
    </row>
    <row r="923" spans="1:9" hidden="1">
      <c r="B923" s="226"/>
      <c r="C923" s="226"/>
      <c r="D923" s="226"/>
      <c r="E923" s="221" t="s">
        <v>769</v>
      </c>
      <c r="F923" s="221"/>
      <c r="G923" s="227"/>
      <c r="H923" s="221"/>
      <c r="I923" s="255"/>
    </row>
    <row r="924" spans="1:9" ht="18" hidden="1">
      <c r="B924" s="219">
        <v>45960</v>
      </c>
      <c r="C924" s="220">
        <v>0</v>
      </c>
      <c r="D924" s="220">
        <v>0</v>
      </c>
      <c r="E924" s="224" t="s">
        <v>59</v>
      </c>
      <c r="F924" s="225">
        <v>9903</v>
      </c>
      <c r="G924" s="228">
        <v>951.19</v>
      </c>
      <c r="H924" s="222"/>
      <c r="I924" s="254"/>
    </row>
    <row r="925" spans="1:9" ht="24" hidden="1">
      <c r="B925" s="226"/>
      <c r="C925" s="226"/>
      <c r="D925" s="226"/>
      <c r="E925" s="221" t="s">
        <v>53</v>
      </c>
      <c r="F925" s="221"/>
      <c r="G925" s="227"/>
      <c r="H925" s="221"/>
      <c r="I925" s="255"/>
    </row>
    <row r="926" spans="1:9" ht="27" hidden="1">
      <c r="B926" s="219">
        <v>45961</v>
      </c>
      <c r="C926" s="220">
        <v>0</v>
      </c>
      <c r="D926" s="220">
        <v>14175</v>
      </c>
      <c r="E926" s="224" t="s">
        <v>62</v>
      </c>
      <c r="F926" s="225">
        <v>399737501</v>
      </c>
      <c r="G926" s="223">
        <v>6336</v>
      </c>
      <c r="H926" s="222"/>
      <c r="I926" s="254"/>
    </row>
    <row r="927" spans="1:9" ht="60" hidden="1">
      <c r="B927" s="226"/>
      <c r="C927" s="226"/>
      <c r="D927" s="226"/>
      <c r="E927" s="221" t="s">
        <v>97</v>
      </c>
      <c r="F927" s="221"/>
      <c r="G927" s="227"/>
      <c r="H927" s="221"/>
      <c r="I927" s="255"/>
    </row>
    <row r="928" spans="1:9" ht="18">
      <c r="A928" s="179" t="s">
        <v>140</v>
      </c>
      <c r="B928" s="219">
        <v>45961</v>
      </c>
      <c r="C928" s="220">
        <v>0</v>
      </c>
      <c r="D928" s="220">
        <v>14138</v>
      </c>
      <c r="E928" s="224" t="s">
        <v>141</v>
      </c>
      <c r="F928" s="225">
        <v>202510300078517</v>
      </c>
      <c r="G928" s="223">
        <v>166.7</v>
      </c>
      <c r="H928" s="222">
        <v>4118</v>
      </c>
      <c r="I928" s="254" t="s">
        <v>419</v>
      </c>
    </row>
    <row r="929" spans="1:9" ht="36" hidden="1">
      <c r="B929" s="226"/>
      <c r="C929" s="226"/>
      <c r="D929" s="226"/>
      <c r="E929" s="221" t="s">
        <v>143</v>
      </c>
      <c r="F929" s="221"/>
      <c r="G929" s="227"/>
      <c r="H929" s="221"/>
      <c r="I929" s="255"/>
    </row>
    <row r="930" spans="1:9" ht="18">
      <c r="A930" s="179" t="s">
        <v>140</v>
      </c>
      <c r="B930" s="219">
        <v>45961</v>
      </c>
      <c r="C930" s="220">
        <v>0</v>
      </c>
      <c r="D930" s="220">
        <v>14138</v>
      </c>
      <c r="E930" s="224" t="s">
        <v>141</v>
      </c>
      <c r="F930" s="225">
        <v>202510300078519</v>
      </c>
      <c r="G930" s="223">
        <v>609.28</v>
      </c>
      <c r="H930" s="222">
        <v>4070</v>
      </c>
      <c r="I930" s="254" t="s">
        <v>419</v>
      </c>
    </row>
    <row r="931" spans="1:9" ht="36" hidden="1">
      <c r="B931" s="226"/>
      <c r="C931" s="226"/>
      <c r="D931" s="226"/>
      <c r="E931" s="221" t="s">
        <v>143</v>
      </c>
      <c r="F931" s="221"/>
      <c r="G931" s="227"/>
      <c r="H931" s="221"/>
      <c r="I931" s="255"/>
    </row>
    <row r="932" spans="1:9" ht="18">
      <c r="A932" s="179" t="s">
        <v>140</v>
      </c>
      <c r="B932" s="219">
        <v>45961</v>
      </c>
      <c r="C932" s="220">
        <v>0</v>
      </c>
      <c r="D932" s="220">
        <v>14138</v>
      </c>
      <c r="E932" s="224" t="s">
        <v>141</v>
      </c>
      <c r="F932" s="225">
        <v>202510300078553</v>
      </c>
      <c r="G932" s="223">
        <v>1865.06</v>
      </c>
      <c r="H932" s="222" t="s">
        <v>1503</v>
      </c>
      <c r="I932" s="254" t="s">
        <v>595</v>
      </c>
    </row>
    <row r="933" spans="1:9" ht="36" hidden="1">
      <c r="B933" s="226"/>
      <c r="C933" s="226"/>
      <c r="D933" s="226"/>
      <c r="E933" s="221" t="s">
        <v>143</v>
      </c>
      <c r="F933" s="221"/>
      <c r="G933" s="227"/>
      <c r="H933" s="221"/>
      <c r="I933" s="255"/>
    </row>
    <row r="934" spans="1:9" ht="18" hidden="1">
      <c r="B934" s="219">
        <v>45961</v>
      </c>
      <c r="C934" s="220">
        <v>0</v>
      </c>
      <c r="D934" s="220">
        <v>14397</v>
      </c>
      <c r="E934" s="224" t="s">
        <v>57</v>
      </c>
      <c r="F934" s="225">
        <v>310905592476121</v>
      </c>
      <c r="G934" s="223">
        <v>43</v>
      </c>
      <c r="H934" s="222"/>
      <c r="I934" s="254"/>
    </row>
    <row r="935" spans="1:9" ht="60" hidden="1">
      <c r="B935" s="226"/>
      <c r="C935" s="226"/>
      <c r="D935" s="226"/>
      <c r="E935" s="221" t="s">
        <v>1484</v>
      </c>
      <c r="F935" s="221"/>
      <c r="G935" s="227"/>
      <c r="H935" s="221"/>
      <c r="I935" s="255"/>
    </row>
    <row r="936" spans="1:9" ht="18" hidden="1">
      <c r="B936" s="219">
        <v>45961</v>
      </c>
      <c r="C936" s="220">
        <v>0</v>
      </c>
      <c r="D936" s="220">
        <v>14397</v>
      </c>
      <c r="E936" s="224" t="s">
        <v>57</v>
      </c>
      <c r="F936" s="225">
        <v>311634012189641</v>
      </c>
      <c r="G936" s="223">
        <v>37.29</v>
      </c>
      <c r="H936" s="222"/>
      <c r="I936" s="254"/>
    </row>
    <row r="937" spans="1:9" ht="60" hidden="1">
      <c r="B937" s="226"/>
      <c r="C937" s="226"/>
      <c r="D937" s="226"/>
      <c r="E937" s="221" t="s">
        <v>1485</v>
      </c>
      <c r="F937" s="221"/>
      <c r="G937" s="227"/>
      <c r="H937" s="221"/>
      <c r="I937" s="255"/>
    </row>
    <row r="938" spans="1:9" ht="18" hidden="1">
      <c r="B938" s="219">
        <v>45961</v>
      </c>
      <c r="C938" s="220">
        <v>0</v>
      </c>
      <c r="D938" s="220">
        <v>13105</v>
      </c>
      <c r="E938" s="224" t="s">
        <v>118</v>
      </c>
      <c r="F938" s="225">
        <v>103101</v>
      </c>
      <c r="G938" s="228">
        <v>6212</v>
      </c>
      <c r="H938" s="222"/>
      <c r="I938" s="254"/>
    </row>
    <row r="939" spans="1:9" ht="60" hidden="1">
      <c r="B939" s="226"/>
      <c r="C939" s="226"/>
      <c r="D939" s="226"/>
      <c r="E939" s="221" t="s">
        <v>1486</v>
      </c>
      <c r="F939" s="221"/>
      <c r="G939" s="227"/>
      <c r="H939" s="221"/>
      <c r="I939" s="255"/>
    </row>
    <row r="940" spans="1:9" ht="27" hidden="1">
      <c r="B940" s="219">
        <v>45961</v>
      </c>
      <c r="C940" s="220">
        <v>0</v>
      </c>
      <c r="D940" s="220">
        <v>13013</v>
      </c>
      <c r="E940" s="224" t="s">
        <v>204</v>
      </c>
      <c r="F940" s="225">
        <v>3941</v>
      </c>
      <c r="G940" s="228">
        <v>874.47</v>
      </c>
      <c r="H940" s="222"/>
      <c r="I940" s="254"/>
    </row>
    <row r="941" spans="1:9" ht="36" hidden="1">
      <c r="B941" s="226"/>
      <c r="C941" s="226"/>
      <c r="D941" s="226"/>
      <c r="E941" s="221" t="s">
        <v>205</v>
      </c>
      <c r="F941" s="221"/>
      <c r="G941" s="227"/>
      <c r="H941" s="221"/>
      <c r="I941" s="255"/>
    </row>
    <row r="942" spans="1:9" ht="27" hidden="1">
      <c r="B942" s="219">
        <v>45961</v>
      </c>
      <c r="C942" s="220">
        <v>0</v>
      </c>
      <c r="D942" s="220">
        <v>13013</v>
      </c>
      <c r="E942" s="224" t="s">
        <v>204</v>
      </c>
      <c r="F942" s="225">
        <v>3941</v>
      </c>
      <c r="G942" s="228">
        <v>1075.02</v>
      </c>
      <c r="H942" s="222"/>
      <c r="I942" s="254"/>
    </row>
    <row r="943" spans="1:9" ht="36" hidden="1">
      <c r="B943" s="226"/>
      <c r="C943" s="226"/>
      <c r="D943" s="226"/>
      <c r="E943" s="221" t="s">
        <v>205</v>
      </c>
      <c r="F943" s="221"/>
      <c r="G943" s="227"/>
      <c r="H943" s="221"/>
      <c r="I943" s="255"/>
    </row>
    <row r="944" spans="1:9" ht="27" hidden="1">
      <c r="B944" s="219">
        <v>45961</v>
      </c>
      <c r="C944" s="220">
        <v>0</v>
      </c>
      <c r="D944" s="220">
        <v>13013</v>
      </c>
      <c r="E944" s="224" t="s">
        <v>204</v>
      </c>
      <c r="F944" s="225">
        <v>3941</v>
      </c>
      <c r="G944" s="228">
        <v>848.17</v>
      </c>
      <c r="H944" s="222"/>
      <c r="I944" s="254"/>
    </row>
    <row r="945" spans="2:9" ht="36" hidden="1">
      <c r="B945" s="226"/>
      <c r="C945" s="226"/>
      <c r="D945" s="226"/>
      <c r="E945" s="221" t="s">
        <v>205</v>
      </c>
      <c r="F945" s="221"/>
      <c r="G945" s="227"/>
      <c r="H945" s="221"/>
      <c r="I945" s="255"/>
    </row>
    <row r="946" spans="2:9" ht="27" hidden="1">
      <c r="B946" s="219">
        <v>45961</v>
      </c>
      <c r="C946" s="220">
        <v>0</v>
      </c>
      <c r="D946" s="220">
        <v>13013</v>
      </c>
      <c r="E946" s="224" t="s">
        <v>204</v>
      </c>
      <c r="F946" s="225">
        <v>3941</v>
      </c>
      <c r="G946" s="228">
        <v>523.91</v>
      </c>
      <c r="H946" s="222"/>
      <c r="I946" s="254"/>
    </row>
    <row r="947" spans="2:9" ht="36" hidden="1">
      <c r="B947" s="226"/>
      <c r="C947" s="226"/>
      <c r="D947" s="226"/>
      <c r="E947" s="221" t="s">
        <v>205</v>
      </c>
      <c r="F947" s="221"/>
      <c r="G947" s="221"/>
      <c r="H947" s="221"/>
      <c r="I947" s="256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12"/>
  <dimension ref="A1:N1000"/>
  <sheetViews>
    <sheetView workbookViewId="0"/>
  </sheetViews>
  <sheetFormatPr defaultColWidth="14.42578125" defaultRowHeight="15" customHeight="1"/>
  <cols>
    <col min="1" max="10" width="8.7109375" customWidth="1"/>
    <col min="11" max="11" width="17.85546875" customWidth="1"/>
    <col min="12" max="12" width="7.7109375" customWidth="1"/>
    <col min="13" max="13" width="11.140625" customWidth="1"/>
    <col min="14" max="14" width="14.28515625" customWidth="1"/>
    <col min="15" max="26" width="8.7109375" customWidth="1"/>
  </cols>
  <sheetData>
    <row r="1" spans="1:14">
      <c r="A1" s="199" t="s">
        <v>18</v>
      </c>
      <c r="B1" s="200" t="s">
        <v>19</v>
      </c>
      <c r="C1" s="200" t="s">
        <v>20</v>
      </c>
      <c r="D1" s="200" t="s">
        <v>21</v>
      </c>
      <c r="E1" s="200" t="s">
        <v>22</v>
      </c>
      <c r="F1" s="200" t="s">
        <v>23</v>
      </c>
      <c r="G1" s="201" t="s">
        <v>24</v>
      </c>
      <c r="H1" s="200" t="s">
        <v>404</v>
      </c>
      <c r="I1" s="202" t="s">
        <v>405</v>
      </c>
      <c r="K1" s="86" t="s">
        <v>798</v>
      </c>
      <c r="L1" s="3">
        <f>SUMIF(J:J,"Hematologia", H:H)</f>
        <v>0</v>
      </c>
      <c r="M1" s="86" t="s">
        <v>536</v>
      </c>
      <c r="N1" s="87">
        <f>SUBTOTAL(9,Ago!$G$2:$G$1026)</f>
        <v>1072735.3800000004</v>
      </c>
    </row>
    <row r="2" spans="1:14">
      <c r="K2" s="86" t="s">
        <v>800</v>
      </c>
      <c r="L2" s="3">
        <f>SUMIF(J:J,"Coagulação", H:H)</f>
        <v>0</v>
      </c>
      <c r="M2" s="1" t="s">
        <v>691</v>
      </c>
      <c r="N2" s="87">
        <f>SUMIF(B:B,"Baixado",H:H)</f>
        <v>0</v>
      </c>
    </row>
    <row r="3" spans="1:14">
      <c r="K3" s="86" t="s">
        <v>543</v>
      </c>
      <c r="L3" s="3">
        <f>SUMIF(J:J,"TT/TTPA", H:H)</f>
        <v>0</v>
      </c>
      <c r="M3" s="1" t="s">
        <v>692</v>
      </c>
      <c r="N3" s="87">
        <f>SUMIF(B:B,"Pendente",H:H)</f>
        <v>0</v>
      </c>
    </row>
    <row r="4" spans="1:14">
      <c r="K4" s="86" t="s">
        <v>803</v>
      </c>
      <c r="L4" s="3">
        <f>SUMIF(J:J,"Ionograma", H:H)</f>
        <v>0</v>
      </c>
    </row>
    <row r="14" spans="1:14">
      <c r="G14" s="79"/>
      <c r="H14" s="203"/>
      <c r="I14" s="203"/>
      <c r="J14" s="203"/>
      <c r="K14" s="204"/>
      <c r="L14" s="205"/>
      <c r="M14" s="206"/>
    </row>
    <row r="15" spans="1:14">
      <c r="H15" s="185"/>
      <c r="I15" s="183"/>
      <c r="J15" s="183"/>
      <c r="K15" s="190"/>
      <c r="L15" s="207"/>
      <c r="M15" s="188"/>
    </row>
    <row r="16" spans="1:14">
      <c r="H16" s="185"/>
      <c r="I16" s="183"/>
      <c r="J16" s="183"/>
      <c r="K16" s="208"/>
      <c r="L16" s="187"/>
      <c r="M16" s="188"/>
    </row>
    <row r="17" spans="8:13">
      <c r="H17" s="189"/>
      <c r="I17" s="189"/>
      <c r="J17" s="189"/>
      <c r="K17" s="190"/>
      <c r="L17" s="190"/>
      <c r="M17" s="191"/>
    </row>
    <row r="18" spans="8:13">
      <c r="H18" s="185"/>
      <c r="I18" s="183"/>
      <c r="J18" s="183"/>
      <c r="K18" s="208"/>
      <c r="L18" s="187"/>
      <c r="M18" s="188"/>
    </row>
    <row r="19" spans="8:13">
      <c r="H19" s="189"/>
      <c r="I19" s="189"/>
      <c r="J19" s="189"/>
      <c r="K19" s="190"/>
      <c r="L19" s="190"/>
      <c r="M19" s="191"/>
    </row>
    <row r="20" spans="8:13">
      <c r="H20" s="185"/>
      <c r="I20" s="183"/>
      <c r="J20" s="183"/>
      <c r="K20" s="208"/>
      <c r="L20" s="187"/>
      <c r="M20" s="188"/>
    </row>
    <row r="21" spans="8:13" ht="15.75" customHeight="1">
      <c r="H21" s="189"/>
      <c r="I21" s="189"/>
      <c r="J21" s="189"/>
      <c r="K21" s="190"/>
      <c r="L21" s="190"/>
      <c r="M21" s="191"/>
    </row>
    <row r="22" spans="8:13" ht="15.75" customHeight="1">
      <c r="H22" s="185"/>
      <c r="I22" s="183"/>
      <c r="J22" s="183"/>
      <c r="K22" s="208"/>
      <c r="L22" s="187"/>
      <c r="M22" s="192"/>
    </row>
    <row r="23" spans="8:13" ht="15.75" customHeight="1">
      <c r="H23" s="189"/>
      <c r="I23" s="189"/>
      <c r="J23" s="189"/>
      <c r="K23" s="190"/>
      <c r="L23" s="190"/>
      <c r="M23" s="191"/>
    </row>
    <row r="24" spans="8:13" ht="15.75" customHeight="1">
      <c r="H24" s="185"/>
      <c r="I24" s="183"/>
      <c r="J24" s="183"/>
      <c r="K24" s="208"/>
      <c r="L24" s="187"/>
      <c r="M24" s="192"/>
    </row>
    <row r="25" spans="8:13" ht="15.75" customHeight="1">
      <c r="H25" s="189"/>
      <c r="I25" s="189"/>
      <c r="J25" s="189"/>
      <c r="K25" s="190"/>
      <c r="L25" s="190"/>
      <c r="M25" s="191"/>
    </row>
    <row r="26" spans="8:13" ht="15.75" customHeight="1">
      <c r="H26" s="185"/>
      <c r="I26" s="183"/>
      <c r="J26" s="183"/>
      <c r="K26" s="208"/>
      <c r="L26" s="187"/>
      <c r="M26" s="192"/>
    </row>
    <row r="27" spans="8:13" ht="15.75" customHeight="1">
      <c r="H27" s="189"/>
      <c r="I27" s="189"/>
      <c r="J27" s="189"/>
      <c r="K27" s="190"/>
      <c r="L27" s="190"/>
      <c r="M27" s="191"/>
    </row>
    <row r="28" spans="8:13" ht="15.75" customHeight="1">
      <c r="H28" s="185"/>
      <c r="I28" s="183"/>
      <c r="J28" s="183"/>
      <c r="K28" s="208"/>
      <c r="L28" s="187"/>
      <c r="M28" s="192"/>
    </row>
    <row r="29" spans="8:13" ht="15.75" customHeight="1">
      <c r="H29" s="189"/>
      <c r="I29" s="189"/>
      <c r="J29" s="189"/>
      <c r="K29" s="190"/>
      <c r="L29" s="190"/>
      <c r="M29" s="191"/>
    </row>
    <row r="30" spans="8:13" ht="15.75" customHeight="1">
      <c r="H30" s="185"/>
      <c r="I30" s="183"/>
      <c r="J30" s="183"/>
      <c r="K30" s="208"/>
      <c r="L30" s="187"/>
      <c r="M30" s="192"/>
    </row>
    <row r="31" spans="8:13" ht="15.75" customHeight="1">
      <c r="H31" s="189"/>
      <c r="I31" s="189"/>
      <c r="J31" s="189"/>
      <c r="K31" s="190"/>
      <c r="L31" s="190"/>
      <c r="M31" s="191"/>
    </row>
    <row r="32" spans="8:13" ht="15.75" customHeight="1">
      <c r="H32" s="185"/>
      <c r="I32" s="183"/>
      <c r="J32" s="183"/>
      <c r="K32" s="208"/>
      <c r="L32" s="187"/>
      <c r="M32" s="192"/>
    </row>
    <row r="33" spans="8:13" ht="15.75" customHeight="1">
      <c r="H33" s="189"/>
      <c r="I33" s="189"/>
      <c r="J33" s="189"/>
      <c r="K33" s="190"/>
      <c r="L33" s="190"/>
      <c r="M33" s="191"/>
    </row>
    <row r="34" spans="8:13" ht="15.75" customHeight="1">
      <c r="H34" s="185"/>
      <c r="I34" s="183"/>
      <c r="J34" s="183"/>
      <c r="K34" s="208"/>
      <c r="L34" s="187"/>
      <c r="M34" s="192"/>
    </row>
    <row r="35" spans="8:13" ht="15.75" customHeight="1">
      <c r="H35" s="189"/>
      <c r="I35" s="189"/>
      <c r="J35" s="189"/>
      <c r="K35" s="190"/>
      <c r="L35" s="190"/>
      <c r="M35" s="191"/>
    </row>
    <row r="36" spans="8:13" ht="15.75" customHeight="1">
      <c r="H36" s="185"/>
      <c r="I36" s="183"/>
      <c r="J36" s="183"/>
      <c r="K36" s="208"/>
      <c r="L36" s="187"/>
      <c r="M36" s="192"/>
    </row>
    <row r="37" spans="8:13" ht="15.75" customHeight="1">
      <c r="H37" s="189"/>
      <c r="I37" s="189"/>
      <c r="J37" s="189"/>
      <c r="K37" s="190"/>
      <c r="L37" s="190"/>
      <c r="M37" s="191"/>
    </row>
    <row r="38" spans="8:13" ht="15.75" customHeight="1">
      <c r="H38" s="185"/>
      <c r="I38" s="183"/>
      <c r="J38" s="183"/>
      <c r="K38" s="208"/>
      <c r="L38" s="187"/>
      <c r="M38" s="192"/>
    </row>
    <row r="39" spans="8:13" ht="15.75" customHeight="1">
      <c r="H39" s="189"/>
      <c r="I39" s="189"/>
      <c r="J39" s="189"/>
      <c r="K39" s="190"/>
      <c r="L39" s="190"/>
      <c r="M39" s="191"/>
    </row>
    <row r="40" spans="8:13" ht="15.75" customHeight="1">
      <c r="H40" s="185"/>
      <c r="I40" s="183"/>
      <c r="J40" s="183"/>
      <c r="K40" s="208"/>
      <c r="L40" s="187"/>
      <c r="M40" s="192"/>
    </row>
    <row r="41" spans="8:13" ht="15.75" customHeight="1">
      <c r="H41" s="189"/>
      <c r="I41" s="189"/>
      <c r="J41" s="189"/>
      <c r="K41" s="190"/>
      <c r="L41" s="190"/>
      <c r="M41" s="191"/>
    </row>
    <row r="42" spans="8:13" ht="15.75" customHeight="1">
      <c r="H42" s="185"/>
      <c r="I42" s="183"/>
      <c r="J42" s="183"/>
      <c r="K42" s="208"/>
      <c r="L42" s="187"/>
      <c r="M42" s="192"/>
    </row>
    <row r="43" spans="8:13" ht="15.75" customHeight="1">
      <c r="H43" s="189"/>
      <c r="I43" s="189"/>
      <c r="J43" s="189"/>
      <c r="K43" s="190"/>
      <c r="L43" s="190"/>
      <c r="M43" s="191"/>
    </row>
    <row r="44" spans="8:13" ht="15.75" customHeight="1">
      <c r="H44" s="185"/>
      <c r="I44" s="183"/>
      <c r="J44" s="183"/>
      <c r="K44" s="208"/>
      <c r="L44" s="187"/>
      <c r="M44" s="192"/>
    </row>
    <row r="45" spans="8:13" ht="15.75" customHeight="1">
      <c r="H45" s="189"/>
      <c r="I45" s="189"/>
      <c r="J45" s="189"/>
      <c r="K45" s="190"/>
      <c r="L45" s="190"/>
      <c r="M45" s="191"/>
    </row>
    <row r="46" spans="8:13" ht="15.75" customHeight="1">
      <c r="H46" s="185"/>
      <c r="I46" s="183"/>
      <c r="J46" s="183"/>
      <c r="K46" s="208"/>
      <c r="L46" s="187"/>
      <c r="M46" s="192"/>
    </row>
    <row r="47" spans="8:13" ht="15.75" customHeight="1">
      <c r="H47" s="189"/>
      <c r="I47" s="189"/>
      <c r="J47" s="189"/>
      <c r="K47" s="190"/>
      <c r="L47" s="190"/>
      <c r="M47" s="191"/>
    </row>
    <row r="48" spans="8:13" ht="15.75" customHeight="1">
      <c r="H48" s="185"/>
      <c r="I48" s="183"/>
      <c r="J48" s="183"/>
      <c r="K48" s="208"/>
      <c r="L48" s="187"/>
      <c r="M48" s="192"/>
    </row>
    <row r="49" spans="8:13" ht="15.75" customHeight="1">
      <c r="H49" s="189"/>
      <c r="I49" s="189"/>
      <c r="J49" s="189"/>
      <c r="K49" s="190"/>
      <c r="L49" s="190"/>
      <c r="M49" s="191"/>
    </row>
    <row r="50" spans="8:13" ht="15.75" customHeight="1">
      <c r="H50" s="185"/>
      <c r="I50" s="183"/>
      <c r="J50" s="183"/>
      <c r="K50" s="208"/>
      <c r="L50" s="187"/>
      <c r="M50" s="192"/>
    </row>
    <row r="51" spans="8:13" ht="15.75" customHeight="1">
      <c r="H51" s="189"/>
      <c r="I51" s="189"/>
      <c r="J51" s="189"/>
      <c r="K51" s="190"/>
      <c r="L51" s="190"/>
      <c r="M51" s="191"/>
    </row>
    <row r="52" spans="8:13" ht="15.75" customHeight="1">
      <c r="H52" s="185"/>
      <c r="I52" s="183"/>
      <c r="J52" s="183"/>
      <c r="K52" s="208"/>
      <c r="L52" s="187"/>
      <c r="M52" s="192"/>
    </row>
    <row r="53" spans="8:13" ht="15.75" customHeight="1">
      <c r="H53" s="189"/>
      <c r="I53" s="189"/>
      <c r="J53" s="189"/>
      <c r="K53" s="190"/>
      <c r="L53" s="190"/>
      <c r="M53" s="191"/>
    </row>
    <row r="54" spans="8:13" ht="15.75" customHeight="1">
      <c r="H54" s="185"/>
      <c r="I54" s="183"/>
      <c r="J54" s="183"/>
      <c r="K54" s="208"/>
      <c r="L54" s="187"/>
      <c r="M54" s="192"/>
    </row>
    <row r="55" spans="8:13" ht="15.75" customHeight="1">
      <c r="H55" s="189"/>
      <c r="I55" s="189"/>
      <c r="J55" s="189"/>
      <c r="K55" s="190"/>
      <c r="L55" s="190"/>
      <c r="M55" s="191"/>
    </row>
    <row r="56" spans="8:13" ht="15.75" customHeight="1">
      <c r="H56" s="185"/>
      <c r="I56" s="183"/>
      <c r="J56" s="183"/>
      <c r="K56" s="208"/>
      <c r="L56" s="187"/>
      <c r="M56" s="192"/>
    </row>
    <row r="57" spans="8:13" ht="15.75" customHeight="1">
      <c r="H57" s="189"/>
      <c r="I57" s="189"/>
      <c r="J57" s="189"/>
      <c r="K57" s="190"/>
      <c r="L57" s="190"/>
      <c r="M57" s="191"/>
    </row>
    <row r="58" spans="8:13" ht="15.75" customHeight="1">
      <c r="H58" s="185"/>
      <c r="I58" s="183"/>
      <c r="J58" s="183"/>
      <c r="K58" s="208"/>
      <c r="L58" s="187"/>
      <c r="M58" s="192"/>
    </row>
    <row r="59" spans="8:13" ht="15.75" customHeight="1">
      <c r="H59" s="189"/>
      <c r="I59" s="189"/>
      <c r="J59" s="189"/>
      <c r="K59" s="190"/>
      <c r="L59" s="190"/>
      <c r="M59" s="191"/>
    </row>
    <row r="60" spans="8:13" ht="15.75" customHeight="1">
      <c r="H60" s="185"/>
      <c r="I60" s="183"/>
      <c r="J60" s="183"/>
      <c r="K60" s="208"/>
      <c r="L60" s="187"/>
      <c r="M60" s="188"/>
    </row>
    <row r="61" spans="8:13" ht="15.75" customHeight="1">
      <c r="H61" s="189"/>
      <c r="I61" s="189"/>
      <c r="J61" s="189"/>
      <c r="K61" s="190"/>
      <c r="L61" s="190"/>
      <c r="M61" s="191"/>
    </row>
    <row r="62" spans="8:13" ht="15.75" customHeight="1">
      <c r="H62" s="185"/>
      <c r="I62" s="183"/>
      <c r="J62" s="183"/>
      <c r="K62" s="208"/>
      <c r="L62" s="187"/>
      <c r="M62" s="188"/>
    </row>
    <row r="63" spans="8:13" ht="15.75" customHeight="1">
      <c r="H63" s="189"/>
      <c r="I63" s="189"/>
      <c r="J63" s="189"/>
      <c r="K63" s="190"/>
      <c r="L63" s="190"/>
      <c r="M63" s="191"/>
    </row>
    <row r="64" spans="8:13" ht="15.75" customHeight="1">
      <c r="H64" s="185"/>
      <c r="I64" s="183"/>
      <c r="J64" s="183"/>
      <c r="K64" s="208"/>
      <c r="L64" s="187"/>
      <c r="M64" s="188"/>
    </row>
    <row r="65" spans="8:13" ht="15.75" customHeight="1">
      <c r="H65" s="189"/>
      <c r="I65" s="189"/>
      <c r="J65" s="189"/>
      <c r="K65" s="190"/>
      <c r="L65" s="190"/>
      <c r="M65" s="191"/>
    </row>
    <row r="66" spans="8:13" ht="15.75" customHeight="1">
      <c r="H66" s="185"/>
      <c r="I66" s="183"/>
      <c r="J66" s="183"/>
      <c r="K66" s="208"/>
      <c r="L66" s="187"/>
      <c r="M66" s="188"/>
    </row>
    <row r="67" spans="8:13" ht="15.75" customHeight="1">
      <c r="H67" s="189"/>
      <c r="I67" s="189"/>
      <c r="J67" s="189"/>
      <c r="K67" s="190"/>
      <c r="L67" s="190"/>
      <c r="M67" s="191"/>
    </row>
    <row r="68" spans="8:13" ht="15.75" customHeight="1">
      <c r="H68" s="185"/>
      <c r="I68" s="183"/>
      <c r="J68" s="183"/>
      <c r="K68" s="208"/>
      <c r="L68" s="187"/>
      <c r="M68" s="192"/>
    </row>
    <row r="69" spans="8:13" ht="15.75" customHeight="1">
      <c r="H69" s="189"/>
      <c r="I69" s="189"/>
      <c r="J69" s="189"/>
      <c r="K69" s="190"/>
      <c r="L69" s="190"/>
      <c r="M69" s="191"/>
    </row>
    <row r="70" spans="8:13" ht="15.75" customHeight="1">
      <c r="H70" s="185"/>
      <c r="I70" s="183"/>
      <c r="J70" s="183"/>
      <c r="K70" s="208"/>
      <c r="L70" s="187"/>
      <c r="M70" s="192"/>
    </row>
    <row r="71" spans="8:13" ht="15.75" customHeight="1">
      <c r="H71" s="189"/>
      <c r="I71" s="189"/>
      <c r="J71" s="189"/>
      <c r="K71" s="190"/>
      <c r="L71" s="190"/>
      <c r="M71" s="191"/>
    </row>
    <row r="72" spans="8:13" ht="15.75" customHeight="1">
      <c r="H72" s="185"/>
      <c r="I72" s="183"/>
      <c r="J72" s="183"/>
      <c r="K72" s="208"/>
      <c r="L72" s="187"/>
      <c r="M72" s="192"/>
    </row>
    <row r="73" spans="8:13" ht="15.75" customHeight="1">
      <c r="H73" s="189"/>
      <c r="I73" s="189"/>
      <c r="J73" s="189"/>
      <c r="K73" s="190"/>
      <c r="L73" s="190"/>
      <c r="M73" s="191"/>
    </row>
    <row r="74" spans="8:13" ht="15.75" customHeight="1">
      <c r="H74" s="185"/>
      <c r="I74" s="183"/>
      <c r="J74" s="183"/>
      <c r="K74" s="208"/>
      <c r="L74" s="187"/>
      <c r="M74" s="192"/>
    </row>
    <row r="75" spans="8:13" ht="15.75" customHeight="1">
      <c r="H75" s="189"/>
      <c r="I75" s="189"/>
      <c r="J75" s="189"/>
      <c r="K75" s="190"/>
      <c r="L75" s="190"/>
      <c r="M75" s="191"/>
    </row>
    <row r="76" spans="8:13" ht="15.75" customHeight="1">
      <c r="H76" s="185"/>
      <c r="I76" s="183"/>
      <c r="J76" s="183"/>
      <c r="K76" s="208"/>
      <c r="L76" s="187"/>
      <c r="M76" s="188"/>
    </row>
    <row r="77" spans="8:13" ht="15.75" customHeight="1">
      <c r="H77" s="189"/>
      <c r="I77" s="189"/>
      <c r="J77" s="189"/>
      <c r="K77" s="190"/>
      <c r="L77" s="190"/>
      <c r="M77" s="191"/>
    </row>
    <row r="78" spans="8:13" ht="15.75" customHeight="1">
      <c r="H78" s="185"/>
      <c r="I78" s="183"/>
      <c r="J78" s="183"/>
      <c r="K78" s="208"/>
      <c r="L78" s="187"/>
      <c r="M78" s="188"/>
    </row>
    <row r="79" spans="8:13" ht="15.75" customHeight="1">
      <c r="H79" s="189"/>
      <c r="I79" s="189"/>
      <c r="J79" s="189"/>
      <c r="K79" s="190"/>
      <c r="L79" s="190"/>
      <c r="M79" s="191"/>
    </row>
    <row r="80" spans="8:13" ht="15.75" customHeight="1">
      <c r="H80" s="185"/>
      <c r="I80" s="183"/>
      <c r="J80" s="183"/>
      <c r="K80" s="208"/>
      <c r="L80" s="187"/>
      <c r="M80" s="188"/>
    </row>
    <row r="81" spans="8:13" ht="15.75" customHeight="1">
      <c r="H81" s="189"/>
      <c r="I81" s="189"/>
      <c r="J81" s="189"/>
      <c r="K81" s="190"/>
      <c r="L81" s="190"/>
      <c r="M81" s="191"/>
    </row>
    <row r="82" spans="8:13" ht="15.75" customHeight="1">
      <c r="H82" s="185"/>
      <c r="I82" s="183"/>
      <c r="J82" s="183"/>
      <c r="K82" s="208"/>
      <c r="L82" s="187"/>
      <c r="M82" s="188"/>
    </row>
    <row r="83" spans="8:13" ht="15.75" customHeight="1">
      <c r="H83" s="189"/>
      <c r="I83" s="189"/>
      <c r="J83" s="189"/>
      <c r="K83" s="190"/>
      <c r="L83" s="190"/>
      <c r="M83" s="191"/>
    </row>
    <row r="84" spans="8:13" ht="15.75" customHeight="1">
      <c r="H84" s="185"/>
      <c r="I84" s="183"/>
      <c r="J84" s="183"/>
      <c r="K84" s="208"/>
      <c r="L84" s="187"/>
      <c r="M84" s="188"/>
    </row>
    <row r="85" spans="8:13" ht="15.75" customHeight="1">
      <c r="H85" s="189"/>
      <c r="I85" s="189"/>
      <c r="J85" s="189"/>
      <c r="K85" s="190"/>
      <c r="L85" s="190"/>
      <c r="M85" s="191"/>
    </row>
    <row r="86" spans="8:13" ht="15.75" customHeight="1">
      <c r="H86" s="185"/>
      <c r="I86" s="183"/>
      <c r="J86" s="183"/>
      <c r="K86" s="208"/>
      <c r="L86" s="187"/>
      <c r="M86" s="188"/>
    </row>
    <row r="87" spans="8:13" ht="15.75" customHeight="1">
      <c r="H87" s="189"/>
      <c r="I87" s="189"/>
      <c r="J87" s="189"/>
      <c r="K87" s="190"/>
      <c r="L87" s="190"/>
      <c r="M87" s="191"/>
    </row>
    <row r="88" spans="8:13" ht="15.75" customHeight="1">
      <c r="H88" s="185"/>
      <c r="I88" s="183"/>
      <c r="J88" s="183"/>
      <c r="K88" s="208"/>
      <c r="L88" s="187"/>
      <c r="M88" s="188"/>
    </row>
    <row r="89" spans="8:13" ht="15.75" customHeight="1">
      <c r="H89" s="189"/>
      <c r="I89" s="189"/>
      <c r="J89" s="189"/>
      <c r="K89" s="190"/>
      <c r="L89" s="190"/>
      <c r="M89" s="191"/>
    </row>
    <row r="90" spans="8:13" ht="15.75" customHeight="1">
      <c r="H90" s="185"/>
      <c r="I90" s="183"/>
      <c r="J90" s="183"/>
      <c r="K90" s="208"/>
      <c r="L90" s="187"/>
      <c r="M90" s="188"/>
    </row>
    <row r="91" spans="8:13" ht="15.75" customHeight="1">
      <c r="H91" s="189"/>
      <c r="I91" s="189"/>
      <c r="J91" s="189"/>
      <c r="K91" s="190"/>
      <c r="L91" s="190"/>
      <c r="M91" s="191"/>
    </row>
    <row r="92" spans="8:13" ht="15.75" customHeight="1">
      <c r="H92" s="185"/>
      <c r="I92" s="183"/>
      <c r="J92" s="183"/>
      <c r="K92" s="208"/>
      <c r="L92" s="187"/>
      <c r="M92" s="188"/>
    </row>
    <row r="93" spans="8:13" ht="15.75" customHeight="1">
      <c r="H93" s="189"/>
      <c r="I93" s="189"/>
      <c r="J93" s="189"/>
      <c r="K93" s="190"/>
      <c r="L93" s="190"/>
      <c r="M93" s="191"/>
    </row>
    <row r="94" spans="8:13" ht="15.75" customHeight="1">
      <c r="H94" s="185"/>
      <c r="I94" s="183"/>
      <c r="J94" s="183"/>
      <c r="K94" s="208"/>
      <c r="L94" s="187"/>
      <c r="M94" s="192"/>
    </row>
    <row r="95" spans="8:13" ht="15.75" customHeight="1">
      <c r="H95" s="189"/>
      <c r="I95" s="189"/>
      <c r="J95" s="189"/>
      <c r="K95" s="190"/>
      <c r="L95" s="190"/>
      <c r="M95" s="191"/>
    </row>
    <row r="96" spans="8:13" ht="15.75" customHeight="1">
      <c r="H96" s="185"/>
      <c r="I96" s="183"/>
      <c r="J96" s="183"/>
      <c r="K96" s="208"/>
      <c r="L96" s="187"/>
      <c r="M96" s="192"/>
    </row>
    <row r="97" spans="8:13" ht="15.75" customHeight="1">
      <c r="H97" s="189"/>
      <c r="I97" s="189"/>
      <c r="J97" s="189"/>
      <c r="K97" s="190"/>
      <c r="L97" s="190"/>
      <c r="M97" s="191"/>
    </row>
    <row r="98" spans="8:13" ht="15.75" customHeight="1">
      <c r="H98" s="185"/>
      <c r="I98" s="183"/>
      <c r="J98" s="183"/>
      <c r="K98" s="208"/>
      <c r="L98" s="187"/>
      <c r="M98" s="192"/>
    </row>
    <row r="99" spans="8:13" ht="15.75" customHeight="1">
      <c r="H99" s="189"/>
      <c r="I99" s="189"/>
      <c r="J99" s="189"/>
      <c r="K99" s="190"/>
      <c r="L99" s="190"/>
      <c r="M99" s="191"/>
    </row>
    <row r="100" spans="8:13" ht="15.75" customHeight="1">
      <c r="H100" s="185"/>
      <c r="I100" s="183"/>
      <c r="J100" s="183"/>
      <c r="K100" s="208"/>
      <c r="L100" s="187"/>
      <c r="M100" s="192"/>
    </row>
    <row r="101" spans="8:13" ht="15.75" customHeight="1">
      <c r="H101" s="189"/>
      <c r="I101" s="189"/>
      <c r="J101" s="189"/>
      <c r="K101" s="190"/>
      <c r="L101" s="190"/>
      <c r="M101" s="191"/>
    </row>
    <row r="102" spans="8:13" ht="15.75" customHeight="1">
      <c r="H102" s="185"/>
      <c r="I102" s="183"/>
      <c r="J102" s="183"/>
      <c r="K102" s="208"/>
      <c r="L102" s="187"/>
      <c r="M102" s="192"/>
    </row>
    <row r="103" spans="8:13" ht="15.75" customHeight="1">
      <c r="H103" s="189"/>
      <c r="I103" s="189"/>
      <c r="J103" s="189"/>
      <c r="K103" s="190"/>
      <c r="L103" s="190"/>
      <c r="M103" s="191"/>
    </row>
    <row r="104" spans="8:13" ht="15.75" customHeight="1">
      <c r="H104" s="185"/>
      <c r="I104" s="183"/>
      <c r="J104" s="183"/>
      <c r="K104" s="208"/>
      <c r="L104" s="187"/>
      <c r="M104" s="192"/>
    </row>
    <row r="105" spans="8:13" ht="15.75" customHeight="1">
      <c r="H105" s="189"/>
      <c r="I105" s="189"/>
      <c r="J105" s="189"/>
      <c r="K105" s="190"/>
      <c r="L105" s="190"/>
      <c r="M105" s="191"/>
    </row>
    <row r="106" spans="8:13" ht="15.75" customHeight="1">
      <c r="H106" s="185"/>
      <c r="I106" s="183"/>
      <c r="J106" s="183"/>
      <c r="K106" s="208"/>
      <c r="L106" s="187"/>
      <c r="M106" s="192"/>
    </row>
    <row r="107" spans="8:13" ht="15.75" customHeight="1">
      <c r="H107" s="189"/>
      <c r="I107" s="189"/>
      <c r="J107" s="189"/>
      <c r="K107" s="190"/>
      <c r="L107" s="190"/>
      <c r="M107" s="191"/>
    </row>
    <row r="108" spans="8:13" ht="15.75" customHeight="1">
      <c r="H108" s="185"/>
      <c r="I108" s="183"/>
      <c r="J108" s="183"/>
      <c r="K108" s="208"/>
      <c r="L108" s="187"/>
      <c r="M108" s="192"/>
    </row>
    <row r="109" spans="8:13" ht="15.75" customHeight="1">
      <c r="H109" s="189"/>
      <c r="I109" s="189"/>
      <c r="J109" s="189"/>
      <c r="K109" s="190"/>
      <c r="L109" s="190"/>
      <c r="M109" s="191"/>
    </row>
    <row r="110" spans="8:13" ht="15.75" customHeight="1">
      <c r="H110" s="185"/>
      <c r="I110" s="183"/>
      <c r="J110" s="183"/>
      <c r="K110" s="208"/>
      <c r="L110" s="187"/>
      <c r="M110" s="192"/>
    </row>
    <row r="111" spans="8:13" ht="15.75" customHeight="1">
      <c r="H111" s="189"/>
      <c r="I111" s="189"/>
      <c r="J111" s="189"/>
      <c r="K111" s="190"/>
      <c r="L111" s="190"/>
      <c r="M111" s="191"/>
    </row>
    <row r="112" spans="8:13" ht="15.75" customHeight="1">
      <c r="H112" s="185"/>
      <c r="I112" s="183"/>
      <c r="J112" s="183"/>
      <c r="K112" s="208"/>
      <c r="L112" s="187"/>
      <c r="M112" s="192"/>
    </row>
    <row r="113" spans="8:13" ht="15.75" customHeight="1">
      <c r="H113" s="189"/>
      <c r="I113" s="189"/>
      <c r="J113" s="189"/>
      <c r="K113" s="190"/>
      <c r="L113" s="190"/>
      <c r="M113" s="191"/>
    </row>
    <row r="114" spans="8:13" ht="15.75" customHeight="1">
      <c r="H114" s="185"/>
      <c r="I114" s="183"/>
      <c r="J114" s="183"/>
      <c r="K114" s="208"/>
      <c r="L114" s="187"/>
      <c r="M114" s="192"/>
    </row>
    <row r="115" spans="8:13" ht="15.75" customHeight="1">
      <c r="H115" s="189"/>
      <c r="I115" s="189"/>
      <c r="J115" s="189"/>
      <c r="K115" s="190"/>
      <c r="L115" s="190"/>
      <c r="M115" s="191"/>
    </row>
    <row r="116" spans="8:13" ht="15.75" customHeight="1">
      <c r="H116" s="185"/>
      <c r="I116" s="183"/>
      <c r="J116" s="183"/>
      <c r="K116" s="208"/>
      <c r="L116" s="187"/>
      <c r="M116" s="192"/>
    </row>
    <row r="117" spans="8:13" ht="15.75" customHeight="1">
      <c r="H117" s="189"/>
      <c r="I117" s="189"/>
      <c r="J117" s="189"/>
      <c r="K117" s="190"/>
      <c r="L117" s="190"/>
      <c r="M117" s="191"/>
    </row>
    <row r="118" spans="8:13" ht="15.75" customHeight="1">
      <c r="H118" s="185"/>
      <c r="I118" s="183"/>
      <c r="J118" s="183"/>
      <c r="K118" s="208"/>
      <c r="L118" s="187"/>
      <c r="M118" s="192"/>
    </row>
    <row r="119" spans="8:13" ht="15.75" customHeight="1">
      <c r="H119" s="189"/>
      <c r="I119" s="189"/>
      <c r="J119" s="189"/>
      <c r="K119" s="190"/>
      <c r="L119" s="190"/>
      <c r="M119" s="191"/>
    </row>
    <row r="120" spans="8:13" ht="15.75" customHeight="1">
      <c r="H120" s="185"/>
      <c r="I120" s="183"/>
      <c r="J120" s="183"/>
      <c r="K120" s="208"/>
      <c r="L120" s="187"/>
      <c r="M120" s="188"/>
    </row>
    <row r="121" spans="8:13" ht="15.75" customHeight="1">
      <c r="H121" s="189"/>
      <c r="I121" s="189"/>
      <c r="J121" s="189"/>
      <c r="K121" s="190"/>
      <c r="L121" s="190"/>
      <c r="M121" s="191"/>
    </row>
    <row r="122" spans="8:13" ht="15.75" customHeight="1">
      <c r="H122" s="185"/>
      <c r="I122" s="183"/>
      <c r="J122" s="183"/>
      <c r="K122" s="208"/>
      <c r="L122" s="187"/>
      <c r="M122" s="188"/>
    </row>
    <row r="123" spans="8:13" ht="15.75" customHeight="1">
      <c r="H123" s="189"/>
      <c r="I123" s="189"/>
      <c r="J123" s="189"/>
      <c r="K123" s="190"/>
      <c r="L123" s="190"/>
      <c r="M123" s="191"/>
    </row>
    <row r="124" spans="8:13" ht="15.75" customHeight="1">
      <c r="H124" s="185"/>
      <c r="I124" s="183"/>
      <c r="J124" s="183"/>
      <c r="K124" s="208"/>
      <c r="L124" s="187"/>
      <c r="M124" s="188"/>
    </row>
    <row r="125" spans="8:13" ht="15.75" customHeight="1">
      <c r="H125" s="189"/>
      <c r="I125" s="189"/>
      <c r="J125" s="189"/>
      <c r="K125" s="190"/>
      <c r="L125" s="190"/>
      <c r="M125" s="191"/>
    </row>
    <row r="126" spans="8:13" ht="15.75" customHeight="1">
      <c r="H126" s="185"/>
      <c r="I126" s="183"/>
      <c r="J126" s="183"/>
      <c r="K126" s="208"/>
      <c r="L126" s="187"/>
      <c r="M126" s="188"/>
    </row>
    <row r="127" spans="8:13" ht="15.75" customHeight="1">
      <c r="H127" s="189"/>
      <c r="I127" s="189"/>
      <c r="J127" s="189"/>
      <c r="K127" s="190"/>
      <c r="L127" s="190"/>
      <c r="M127" s="191"/>
    </row>
    <row r="128" spans="8:13" ht="15.75" customHeight="1">
      <c r="H128" s="185"/>
      <c r="I128" s="183"/>
      <c r="J128" s="183"/>
      <c r="K128" s="208"/>
      <c r="L128" s="187"/>
      <c r="M128" s="188"/>
    </row>
    <row r="129" spans="8:13" ht="15.75" customHeight="1">
      <c r="H129" s="189"/>
      <c r="I129" s="189"/>
      <c r="J129" s="189"/>
      <c r="K129" s="190"/>
      <c r="L129" s="190"/>
      <c r="M129" s="191"/>
    </row>
    <row r="130" spans="8:13" ht="15.75" customHeight="1">
      <c r="H130" s="185"/>
      <c r="I130" s="183"/>
      <c r="J130" s="183"/>
      <c r="K130" s="208"/>
      <c r="L130" s="187"/>
      <c r="M130" s="192"/>
    </row>
    <row r="131" spans="8:13" ht="15.75" customHeight="1">
      <c r="H131" s="189"/>
      <c r="I131" s="189"/>
      <c r="J131" s="189"/>
      <c r="K131" s="190"/>
      <c r="L131" s="190"/>
      <c r="M131" s="191"/>
    </row>
    <row r="132" spans="8:13" ht="15.75" customHeight="1">
      <c r="H132" s="185"/>
      <c r="I132" s="183"/>
      <c r="J132" s="183"/>
      <c r="K132" s="208"/>
      <c r="L132" s="187"/>
      <c r="M132" s="192"/>
    </row>
    <row r="133" spans="8:13" ht="15.75" customHeight="1">
      <c r="H133" s="189"/>
      <c r="I133" s="189"/>
      <c r="J133" s="189"/>
      <c r="K133" s="190"/>
      <c r="L133" s="190"/>
      <c r="M133" s="191"/>
    </row>
    <row r="134" spans="8:13" ht="15.75" customHeight="1">
      <c r="H134" s="185"/>
      <c r="I134" s="183"/>
      <c r="J134" s="183"/>
      <c r="K134" s="208"/>
      <c r="L134" s="187"/>
      <c r="M134" s="192"/>
    </row>
    <row r="135" spans="8:13" ht="15.75" customHeight="1">
      <c r="H135" s="189"/>
      <c r="I135" s="189"/>
      <c r="J135" s="189"/>
      <c r="K135" s="190"/>
      <c r="L135" s="190"/>
      <c r="M135" s="191"/>
    </row>
    <row r="136" spans="8:13" ht="15.75" customHeight="1">
      <c r="H136" s="185"/>
      <c r="I136" s="183"/>
      <c r="J136" s="183"/>
      <c r="K136" s="208"/>
      <c r="L136" s="187"/>
      <c r="M136" s="192"/>
    </row>
    <row r="137" spans="8:13" ht="15.75" customHeight="1">
      <c r="H137" s="189"/>
      <c r="I137" s="189"/>
      <c r="J137" s="189"/>
      <c r="K137" s="190"/>
      <c r="L137" s="190"/>
      <c r="M137" s="191"/>
    </row>
    <row r="138" spans="8:13" ht="15.75" customHeight="1">
      <c r="H138" s="185"/>
      <c r="I138" s="183"/>
      <c r="J138" s="183"/>
      <c r="K138" s="208"/>
      <c r="L138" s="187"/>
      <c r="M138" s="192"/>
    </row>
    <row r="139" spans="8:13" ht="15.75" customHeight="1">
      <c r="H139" s="189"/>
      <c r="I139" s="189"/>
      <c r="J139" s="189"/>
      <c r="K139" s="190"/>
      <c r="L139" s="190"/>
      <c r="M139" s="191"/>
    </row>
    <row r="140" spans="8:13" ht="15.75" customHeight="1">
      <c r="H140" s="185"/>
      <c r="I140" s="183"/>
      <c r="J140" s="183"/>
      <c r="K140" s="208"/>
      <c r="L140" s="187"/>
      <c r="M140" s="192"/>
    </row>
    <row r="141" spans="8:13" ht="15.75" customHeight="1">
      <c r="H141" s="189"/>
      <c r="I141" s="189"/>
      <c r="J141" s="189"/>
      <c r="K141" s="190"/>
      <c r="L141" s="190"/>
      <c r="M141" s="191"/>
    </row>
    <row r="142" spans="8:13" ht="15.75" customHeight="1">
      <c r="H142" s="185"/>
      <c r="I142" s="183"/>
      <c r="J142" s="183"/>
      <c r="K142" s="208"/>
      <c r="L142" s="187"/>
      <c r="M142" s="192"/>
    </row>
    <row r="143" spans="8:13" ht="15.75" customHeight="1">
      <c r="H143" s="189"/>
      <c r="I143" s="189"/>
      <c r="J143" s="189"/>
      <c r="K143" s="190"/>
      <c r="L143" s="190"/>
      <c r="M143" s="191"/>
    </row>
    <row r="144" spans="8:13" ht="15.75" customHeight="1">
      <c r="H144" s="185"/>
      <c r="I144" s="183"/>
      <c r="J144" s="183"/>
      <c r="K144" s="208"/>
      <c r="L144" s="187"/>
      <c r="M144" s="192"/>
    </row>
    <row r="145" spans="8:13" ht="15.75" customHeight="1">
      <c r="H145" s="189"/>
      <c r="I145" s="189"/>
      <c r="J145" s="189"/>
      <c r="K145" s="190"/>
      <c r="L145" s="190"/>
      <c r="M145" s="191"/>
    </row>
    <row r="146" spans="8:13" ht="15.75" customHeight="1">
      <c r="H146" s="185"/>
      <c r="I146" s="183"/>
      <c r="J146" s="183"/>
      <c r="K146" s="208"/>
      <c r="L146" s="187"/>
      <c r="M146" s="192"/>
    </row>
    <row r="147" spans="8:13" ht="15.75" customHeight="1">
      <c r="H147" s="189"/>
      <c r="I147" s="189"/>
      <c r="J147" s="189"/>
      <c r="K147" s="190"/>
      <c r="L147" s="190"/>
      <c r="M147" s="191"/>
    </row>
    <row r="148" spans="8:13" ht="15.75" customHeight="1">
      <c r="H148" s="185"/>
      <c r="I148" s="183"/>
      <c r="J148" s="183"/>
      <c r="K148" s="208"/>
      <c r="L148" s="187"/>
      <c r="M148" s="192"/>
    </row>
    <row r="149" spans="8:13" ht="15.75" customHeight="1">
      <c r="H149" s="189"/>
      <c r="I149" s="189"/>
      <c r="J149" s="189"/>
      <c r="K149" s="190"/>
      <c r="L149" s="190"/>
      <c r="M149" s="191"/>
    </row>
    <row r="150" spans="8:13" ht="15.75" customHeight="1">
      <c r="H150" s="185"/>
      <c r="I150" s="183"/>
      <c r="J150" s="183"/>
      <c r="K150" s="208"/>
      <c r="L150" s="187"/>
      <c r="M150" s="192"/>
    </row>
    <row r="151" spans="8:13" ht="15.75" customHeight="1">
      <c r="H151" s="189"/>
      <c r="I151" s="189"/>
      <c r="J151" s="189"/>
      <c r="K151" s="190"/>
      <c r="L151" s="190"/>
      <c r="M151" s="191"/>
    </row>
    <row r="152" spans="8:13" ht="15.75" customHeight="1">
      <c r="H152" s="185"/>
      <c r="I152" s="183"/>
      <c r="J152" s="183"/>
      <c r="K152" s="208"/>
      <c r="L152" s="187"/>
      <c r="M152" s="192"/>
    </row>
    <row r="153" spans="8:13" ht="15.75" customHeight="1">
      <c r="H153" s="189"/>
      <c r="I153" s="189"/>
      <c r="J153" s="189"/>
      <c r="K153" s="190"/>
      <c r="L153" s="190"/>
      <c r="M153" s="191"/>
    </row>
    <row r="154" spans="8:13" ht="15.75" customHeight="1">
      <c r="H154" s="185"/>
      <c r="I154" s="183"/>
      <c r="J154" s="183"/>
      <c r="K154" s="208"/>
      <c r="L154" s="187"/>
      <c r="M154" s="192"/>
    </row>
    <row r="155" spans="8:13" ht="15.75" customHeight="1">
      <c r="H155" s="189"/>
      <c r="I155" s="189"/>
      <c r="J155" s="189"/>
      <c r="K155" s="190"/>
      <c r="L155" s="190"/>
      <c r="M155" s="191"/>
    </row>
    <row r="156" spans="8:13" ht="15.75" customHeight="1">
      <c r="H156" s="185"/>
      <c r="I156" s="183"/>
      <c r="J156" s="183"/>
      <c r="K156" s="208"/>
      <c r="L156" s="187"/>
      <c r="M156" s="192"/>
    </row>
    <row r="157" spans="8:13" ht="15.75" customHeight="1">
      <c r="H157" s="189"/>
      <c r="I157" s="189"/>
      <c r="J157" s="189"/>
      <c r="K157" s="190"/>
      <c r="L157" s="190"/>
      <c r="M157" s="191"/>
    </row>
    <row r="158" spans="8:13" ht="15.75" customHeight="1">
      <c r="H158" s="185"/>
      <c r="I158" s="183"/>
      <c r="J158" s="183"/>
      <c r="K158" s="208"/>
      <c r="L158" s="187"/>
      <c r="M158" s="192"/>
    </row>
    <row r="159" spans="8:13" ht="15.75" customHeight="1">
      <c r="H159" s="189"/>
      <c r="I159" s="189"/>
      <c r="J159" s="189"/>
      <c r="K159" s="190"/>
      <c r="L159" s="190"/>
      <c r="M159" s="191"/>
    </row>
    <row r="160" spans="8:13" ht="15.75" customHeight="1">
      <c r="H160" s="185"/>
      <c r="I160" s="183"/>
      <c r="J160" s="183"/>
      <c r="K160" s="208"/>
      <c r="L160" s="187"/>
      <c r="M160" s="192"/>
    </row>
    <row r="161" spans="8:13" ht="15.75" customHeight="1">
      <c r="H161" s="189"/>
      <c r="I161" s="189"/>
      <c r="J161" s="189"/>
      <c r="K161" s="190"/>
      <c r="L161" s="190"/>
      <c r="M161" s="191"/>
    </row>
    <row r="162" spans="8:13" ht="15.75" customHeight="1">
      <c r="H162" s="185"/>
      <c r="I162" s="183"/>
      <c r="J162" s="183"/>
      <c r="K162" s="208"/>
      <c r="L162" s="187"/>
      <c r="M162" s="192"/>
    </row>
    <row r="163" spans="8:13" ht="15.75" customHeight="1">
      <c r="H163" s="189"/>
      <c r="I163" s="189"/>
      <c r="J163" s="189"/>
      <c r="K163" s="190"/>
      <c r="L163" s="190"/>
      <c r="M163" s="191"/>
    </row>
    <row r="164" spans="8:13" ht="15.75" customHeight="1">
      <c r="H164" s="185"/>
      <c r="I164" s="183"/>
      <c r="J164" s="183"/>
      <c r="K164" s="208"/>
      <c r="L164" s="187"/>
      <c r="M164" s="192"/>
    </row>
    <row r="165" spans="8:13" ht="15.75" customHeight="1">
      <c r="H165" s="189"/>
      <c r="I165" s="189"/>
      <c r="J165" s="189"/>
      <c r="K165" s="190"/>
      <c r="L165" s="190"/>
      <c r="M165" s="191"/>
    </row>
    <row r="166" spans="8:13" ht="15.75" customHeight="1">
      <c r="H166" s="185"/>
      <c r="I166" s="183"/>
      <c r="J166" s="183"/>
      <c r="K166" s="208"/>
      <c r="L166" s="187"/>
      <c r="M166" s="192"/>
    </row>
    <row r="167" spans="8:13" ht="15.75" customHeight="1">
      <c r="H167" s="189"/>
      <c r="I167" s="189"/>
      <c r="J167" s="189"/>
      <c r="K167" s="190"/>
      <c r="L167" s="190"/>
      <c r="M167" s="191"/>
    </row>
    <row r="168" spans="8:13" ht="15.75" customHeight="1">
      <c r="H168" s="185"/>
      <c r="I168" s="183"/>
      <c r="J168" s="183"/>
      <c r="K168" s="208"/>
      <c r="L168" s="187"/>
      <c r="M168" s="192"/>
    </row>
    <row r="169" spans="8:13" ht="15.75" customHeight="1">
      <c r="H169" s="189"/>
      <c r="I169" s="189"/>
      <c r="J169" s="189"/>
      <c r="K169" s="190"/>
      <c r="L169" s="190"/>
      <c r="M169" s="191"/>
    </row>
    <row r="170" spans="8:13" ht="15.75" customHeight="1">
      <c r="H170" s="185"/>
      <c r="I170" s="183"/>
      <c r="J170" s="183"/>
      <c r="K170" s="208"/>
      <c r="L170" s="187"/>
      <c r="M170" s="192"/>
    </row>
    <row r="171" spans="8:13" ht="15.75" customHeight="1">
      <c r="H171" s="189"/>
      <c r="I171" s="189"/>
      <c r="J171" s="189"/>
      <c r="K171" s="190"/>
      <c r="L171" s="190"/>
      <c r="M171" s="191"/>
    </row>
    <row r="172" spans="8:13" ht="15.75" customHeight="1">
      <c r="H172" s="185"/>
      <c r="I172" s="183"/>
      <c r="J172" s="183"/>
      <c r="K172" s="208"/>
      <c r="L172" s="187"/>
      <c r="M172" s="192"/>
    </row>
    <row r="173" spans="8:13" ht="15.75" customHeight="1">
      <c r="H173" s="189"/>
      <c r="I173" s="189"/>
      <c r="J173" s="189"/>
      <c r="K173" s="190"/>
      <c r="L173" s="190"/>
      <c r="M173" s="191"/>
    </row>
    <row r="174" spans="8:13" ht="15.75" customHeight="1">
      <c r="H174" s="185"/>
      <c r="I174" s="183"/>
      <c r="J174" s="183"/>
      <c r="K174" s="208"/>
      <c r="L174" s="187"/>
      <c r="M174" s="192"/>
    </row>
    <row r="175" spans="8:13" ht="15.75" customHeight="1">
      <c r="H175" s="189"/>
      <c r="I175" s="189"/>
      <c r="J175" s="189"/>
      <c r="K175" s="190"/>
      <c r="L175" s="190"/>
      <c r="M175" s="191"/>
    </row>
    <row r="176" spans="8:13" ht="15.75" customHeight="1">
      <c r="H176" s="185"/>
      <c r="I176" s="183"/>
      <c r="J176" s="183"/>
      <c r="K176" s="208"/>
      <c r="L176" s="187"/>
      <c r="M176" s="192"/>
    </row>
    <row r="177" spans="8:13" ht="15.75" customHeight="1">
      <c r="H177" s="189"/>
      <c r="I177" s="189"/>
      <c r="J177" s="189"/>
      <c r="K177" s="190"/>
      <c r="L177" s="190"/>
      <c r="M177" s="191"/>
    </row>
    <row r="178" spans="8:13" ht="15.75" customHeight="1">
      <c r="H178" s="185"/>
      <c r="I178" s="183"/>
      <c r="J178" s="183"/>
      <c r="K178" s="208"/>
      <c r="L178" s="187"/>
      <c r="M178" s="192"/>
    </row>
    <row r="179" spans="8:13" ht="15.75" customHeight="1">
      <c r="H179" s="189"/>
      <c r="I179" s="189"/>
      <c r="J179" s="189"/>
      <c r="K179" s="190"/>
      <c r="L179" s="190"/>
      <c r="M179" s="191"/>
    </row>
    <row r="180" spans="8:13" ht="15.75" customHeight="1">
      <c r="H180" s="185"/>
      <c r="I180" s="183"/>
      <c r="J180" s="183"/>
      <c r="K180" s="208"/>
      <c r="L180" s="187"/>
      <c r="M180" s="192"/>
    </row>
    <row r="181" spans="8:13" ht="15.75" customHeight="1">
      <c r="H181" s="189"/>
      <c r="I181" s="189"/>
      <c r="J181" s="189"/>
      <c r="K181" s="190"/>
      <c r="L181" s="190"/>
      <c r="M181" s="191"/>
    </row>
    <row r="182" spans="8:13" ht="15.75" customHeight="1">
      <c r="H182" s="185"/>
      <c r="I182" s="183"/>
      <c r="J182" s="183"/>
      <c r="K182" s="208"/>
      <c r="L182" s="187"/>
      <c r="M182" s="192"/>
    </row>
    <row r="183" spans="8:13" ht="15.75" customHeight="1">
      <c r="H183" s="189"/>
      <c r="I183" s="189"/>
      <c r="J183" s="189"/>
      <c r="K183" s="190"/>
      <c r="L183" s="190"/>
      <c r="M183" s="191"/>
    </row>
    <row r="184" spans="8:13" ht="15.75" customHeight="1">
      <c r="H184" s="185"/>
      <c r="I184" s="183"/>
      <c r="J184" s="183"/>
      <c r="K184" s="208"/>
      <c r="L184" s="187"/>
      <c r="M184" s="192"/>
    </row>
    <row r="185" spans="8:13" ht="15.75" customHeight="1">
      <c r="H185" s="189"/>
      <c r="I185" s="189"/>
      <c r="J185" s="189"/>
      <c r="K185" s="190"/>
      <c r="L185" s="190"/>
      <c r="M185" s="191"/>
    </row>
    <row r="186" spans="8:13" ht="15.75" customHeight="1">
      <c r="H186" s="185"/>
      <c r="I186" s="183"/>
      <c r="J186" s="183"/>
      <c r="K186" s="208"/>
      <c r="L186" s="187"/>
      <c r="M186" s="192"/>
    </row>
    <row r="187" spans="8:13" ht="15.75" customHeight="1">
      <c r="H187" s="189"/>
      <c r="I187" s="189"/>
      <c r="J187" s="189"/>
      <c r="K187" s="190"/>
      <c r="L187" s="190"/>
      <c r="M187" s="191"/>
    </row>
    <row r="188" spans="8:13" ht="15.75" customHeight="1">
      <c r="H188" s="185"/>
      <c r="I188" s="183"/>
      <c r="J188" s="183"/>
      <c r="K188" s="208"/>
      <c r="L188" s="187"/>
      <c r="M188" s="192"/>
    </row>
    <row r="189" spans="8:13" ht="15.75" customHeight="1">
      <c r="H189" s="189"/>
      <c r="I189" s="189"/>
      <c r="J189" s="189"/>
      <c r="K189" s="190"/>
      <c r="L189" s="190"/>
      <c r="M189" s="191"/>
    </row>
    <row r="190" spans="8:13" ht="15.75" customHeight="1">
      <c r="H190" s="185"/>
      <c r="I190" s="183"/>
      <c r="J190" s="183"/>
      <c r="K190" s="208"/>
      <c r="L190" s="187"/>
      <c r="M190" s="188"/>
    </row>
    <row r="191" spans="8:13" ht="15.75" customHeight="1">
      <c r="H191" s="189"/>
      <c r="I191" s="189"/>
      <c r="J191" s="189"/>
      <c r="K191" s="190"/>
      <c r="L191" s="190"/>
      <c r="M191" s="191"/>
    </row>
    <row r="192" spans="8:13" ht="15.75" customHeight="1">
      <c r="H192" s="185"/>
      <c r="I192" s="183"/>
      <c r="J192" s="183"/>
      <c r="K192" s="208"/>
      <c r="L192" s="187"/>
      <c r="M192" s="188"/>
    </row>
    <row r="193" spans="8:13" ht="15.75" customHeight="1">
      <c r="H193" s="189"/>
      <c r="I193" s="189"/>
      <c r="J193" s="189"/>
      <c r="K193" s="190"/>
      <c r="L193" s="190"/>
      <c r="M193" s="191"/>
    </row>
    <row r="194" spans="8:13" ht="15.75" customHeight="1">
      <c r="H194" s="185"/>
      <c r="I194" s="183"/>
      <c r="J194" s="183"/>
      <c r="K194" s="208"/>
      <c r="L194" s="187"/>
      <c r="M194" s="188"/>
    </row>
    <row r="195" spans="8:13" ht="15.75" customHeight="1">
      <c r="H195" s="189"/>
      <c r="I195" s="189"/>
      <c r="J195" s="189"/>
      <c r="K195" s="190"/>
      <c r="L195" s="190"/>
      <c r="M195" s="191"/>
    </row>
    <row r="196" spans="8:13" ht="15.75" customHeight="1">
      <c r="H196" s="185"/>
      <c r="I196" s="183"/>
      <c r="J196" s="183"/>
      <c r="K196" s="208"/>
      <c r="L196" s="187"/>
      <c r="M196" s="188"/>
    </row>
    <row r="197" spans="8:13" ht="15.75" customHeight="1">
      <c r="H197" s="189"/>
      <c r="I197" s="189"/>
      <c r="J197" s="189"/>
      <c r="K197" s="190"/>
      <c r="L197" s="190"/>
      <c r="M197" s="191"/>
    </row>
    <row r="198" spans="8:13" ht="15.75" customHeight="1">
      <c r="H198" s="185"/>
      <c r="I198" s="183"/>
      <c r="J198" s="183"/>
      <c r="K198" s="208"/>
      <c r="L198" s="187"/>
      <c r="M198" s="188"/>
    </row>
    <row r="199" spans="8:13" ht="15.75" customHeight="1">
      <c r="H199" s="189"/>
      <c r="I199" s="189"/>
      <c r="J199" s="189"/>
      <c r="K199" s="190"/>
      <c r="L199" s="190"/>
      <c r="M199" s="191"/>
    </row>
    <row r="200" spans="8:13" ht="15.75" customHeight="1">
      <c r="H200" s="185"/>
      <c r="I200" s="183"/>
      <c r="J200" s="183"/>
      <c r="K200" s="208"/>
      <c r="L200" s="187"/>
      <c r="M200" s="192"/>
    </row>
    <row r="201" spans="8:13" ht="15.75" customHeight="1">
      <c r="H201" s="189"/>
      <c r="I201" s="189"/>
      <c r="J201" s="189"/>
      <c r="K201" s="190"/>
      <c r="L201" s="190"/>
      <c r="M201" s="191"/>
    </row>
    <row r="202" spans="8:13" ht="15.75" customHeight="1">
      <c r="H202" s="185"/>
      <c r="I202" s="183"/>
      <c r="J202" s="183"/>
      <c r="K202" s="208"/>
      <c r="L202" s="187"/>
      <c r="M202" s="192"/>
    </row>
    <row r="203" spans="8:13" ht="15.75" customHeight="1">
      <c r="H203" s="189"/>
      <c r="I203" s="189"/>
      <c r="J203" s="189"/>
      <c r="K203" s="190"/>
      <c r="L203" s="190"/>
      <c r="M203" s="191"/>
    </row>
    <row r="204" spans="8:13" ht="15.75" customHeight="1">
      <c r="H204" s="185"/>
      <c r="I204" s="183"/>
      <c r="J204" s="183"/>
      <c r="K204" s="208"/>
      <c r="L204" s="187"/>
      <c r="M204" s="192"/>
    </row>
    <row r="205" spans="8:13" ht="15.75" customHeight="1">
      <c r="H205" s="189"/>
      <c r="I205" s="189"/>
      <c r="J205" s="189"/>
      <c r="K205" s="190"/>
      <c r="L205" s="190"/>
      <c r="M205" s="191"/>
    </row>
    <row r="206" spans="8:13" ht="15.75" customHeight="1">
      <c r="H206" s="185"/>
      <c r="I206" s="183"/>
      <c r="J206" s="183"/>
      <c r="K206" s="208"/>
      <c r="L206" s="187"/>
      <c r="M206" s="188"/>
    </row>
    <row r="207" spans="8:13" ht="15.75" customHeight="1">
      <c r="H207" s="189"/>
      <c r="I207" s="189"/>
      <c r="J207" s="189"/>
      <c r="K207" s="190"/>
      <c r="L207" s="190"/>
      <c r="M207" s="191"/>
    </row>
    <row r="208" spans="8:13" ht="15.75" customHeight="1">
      <c r="H208" s="185"/>
      <c r="I208" s="183"/>
      <c r="J208" s="183"/>
      <c r="K208" s="208"/>
      <c r="L208" s="187"/>
      <c r="M208" s="192"/>
    </row>
    <row r="209" spans="8:13" ht="15.75" customHeight="1">
      <c r="H209" s="189"/>
      <c r="I209" s="189"/>
      <c r="J209" s="189"/>
      <c r="K209" s="190"/>
      <c r="L209" s="190"/>
      <c r="M209" s="191"/>
    </row>
    <row r="210" spans="8:13" ht="15.75" customHeight="1">
      <c r="H210" s="185"/>
      <c r="I210" s="183"/>
      <c r="J210" s="183"/>
      <c r="K210" s="208"/>
      <c r="L210" s="187"/>
      <c r="M210" s="192"/>
    </row>
    <row r="211" spans="8:13" ht="15.75" customHeight="1">
      <c r="H211" s="189"/>
      <c r="I211" s="189"/>
      <c r="J211" s="189"/>
      <c r="K211" s="190"/>
      <c r="L211" s="190"/>
      <c r="M211" s="191"/>
    </row>
    <row r="212" spans="8:13" ht="15.75" customHeight="1">
      <c r="H212" s="185"/>
      <c r="I212" s="183"/>
      <c r="J212" s="183"/>
      <c r="K212" s="208"/>
      <c r="L212" s="187"/>
      <c r="M212" s="192"/>
    </row>
    <row r="213" spans="8:13" ht="15.75" customHeight="1">
      <c r="H213" s="189"/>
      <c r="I213" s="189"/>
      <c r="J213" s="189"/>
      <c r="K213" s="190"/>
      <c r="L213" s="190"/>
      <c r="M213" s="191"/>
    </row>
    <row r="214" spans="8:13" ht="15.75" customHeight="1">
      <c r="H214" s="185"/>
      <c r="I214" s="183"/>
      <c r="J214" s="183"/>
      <c r="K214" s="208"/>
      <c r="L214" s="187"/>
      <c r="M214" s="192"/>
    </row>
    <row r="215" spans="8:13" ht="15.75" customHeight="1">
      <c r="H215" s="189"/>
      <c r="I215" s="189"/>
      <c r="J215" s="189"/>
      <c r="K215" s="190"/>
      <c r="L215" s="190"/>
      <c r="M215" s="191"/>
    </row>
    <row r="216" spans="8:13" ht="15.75" customHeight="1">
      <c r="H216" s="185"/>
      <c r="I216" s="183"/>
      <c r="J216" s="183"/>
      <c r="K216" s="208"/>
      <c r="L216" s="187"/>
      <c r="M216" s="192"/>
    </row>
    <row r="217" spans="8:13" ht="15.75" customHeight="1">
      <c r="H217" s="189"/>
      <c r="I217" s="189"/>
      <c r="J217" s="189"/>
      <c r="K217" s="190"/>
      <c r="L217" s="190"/>
      <c r="M217" s="191"/>
    </row>
    <row r="218" spans="8:13" ht="15.75" customHeight="1">
      <c r="H218" s="185"/>
      <c r="I218" s="183"/>
      <c r="J218" s="183"/>
      <c r="K218" s="208"/>
      <c r="L218" s="187"/>
      <c r="M218" s="192"/>
    </row>
    <row r="219" spans="8:13" ht="15.75" customHeight="1">
      <c r="H219" s="189"/>
      <c r="I219" s="189"/>
      <c r="J219" s="189"/>
      <c r="K219" s="190"/>
      <c r="L219" s="190"/>
      <c r="M219" s="191"/>
    </row>
    <row r="220" spans="8:13" ht="15.75" customHeight="1">
      <c r="H220" s="185"/>
      <c r="I220" s="183"/>
      <c r="J220" s="183"/>
      <c r="K220" s="208"/>
      <c r="L220" s="187"/>
      <c r="M220" s="192"/>
    </row>
    <row r="221" spans="8:13" ht="15.75" customHeight="1"/>
    <row r="222" spans="8:13" ht="15.75" customHeight="1"/>
    <row r="223" spans="8:13" ht="15.75" customHeight="1"/>
    <row r="224" spans="8:1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13"/>
  <dimension ref="A1:N1000"/>
  <sheetViews>
    <sheetView workbookViewId="0"/>
  </sheetViews>
  <sheetFormatPr defaultColWidth="14.42578125" defaultRowHeight="15" customHeight="1"/>
  <cols>
    <col min="1" max="10" width="8.7109375" customWidth="1"/>
    <col min="11" max="11" width="17.85546875" customWidth="1"/>
    <col min="12" max="12" width="7.7109375" customWidth="1"/>
    <col min="13" max="13" width="11.140625" customWidth="1"/>
    <col min="14" max="14" width="14.28515625" customWidth="1"/>
    <col min="15" max="26" width="8.7109375" customWidth="1"/>
  </cols>
  <sheetData>
    <row r="1" spans="1:14">
      <c r="A1" s="199" t="s">
        <v>18</v>
      </c>
      <c r="B1" s="200" t="s">
        <v>19</v>
      </c>
      <c r="C1" s="200" t="s">
        <v>20</v>
      </c>
      <c r="D1" s="200" t="s">
        <v>21</v>
      </c>
      <c r="E1" s="200" t="s">
        <v>22</v>
      </c>
      <c r="F1" s="200" t="s">
        <v>23</v>
      </c>
      <c r="G1" s="201" t="s">
        <v>24</v>
      </c>
      <c r="H1" s="200" t="s">
        <v>404</v>
      </c>
      <c r="I1" s="202" t="s">
        <v>405</v>
      </c>
      <c r="K1" s="86" t="s">
        <v>798</v>
      </c>
      <c r="L1" s="3">
        <f>SUMIF(J:J,"Hematologia", H:H)</f>
        <v>0</v>
      </c>
      <c r="M1" s="86" t="s">
        <v>536</v>
      </c>
      <c r="N1" s="87">
        <f>SUBTOTAL(9,Ago!$G$2:$G$1026)</f>
        <v>1072735.3800000004</v>
      </c>
    </row>
    <row r="2" spans="1:14">
      <c r="K2" s="86" t="s">
        <v>800</v>
      </c>
      <c r="L2" s="3">
        <f>SUMIF(J:J,"Coagulação", H:H)</f>
        <v>0</v>
      </c>
      <c r="M2" s="1" t="s">
        <v>691</v>
      </c>
      <c r="N2" s="87">
        <f>SUMIF(B:B,"Baixado",H:H)</f>
        <v>0</v>
      </c>
    </row>
    <row r="3" spans="1:14">
      <c r="K3" s="86" t="s">
        <v>543</v>
      </c>
      <c r="L3" s="3">
        <f>SUMIF(J:J,"TT/TTPA", H:H)</f>
        <v>0</v>
      </c>
      <c r="M3" s="1" t="s">
        <v>692</v>
      </c>
      <c r="N3" s="87">
        <f>SUMIF(B:B,"Pendente",H:H)</f>
        <v>0</v>
      </c>
    </row>
    <row r="4" spans="1:14">
      <c r="K4" s="86" t="s">
        <v>803</v>
      </c>
      <c r="L4" s="3">
        <f>SUMIF(J:J,"Ionograma", H:H)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Geral</vt:lpstr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Medcal  Farma</dc:creator>
  <cp:lastModifiedBy>USER</cp:lastModifiedBy>
  <cp:lastPrinted>2025-11-10T18:50:38Z</cp:lastPrinted>
  <dcterms:created xsi:type="dcterms:W3CDTF">2025-03-31T18:46:58Z</dcterms:created>
  <dcterms:modified xsi:type="dcterms:W3CDTF">2025-11-10T18:55:45Z</dcterms:modified>
</cp:coreProperties>
</file>